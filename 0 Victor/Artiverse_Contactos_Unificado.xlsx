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Leyenda" sheetId="1" r:id="rId5"/>
    <sheet state="visible" name="🎪 Festivales" sheetId="2" r:id="rId6"/>
    <sheet state="visible" name="🎵 Salas Conciertos" sheetId="3" r:id="rId7"/>
    <sheet state="visible" name="🎤 Socios ARTE" sheetId="4" r:id="rId8"/>
    <sheet state="visible" name="🎭 Teatro-Danza" sheetId="5" r:id="rId9"/>
    <sheet state="visible" name="💃 Dance from Spain" sheetId="6" r:id="rId10"/>
    <sheet state="visible" name="Distribuidoras" sheetId="7" r:id="rId11"/>
  </sheets>
  <definedNames/>
  <calcPr/>
</workbook>
</file>

<file path=xl/sharedStrings.xml><?xml version="1.0" encoding="utf-8"?>
<sst xmlns="http://schemas.openxmlformats.org/spreadsheetml/2006/main" count="27633" uniqueCount="16909">
  <si>
    <t>ARTIVERSE · BASE DE CONTACTOS UNIFICADA</t>
  </si>
  <si>
    <t>@</t>
  </si>
  <si>
    <t>COLUMNAS UNIFICADAS</t>
  </si>
  <si>
    <t>Presentes en todas las hojas con el mismo nombre. Úsalas para importar a Lemlist.</t>
  </si>
  <si>
    <t>Columna</t>
  </si>
  <si>
    <t>Descripción</t>
  </si>
  <si>
    <t>companyName</t>
  </si>
  <si>
    <t>Nombre organización / festival / sala</t>
  </si>
  <si>
    <t>firstName</t>
  </si>
  <si>
    <t>Nombre de pila (solo Socios)</t>
  </si>
  <si>
    <t>lastName</t>
  </si>
  <si>
    <t>Apellidos (solo Socios)</t>
  </si>
  <si>
    <t>email</t>
  </si>
  <si>
    <t>Email principal de contacto</t>
  </si>
  <si>
    <t>phone</t>
  </si>
  <si>
    <t>Teléfono principal</t>
  </si>
  <si>
    <t>website</t>
  </si>
  <si>
    <t>Página web</t>
  </si>
  <si>
    <t>city</t>
  </si>
  <si>
    <t>Ciudad / localidad</t>
  </si>
  <si>
    <t>province</t>
  </si>
  <si>
    <t>Provincia</t>
  </si>
  <si>
    <t>region</t>
  </si>
  <si>
    <t>Comunidad Autónoma</t>
  </si>
  <si>
    <t>address</t>
  </si>
  <si>
    <t>Dirección postal completa</t>
  </si>
  <si>
    <t>contactRole</t>
  </si>
  <si>
    <t>Nombre o rol del contacto directo</t>
  </si>
  <si>
    <t>sourceType</t>
  </si>
  <si>
    <t>Segmento origen: Festival / Sala / Compañía / Socio</t>
  </si>
  <si>
    <t>⚡ COLUMNAS ESPECÍFICAS</t>
  </si>
  <si>
    <t>Propias de cada segmento. Conservadas íntegras. Marcadas en naranja en cada hoja.</t>
  </si>
  <si>
    <t>RESUMEN</t>
  </si>
  <si>
    <t>🎪 Festivales España 2021</t>
  </si>
  <si>
    <t>711 contactos</t>
  </si>
  <si>
    <t>🎭 Compañías Teatro &amp; Danza</t>
  </si>
  <si>
    <t>542 contactos</t>
  </si>
  <si>
    <t>🎵 Salas de Conciertos 2022</t>
  </si>
  <si>
    <t>390 contactos</t>
  </si>
  <si>
    <t>🎤 Socios ARTE</t>
  </si>
  <si>
    <t>286 contactos</t>
  </si>
  <si>
    <t>TOTAL</t>
  </si>
  <si>
    <t>1929 contactos</t>
  </si>
  <si>
    <t>⚡ COLUMNAS ESPECÍFICAS DE ESTE SEGMENTO</t>
  </si>
  <si>
    <t>notes</t>
  </si>
  <si>
    <t>Categoría</t>
  </si>
  <si>
    <t>Fecha</t>
  </si>
  <si>
    <t>Nº de asistentes</t>
  </si>
  <si>
    <t>Fax</t>
  </si>
  <si>
    <t>Nº de ediciones</t>
  </si>
  <si>
    <t>¿ARTE?</t>
  </si>
  <si>
    <t>#Sonandoenperiferia</t>
  </si>
  <si>
    <t>info@coolturearte.com</t>
  </si>
  <si>
    <t>https://coolturearte.com/programacion-sonandoenperiferia</t>
  </si>
  <si>
    <t>Teatro Egaléo - Leganés</t>
  </si>
  <si>
    <t>Madrid</t>
  </si>
  <si>
    <t xml:space="preserve">El primer proyecto de Coolturearte en su desembarco en Leganés, mantendrá vivas las noches de verano en el recinto al aire
libre del Teatro Egaleo del municipio.
</t>
  </si>
  <si>
    <t>Festival</t>
  </si>
  <si>
    <t>Pop / Rock / Indie / Cuentacuentos</t>
  </si>
  <si>
    <t>16/07/2021
-
24/07/2021</t>
  </si>
  <si>
    <t>4.000</t>
  </si>
  <si>
    <t>1.0</t>
  </si>
  <si>
    <t>#Ventepijo</t>
  </si>
  <si>
    <t>30594asociacion@gmail.com</t>
  </si>
  <si>
    <t>www.ventepijo.es</t>
  </si>
  <si>
    <t>Pozo Estrecho - Cartagena</t>
  </si>
  <si>
    <t>Región de Murcia</t>
  </si>
  <si>
    <t>Recinto Fiestas. Pozo Estrecho, Murcia.</t>
  </si>
  <si>
    <t>30594 Asociación (Promotor)</t>
  </si>
  <si>
    <t>Nace como una alternativa a los festivales que se celebran en la Región de Murcia. Es el primer festival con horario diurno, lo que propicia un ambiente más familiar en el que tienen cabida todos los públicos. Música,gastronomía y fiesta.</t>
  </si>
  <si>
    <t>Rock /  Pop / Hip Hop / Indie / Mestizaje</t>
  </si>
  <si>
    <t>13-06-2021</t>
  </si>
  <si>
    <t>1.000</t>
  </si>
  <si>
    <t>5.0</t>
  </si>
  <si>
    <t>(A)Phónica, Festival de la Veu de Banyoles</t>
  </si>
  <si>
    <t>aphonica@altersinergies.com</t>
  </si>
  <si>
    <t>628-716096</t>
  </si>
  <si>
    <t>http://www.aphonica.banyoles.cat</t>
  </si>
  <si>
    <t>Banyoles - Girona</t>
  </si>
  <si>
    <t>Cataluña</t>
  </si>
  <si>
    <t xml:space="preserve">Alter Sinergies SL  C/ Girona, 161  Ap. de correus 82 17820 Banyoles </t>
  </si>
  <si>
    <t>Ayuntamiento de Banyoles (Organizador)/ Alter Sinergies (Productor)</t>
  </si>
  <si>
    <t>Dedicado a la Veu, el Festival (a)phònica ) tiene lugar en la capital del Pla de l’Estany con importantes artistas para todos los públicos.</t>
  </si>
  <si>
    <t>Pop / Indie Pop / Jazz / Soul / Clásica / Folk</t>
  </si>
  <si>
    <t>Por determinar 2021</t>
  </si>
  <si>
    <t>18.000</t>
  </si>
  <si>
    <t>15.0</t>
  </si>
  <si>
    <t>01 New Year's Day</t>
  </si>
  <si>
    <t>info@produccionestoro.com info@disorderevents.com efernandezd@planetevents.es info@fluge.es</t>
  </si>
  <si>
    <t>958-515139 (Hermanos Toro)                                91-5236872 (Disorder Events)                        91-7810818 91-7817983 (Planet Events)           91-8231050 91-8231080 (Fluge)</t>
  </si>
  <si>
    <t>http://01newyearsday.com/</t>
  </si>
  <si>
    <t>Comunidad de Madrid</t>
  </si>
  <si>
    <t>IFEMA (Pabellón 7)</t>
  </si>
  <si>
    <t>Promotores:                                         Hermanos Toro                                    Disorder Events                                       Fluge Entertainment                              Planet Events</t>
  </si>
  <si>
    <t xml:space="preserve">Nace el mayor evento de Año Nuevo celebrado en la capital. El 1 de enero lo empezarás bailando con los mejores artistas del mundo en el mejor espacio que hayas podido imaginar.  </t>
  </si>
  <si>
    <t>01-01-2021</t>
  </si>
  <si>
    <t>101 Sun Festival</t>
  </si>
  <si>
    <t>efernandezd@planetevents.es
mundo@grupomundo.es comunicacion@grupomundo.es</t>
  </si>
  <si>
    <t xml:space="preserve">Planet Events: 91-7810818, 91-7817983
</t>
  </si>
  <si>
    <t>http://www.101sunfestival.com/</t>
  </si>
  <si>
    <t>Málaga</t>
  </si>
  <si>
    <t>Andalucía</t>
  </si>
  <si>
    <t>Estadio de Atletismo Ciudad de Málaga</t>
  </si>
  <si>
    <t xml:space="preserve">Organizan: Planet Events </t>
  </si>
  <si>
    <t>Festival que se estrena este año y espera convertirse en una de las citas más importantes de la agenda estival y una referencia en el sur de España.</t>
  </si>
  <si>
    <t>Pop</t>
  </si>
  <si>
    <t xml:space="preserve">11-07-2017
-
13-07-2017 </t>
  </si>
  <si>
    <t>ARTE</t>
  </si>
  <si>
    <t>17º Ribeira Sacra Festival</t>
  </si>
  <si>
    <t>comunicación@festivalribeirasacra.com</t>
  </si>
  <si>
    <t>www.festivalribeirasacra.com</t>
  </si>
  <si>
    <t>Orense</t>
  </si>
  <si>
    <t>Galicia</t>
  </si>
  <si>
    <t>Ribeira Sacra. Lugo y Ourense.</t>
  </si>
  <si>
    <t>i - radia Crea</t>
  </si>
  <si>
    <t>Se celebra en un lugar que aspira a ser Patrimonio de la Humanidad en 2021 y entresus actividades no sólo hay música en emplazamientos tan especiales como bodegas, miradores, catamaranes… Sino también catas, etc.</t>
  </si>
  <si>
    <t>31-07-2020
 -
 02-08-2020</t>
  </si>
  <si>
    <t>17.0</t>
  </si>
  <si>
    <t>4 Every1 Festival</t>
  </si>
  <si>
    <t>http://4every1festival.com/</t>
  </si>
  <si>
    <t xml:space="preserve">Getafe </t>
  </si>
  <si>
    <t>Calle Madrid 7, Móstoles</t>
  </si>
  <si>
    <t>Artist Consulting Media, S.L.</t>
  </si>
  <si>
    <t>Festival al aire libre con diecinueve horas de música electrónica en directo en un preciso y amplio recinto madrileño</t>
  </si>
  <si>
    <t>Música Electrónica</t>
  </si>
  <si>
    <t>08-09-2018</t>
  </si>
  <si>
    <t>4Ever Valencia Fest</t>
  </si>
  <si>
    <t>info@4evervalenciafest.com</t>
  </si>
  <si>
    <t>https://www.4evervalenciafest.com/</t>
  </si>
  <si>
    <t>Valencia</t>
  </si>
  <si>
    <t>Comunidad Valenciana</t>
  </si>
  <si>
    <t>La Marina de Valencia</t>
  </si>
  <si>
    <t>Smile Music</t>
  </si>
  <si>
    <t>Festival único con la selección de artistas más relevantes de diferentes estilos musicales. Con artistas nacionales multigénero y atemporal.</t>
  </si>
  <si>
    <t>Pop / Indie Rock / Indie pop / Electrónica / Dance / Rock /  Punk</t>
  </si>
  <si>
    <t>25-06-2021
-
26-06-2020</t>
  </si>
  <si>
    <t>17.000</t>
  </si>
  <si>
    <t>3.0</t>
  </si>
  <si>
    <t>981 Heritage</t>
  </si>
  <si>
    <t>hector@masgalicia.net</t>
  </si>
  <si>
    <t>663-845333 (Masgalicia)</t>
  </si>
  <si>
    <t>http://981heritage.com/</t>
  </si>
  <si>
    <t>Varios espacios. Madrid</t>
  </si>
  <si>
    <t>Universalodds</t>
  </si>
  <si>
    <t>15 años descubriendo algunos de los artistas y tendencias más innovadoras del panorama internacional.</t>
  </si>
  <si>
    <t>Experimental / Vanguardia</t>
  </si>
  <si>
    <t>Septiembre - Diciembre 2021</t>
  </si>
  <si>
    <t>5.000</t>
  </si>
  <si>
    <t>16.0</t>
  </si>
  <si>
    <t>A Candeloria</t>
  </si>
  <si>
    <t>info@acandeloria.org</t>
  </si>
  <si>
    <t xml:space="preserve">982-297100 </t>
  </si>
  <si>
    <t>https://acandeloria.org/</t>
  </si>
  <si>
    <t>Pazo de Feiras e Congresos de Lugo</t>
  </si>
  <si>
    <t>Avda. de los Deportes s/n</t>
  </si>
  <si>
    <t>Concello de Lugo y Acandeloria Lugo (Promotores)</t>
  </si>
  <si>
    <t>Festival de música y tradición gallega en una ciudad amurallada.</t>
  </si>
  <si>
    <t>Rock / Metal / Punk</t>
  </si>
  <si>
    <t xml:space="preserve">16-02-2020
</t>
  </si>
  <si>
    <t>4.0</t>
  </si>
  <si>
    <t>A Pico y Pala</t>
  </si>
  <si>
    <t>festivalapicoypala@hotmail.com</t>
  </si>
  <si>
    <t>www.festivalapicoypala.com</t>
  </si>
  <si>
    <t>Córdoba</t>
  </si>
  <si>
    <t>Peñarroya-Pueblonuevo. Córdoba</t>
  </si>
  <si>
    <t>Asociación Cultural a Pico y Pala</t>
  </si>
  <si>
    <t>El propósito que nos mantiene en pie es concienciar a favor de la justicia, la libertad y la unión. Luchamos contra la xenofobia, la homofobia, el machismo y cualquier injusticia social.</t>
  </si>
  <si>
    <t>Metal / Rock / Punk</t>
  </si>
  <si>
    <t>Por determinar 2020</t>
  </si>
  <si>
    <t>A Rebusca Festival</t>
  </si>
  <si>
    <t>festival@arebusca.com</t>
  </si>
  <si>
    <t>https://www.facebook.com/festivalarebusca/timeline?ref=page_internal</t>
  </si>
  <si>
    <t>Manzaneda-Gaicia</t>
  </si>
  <si>
    <t>21-03-2020</t>
  </si>
  <si>
    <t>A Summer Story</t>
  </si>
  <si>
    <t>gustavo@asummerstory.com</t>
  </si>
  <si>
    <t xml:space="preserve">91-5236872 (Disorder) </t>
  </si>
  <si>
    <t>http://asummerstory.com/</t>
  </si>
  <si>
    <t xml:space="preserve">Arganda del Rey </t>
  </si>
  <si>
    <t>Ciudad del Rock de Arganda del Rey</t>
  </si>
  <si>
    <t>Fluge - Disorder Events</t>
  </si>
  <si>
    <t>Es el mayor evento de electrónica en Madrid y uno de los más importantes de la escena nacional.</t>
  </si>
  <si>
    <t>Electrónica / Dance / Techo</t>
  </si>
  <si>
    <t>18-06-2021
 - 
19-06-2021</t>
  </si>
  <si>
    <t>80.000</t>
  </si>
  <si>
    <t>7.0</t>
  </si>
  <si>
    <t>Acordes de Rock</t>
  </si>
  <si>
    <t>contacto@acordesderock.es</t>
  </si>
  <si>
    <t>http://acordesderock.es/</t>
  </si>
  <si>
    <t>Gilena - Sevilla</t>
  </si>
  <si>
    <t>Avda. Principe, 5 41565 Gilena-Sevilla</t>
  </si>
  <si>
    <t>Acordes de Rock, S.L.</t>
  </si>
  <si>
    <t>Evento roquero/heavy y solidario, ya que, a parte de música durante tres días, recauda dinero para la Asociación Española Contra el Cáncer. Hay zona de acampada, comedor, piscina. Antes del inicio del festival, se celebra una fiesta de presentación con comida y bebida gratis.</t>
  </si>
  <si>
    <t>Rock / Heavy</t>
  </si>
  <si>
    <t>Por determinar 2019</t>
  </si>
  <si>
    <t>4.500</t>
  </si>
  <si>
    <t>Acróbates Festival</t>
  </si>
  <si>
    <t>info@festivalacrobates.com </t>
  </si>
  <si>
    <t>http://festivalacrobates.com/</t>
  </si>
  <si>
    <t>L'Hospitalet de Llobregat - Barcelona</t>
  </si>
  <si>
    <t>Teatre Joventut</t>
  </si>
  <si>
    <t>Vanessa Martín</t>
  </si>
  <si>
    <t>es un festival en forma de CICLO de conciertos y recitales, de música y poesía, que se celebra anualmente en la ciudad de Hospitalet de Ll. El festival abarca conciertos de música, recitales de poesía y presentaciones de libros; todo ello, en un espacio de tiempo delimitado, dándole sentido.</t>
  </si>
  <si>
    <t>Varios estilos</t>
  </si>
  <si>
    <t>Actitud Fest</t>
  </si>
  <si>
    <t>info@actitudfest.net           soroll03@yahoo.es</t>
  </si>
  <si>
    <t>http://www.actitudfest.net/</t>
  </si>
  <si>
    <t>Vidreres - Girona</t>
  </si>
  <si>
    <t>Avda. Mediterránea</t>
  </si>
  <si>
    <t>Associació Cutural I Musical Soroll de Vidreres</t>
  </si>
  <si>
    <t xml:space="preserve">Una veintena de bandas nacionales e internacionales llenas de energía y actitud necesaria para participar en el Festival. 
</t>
  </si>
  <si>
    <t>Rock / Indi Rock / Metal Pop / IndePop / Punk / Hardecore-Punk / Post Hardecore</t>
  </si>
  <si>
    <t>1.200</t>
  </si>
  <si>
    <t>11.0</t>
  </si>
  <si>
    <t>Actual Festival (Escenario de culturas contemporáneas)</t>
  </si>
  <si>
    <t xml:space="preserve">virginia@promocionesiregua.es </t>
  </si>
  <si>
    <t>941-220044</t>
  </si>
  <si>
    <t>www.actualfestival.com/</t>
  </si>
  <si>
    <t xml:space="preserve">Logroño </t>
  </si>
  <si>
    <t>La Rioja</t>
  </si>
  <si>
    <t>Varios espacios</t>
  </si>
  <si>
    <t>Gobierno de la Rioja</t>
  </si>
  <si>
    <t>Festival con una combinación perfecta de música, cine y artes. Es el primero del año de culturas contemporáneas</t>
  </si>
  <si>
    <t>Pop / Rock / Folk / Electrónico / Ska / Rap / Soul / Rock</t>
  </si>
  <si>
    <t>02-01-2020
-
06-01-2020</t>
  </si>
  <si>
    <t>25.000</t>
  </si>
  <si>
    <t>30.0</t>
  </si>
  <si>
    <t>Acústica Festival</t>
  </si>
  <si>
    <t>premsa@festivalacustica.cat</t>
  </si>
  <si>
    <t>972 676 011</t>
  </si>
  <si>
    <t>http://www.festivalacustica.cat/</t>
  </si>
  <si>
    <t>Barcelona</t>
  </si>
  <si>
    <t>L’APARADOR ACÚSTIC DE CATALUNYA</t>
  </si>
  <si>
    <t>Acustiquisimos</t>
  </si>
  <si>
    <t>info@acustiquisimos.com // contratacion@artmusicagency.es</t>
  </si>
  <si>
    <t>https://www.acustiquisimos.com/</t>
  </si>
  <si>
    <t>Santiago de Compostela/Vigo/A Coruña/ Ourense</t>
  </si>
  <si>
    <t>Art Music Agency</t>
  </si>
  <si>
    <t>Ofrece experiencias musicales diferentese irrepetibles para todos los sentidos. Las barreras entre público y los artistas se desdibujan para vivir una experiencia musical intimista, única y exquisita.</t>
  </si>
  <si>
    <t>Rock /  Pop /  Hip Hop / Indie / Mestizaje</t>
  </si>
  <si>
    <t>Noviembre del 2021</t>
  </si>
  <si>
    <t>Akubierto Festival</t>
  </si>
  <si>
    <t>fyllana@grupofriends.com
jose@lanuevacubierta.com</t>
  </si>
  <si>
    <t>91-6980834</t>
  </si>
  <si>
    <t>http://akubierto.theclovermusic.com/</t>
  </si>
  <si>
    <t>La Cubierta de Getafe         C/ Progreso Nº2</t>
  </si>
  <si>
    <t>Friend's Group. Francisco Illana</t>
  </si>
  <si>
    <t>Evento de música Rock que tiene lugar en La Cubierta de Leganés y con las actuaciones de las bandas mas populares</t>
  </si>
  <si>
    <t>Rock</t>
  </si>
  <si>
    <t>Al Tran Tran</t>
  </si>
  <si>
    <t>altrantran@gmail.com</t>
  </si>
  <si>
    <t>https://altrantranfestival.negocio.site/</t>
  </si>
  <si>
    <t>Castejón</t>
  </si>
  <si>
    <t>Navarra</t>
  </si>
  <si>
    <t>Castejón, Navarra.</t>
  </si>
  <si>
    <t>Asociación Al Tran Tran Style</t>
  </si>
  <si>
    <t>Pequeño y familiar festival indie, organizado por una asociación sin animo de lucro pero muy profesional.</t>
  </si>
  <si>
    <t>Rock / Pop / Hip Hop / Indie / Mestizaje</t>
  </si>
  <si>
    <t>6.0</t>
  </si>
  <si>
    <t>Alcazaba Festival</t>
  </si>
  <si>
    <t>corosagon@gmail.com</t>
  </si>
  <si>
    <t>www.alcazabafestival.com</t>
  </si>
  <si>
    <t>Badajoz</t>
  </si>
  <si>
    <t>Extremadura</t>
  </si>
  <si>
    <t>Alcazaba Badajoz</t>
  </si>
  <si>
    <t>Producciones de Grandes Eventos SL</t>
  </si>
  <si>
    <t>Pop / Clásica</t>
  </si>
  <si>
    <t>01-08-2020</t>
  </si>
  <si>
    <t>12.000</t>
  </si>
  <si>
    <t>2.0</t>
  </si>
  <si>
    <t>Algarabía</t>
  </si>
  <si>
    <t>samdramato47@gmail.com</t>
  </si>
  <si>
    <t>https://www.instagram.com/algarabia_lalin/</t>
  </si>
  <si>
    <t>Lalín-Pontevedra</t>
  </si>
  <si>
    <t>Sandra</t>
  </si>
  <si>
    <t>Festival cultural.</t>
  </si>
  <si>
    <t>Rock / Rap / Ska</t>
  </si>
  <si>
    <t>03-09-2021
-
05-09-2021</t>
  </si>
  <si>
    <t>300</t>
  </si>
  <si>
    <t>Algarroba Rock</t>
  </si>
  <si>
    <t>648-153633</t>
  </si>
  <si>
    <t>https://es-es.facebook.com/AlgarrobaRock/</t>
  </si>
  <si>
    <t>Algarrobo - Málaga</t>
  </si>
  <si>
    <t>Calle La Escalerilla, 0 S/N, Algarrobo, Málaga</t>
  </si>
  <si>
    <t>Festival de música en directo en la localidad costasoleña de Algarrobo, un enclave mágico para disfrutar de una noche inolvidable.</t>
  </si>
  <si>
    <t>26-09-2020</t>
  </si>
  <si>
    <t>Alhauthor</t>
  </si>
  <si>
    <t>info@ohsalvaje.com</t>
  </si>
  <si>
    <t>http://www.alhauthor.com/</t>
  </si>
  <si>
    <t>Alhaurín de la Torre - Málaga</t>
  </si>
  <si>
    <t>Oh, Salvaje</t>
  </si>
  <si>
    <t>Ciclo de conciertos (ed.2020: Anni B
Sweet, El Kanka, Rufus T Firefly, Derby
Motoretas, Rayden, Arco, Carmen
Boza, Mr. Kilombo) en el maravilloso
auditorio de la Finca el Portón. Un festival diferente para las noches de verano en la Costa del Sol.</t>
  </si>
  <si>
    <t>Variado</t>
  </si>
  <si>
    <t>15/07/2021
-
05-09-2021</t>
  </si>
  <si>
    <t>2.500</t>
  </si>
  <si>
    <t>Aljarafest Music&amp;Skate Festival</t>
  </si>
  <si>
    <t>comunicación@aljarafest.es</t>
  </si>
  <si>
    <t>https://es-es.facebook.com/aljarafest/</t>
  </si>
  <si>
    <t>Mairena del Aljarafe - Sevilla</t>
  </si>
  <si>
    <t>Centro Hípico. C/ Haya s/n</t>
  </si>
  <si>
    <t>Promotor: Solomusic S.L</t>
  </si>
  <si>
    <t>Segunda edición de ALJARAFEST, música y Skate Festival. Para todo el público.</t>
  </si>
  <si>
    <t xml:space="preserve">Nacional / Pop / Flamenco    </t>
  </si>
  <si>
    <t>09-07-2020
-
12-09-2021</t>
  </si>
  <si>
    <t>3.000</t>
  </si>
  <si>
    <t>Alma Latina Festival</t>
  </si>
  <si>
    <t>contratacion@almalatinafestival.com</t>
  </si>
  <si>
    <t>http://www.almalatinafestival.com/</t>
  </si>
  <si>
    <t>Torremolinos - Málaga</t>
  </si>
  <si>
    <t>Promotor: Hermanos Toro</t>
  </si>
  <si>
    <t>ALMA LATINA FESTIVAL nace para ser
el mayor festival de música latina de
Andalucía. Con grandes estrellas internacionales confirmadas en su primera edición marcará un antes y un después de la música más actual de este género.</t>
  </si>
  <si>
    <t>Latina / Reggaeton / Trap</t>
  </si>
  <si>
    <t>15-07-2021
-
17-07-2021</t>
  </si>
  <si>
    <t>Almeriblues-Cruzcampo
Festival Internacional de Blues</t>
  </si>
  <si>
    <t>santi@4rosasproducciones.com</t>
  </si>
  <si>
    <t>950-321098 
636-183871</t>
  </si>
  <si>
    <t>Roquetas de Mar - Almería</t>
  </si>
  <si>
    <t xml:space="preserve">Explanada del Faro </t>
  </si>
  <si>
    <t>Organiza: 4 Rosas Producciones Artísticas</t>
  </si>
  <si>
    <t>Festival de verano almeriense, que celebra este año su XVI edición y es considerado uno de los mejores festivales de Blues de España. Todo un referente de este estilo de música</t>
  </si>
  <si>
    <t>Jazz / Blues</t>
  </si>
  <si>
    <t>Alrumbo Festival</t>
  </si>
  <si>
    <t>info@alrumbofestival.com
produccion@alrumbofestival.com</t>
  </si>
  <si>
    <t>647-909504</t>
  </si>
  <si>
    <t>www.alrumbofestival.com</t>
  </si>
  <si>
    <t>Chiclana de la Frontera - Cádiz</t>
  </si>
  <si>
    <t>Recinto Vives</t>
  </si>
  <si>
    <t>Organizador: Etni Rocker Producciones.- Javier</t>
  </si>
  <si>
    <t>Un festival de todos los géneros y todo tipo de artistas. Algunos grupos de los más reconocidos a nivel nacional e internacional haciendo que la buena música se apodere del verano.</t>
  </si>
  <si>
    <t>Indie / Pop / Músicas del
Mundo</t>
  </si>
  <si>
    <t>Altacústic</t>
  </si>
  <si>
    <t>altacustic@gmail.com</t>
  </si>
  <si>
    <t>www.altacustic.cat</t>
  </si>
  <si>
    <t>Altafulla</t>
  </si>
  <si>
    <t>Plexo</t>
  </si>
  <si>
    <t>Indie Rock / Pop / Indie Pop / Electrónica / Dance / Jazz / Folk</t>
  </si>
  <si>
    <t>16-07-2020
 - 
18-07-2020</t>
  </si>
  <si>
    <t>8.000</t>
  </si>
  <si>
    <t>Altaveu Festival</t>
  </si>
  <si>
    <t>info@festivalaltaveu.cat</t>
  </si>
  <si>
    <t>www.festivalaltaveu.cat/</t>
  </si>
  <si>
    <t>Sant Boi de Llobregat</t>
  </si>
  <si>
    <t>Carles Villar</t>
  </si>
  <si>
    <t>El peso específico de los nombres propios - las individualidades -, el valor de los autores de casa y una promiscua debilidad por la mezcla de lenguas, culturas, estéticas y sonoridades, es la definición más característica de este festival, uno de los más locales y más universales la vez.</t>
  </si>
  <si>
    <t>Pop-Rock</t>
  </si>
  <si>
    <t>02-04-2020
- 
04-04-2020</t>
  </si>
  <si>
    <t>31.0</t>
  </si>
  <si>
    <t>Alterna Festival</t>
  </si>
  <si>
    <t>alternafesti@gmail.com</t>
  </si>
  <si>
    <t>656-832764</t>
  </si>
  <si>
    <t>http://alternafestival.es/</t>
  </si>
  <si>
    <t>El Bonillo - Albacete</t>
  </si>
  <si>
    <t>Castilla-La Mancha</t>
  </si>
  <si>
    <t> Calle Don Quijote de la Mancha, 2, 02610 El Bonillo, Albacete</t>
  </si>
  <si>
    <t>Pablo Berrintxe (Producciones)</t>
  </si>
  <si>
    <t>Dedicado para los amantes de este estilo de música que, contarán con zona de acampada gratuita y barra. Es un festival que poco a poco ha ido creciendo, pero aún conserva ese ambiente familiar, que es lo que lo hace tan especial.</t>
  </si>
  <si>
    <t>Rock / Metal / Punk / Mestizaje</t>
  </si>
  <si>
    <t>09-07-2021 
- 
11-07-2021</t>
  </si>
  <si>
    <t>4.200</t>
  </si>
  <si>
    <t>13.0</t>
  </si>
  <si>
    <t>Amante Festival</t>
  </si>
  <si>
    <t>https://festivalamante.org</t>
  </si>
  <si>
    <t>Borja - Zaragoza</t>
  </si>
  <si>
    <t>Castilla-León</t>
  </si>
  <si>
    <t xml:space="preserve">Plaza del Mercado </t>
  </si>
  <si>
    <t>Une en un mismo evento la música, el vino y la cultura, tomando como protagonistas los espacios más emblemáticos de la ciudad de Borja.</t>
  </si>
  <si>
    <t>Indie / Pop / Música Electrónica</t>
  </si>
  <si>
    <t>AmFest</t>
  </si>
  <si>
    <t>rock@amfest.es              natalia@brovedanni.es (prensa)</t>
  </si>
  <si>
    <t>http://www.amfest.es/</t>
  </si>
  <si>
    <t>Sala [2] y Sala Apolo,Carrer Nou de la Rambla, 111</t>
  </si>
  <si>
    <t>Organizado Asociación AMF</t>
  </si>
  <si>
    <t>Festival Instrumental de Barcelona</t>
  </si>
  <si>
    <t>06-11-2020
-
08-11-2020</t>
  </si>
  <si>
    <t>Andoaingo Rock Jaialdia</t>
  </si>
  <si>
    <t>info@iwanna.org</t>
  </si>
  <si>
    <t>www.andoaingorockjaialdia.wordpress.com</t>
  </si>
  <si>
    <t>San Sebastián</t>
  </si>
  <si>
    <t>Euskadi</t>
  </si>
  <si>
    <t>Andoain. Gipuzkuoa</t>
  </si>
  <si>
    <t>I Wanna Management</t>
  </si>
  <si>
    <t>Un buen festival gratuito en el que descubrir nuevas propuestas y propuestas minoritarias consolidadas no asiduas en el resto de festivales. Pequeño y familiar festival indie, organizado por una asociación sin ánimo de lucro pero muy profesional.</t>
  </si>
  <si>
    <t>Anfirock</t>
  </si>
  <si>
    <t>anfirockislacristina@gmail.com</t>
  </si>
  <si>
    <t>722 27 93 22</t>
  </si>
  <si>
    <t>www.anfirock.com</t>
  </si>
  <si>
    <t>Isla Cristina - Huelva</t>
  </si>
  <si>
    <t>C/ Arquitecto Aramburu Maqua 1. 21410 Isla Cristina - Huelva</t>
  </si>
  <si>
    <t>Costaluzfest</t>
  </si>
  <si>
    <t>Un festival que busca conciliar música en directo, playa, gastronomía y precios asequibles. contratando artistas principalmente nacionales como punto de partida, pretende ofrecer algo diferente al público y la posibilidad de descubrir nuevas bandas que normalmente no suelen tener presencia en los grandes eventos multitudinarios de este país.</t>
  </si>
  <si>
    <t>Rock / Indie</t>
  </si>
  <si>
    <t>Animal Sound</t>
  </si>
  <si>
    <t>comunicacion@animalsoundfest.com</t>
  </si>
  <si>
    <t>646-501780</t>
  </si>
  <si>
    <t>http://www.animalsoundfestival.com/</t>
  </si>
  <si>
    <t>Murcia</t>
  </si>
  <si>
    <t>Recinto Ferial La Fica de Murcia (Avda. Primero de Mayo 19 30003 Murcia)</t>
  </si>
  <si>
    <t>Promotor: Animal Sound Group</t>
  </si>
  <si>
    <t>El festival de música electrónica de la Región de Murcia. Más de 12 horas de fiesta con djs y artistas nacionales e internacionales.</t>
  </si>
  <si>
    <t>EDM /
Underground /
Hard-style /
Hardcore / Trap /
Rap / Remember</t>
  </si>
  <si>
    <t>18-06-2021
-
19-06-2021</t>
  </si>
  <si>
    <t>40.000</t>
  </si>
  <si>
    <t>Aquasella Festival</t>
  </si>
  <si>
    <t>info.aquasella@gmail.com</t>
  </si>
  <si>
    <t>www.aquasella.com/</t>
  </si>
  <si>
    <t>Arriondas - Cangas de Onís</t>
  </si>
  <si>
    <t>Asturias</t>
  </si>
  <si>
    <t>Cangas de Onis. Asturias</t>
  </si>
  <si>
    <t>Organiza: La Real Producciones</t>
  </si>
  <si>
    <t>Veterano festival de música electrónica asturiano, de veinte horas de duración ininterrumpidamente, tres escenarios y un line up con más Dj's</t>
  </si>
  <si>
    <t>Electrónica</t>
  </si>
  <si>
    <t>19-08-2021
-
22-08-2021</t>
  </si>
  <si>
    <t>24.0</t>
  </si>
  <si>
    <t>Aquatica Music Festival</t>
  </si>
  <si>
    <t>info@aquaticamusicfestival.com</t>
  </si>
  <si>
    <t>971-891023</t>
  </si>
  <si>
    <t>http://www.aquaticamusicfestival.com/</t>
  </si>
  <si>
    <t>Alcudia - Mallorca</t>
  </si>
  <si>
    <t>Islas Baleares</t>
  </si>
  <si>
    <t>Hidropark (Avda. Tucá s/n - Puerto de Alcudia)</t>
  </si>
  <si>
    <t>Yell Oh Entertaiment SLU</t>
  </si>
  <si>
    <t>Electrónica / Sesiones de djs</t>
  </si>
  <si>
    <t>Araland</t>
  </si>
  <si>
    <t>info@aramusicgroup.com</t>
  </si>
  <si>
    <t>91-7046832</t>
  </si>
  <si>
    <t>http://aralandmusic.com/</t>
  </si>
  <si>
    <t>Madrid- Cartagena- Euskadi-Murcia</t>
  </si>
  <si>
    <t>Comunidad de Madrid - Región de Murcia- País Vasco</t>
  </si>
  <si>
    <t>Ara Music Entertainment</t>
  </si>
  <si>
    <t>Festival de Ara Music Group organizado en 4 puntos del país: Madrid, Euskadi, Cartagena y Murcia</t>
  </si>
  <si>
    <t>Varios</t>
  </si>
  <si>
    <t>Arbo Rock</t>
  </si>
  <si>
    <t>info@arborock.com</t>
  </si>
  <si>
    <t>http://arborock.wixsite.com/festival-arborock</t>
  </si>
  <si>
    <t>Arbo - Pontevedra</t>
  </si>
  <si>
    <t>Ctra. PO-400 (Salvaterra a Filgueira) Pto. Km. 17 - Arbo</t>
  </si>
  <si>
    <t>Asociación Cultural Arbo Rock (Promotor)</t>
  </si>
  <si>
    <t>El Festival Arbo Rock pretende llegar a convertirse en un referente de música rock del Sur de la provincia.</t>
  </si>
  <si>
    <t>17-07-2020
 -  
18-07-2020</t>
  </si>
  <si>
    <t>Arenal Sound</t>
  </si>
  <si>
    <t>info@arenalsound.com / t.abril@themusicrepublic.es</t>
  </si>
  <si>
    <t>96-3393870                  692-838887</t>
  </si>
  <si>
    <t>www.arenalsound.com/</t>
  </si>
  <si>
    <t>Burriana - Castellón</t>
  </si>
  <si>
    <t>Burriana. Castellón</t>
  </si>
  <si>
    <t>Promotor: The Music Republic</t>
  </si>
  <si>
    <t>Festival que une sol, playa y música siendo así, uno de los festivales más concurridos de España. La zona de acampada se encuentra muy próxima a la playa y durante esos días se podrá disfrutar de más de setenta grupos y Dj's</t>
  </si>
  <si>
    <t>Indie Rock / Rock / Indie Pop  Electrónica / Dance / Electro Disgustin / Reggae / Hip- Hop / Rap / Trap</t>
  </si>
  <si>
    <t xml:space="preserve"> 27-07-2021
-
 01-08-2021</t>
  </si>
  <si>
    <t>300.000</t>
  </si>
  <si>
    <t>10.0</t>
  </si>
  <si>
    <t>Armadiña Rock</t>
  </si>
  <si>
    <t>armadinha.rock@armadinha.gal</t>
  </si>
  <si>
    <t>https://festival.armadinha.gal/</t>
  </si>
  <si>
    <t>Combarro - Pontevedra</t>
  </si>
  <si>
    <t>Praza Peirao da Chousa Combarro</t>
  </si>
  <si>
    <t>Promotor:Asociación Cultural  Deportiva e Mediioambiental Armandiña</t>
  </si>
  <si>
    <t>Es un festival gratuito de música que se celebra cada mes de agosto dentro de la programación de A Festa do mar en Combarro. Este festival comenzó su andadura en el año 2009 y se caracteriza por un cartel compuesto, principalmente, por grupos de rock, punk, garage y folk que suelen pertenecer al ámbito musical gallego.</t>
  </si>
  <si>
    <t xml:space="preserve">21-08-2020
-
23-08-2020 </t>
  </si>
  <si>
    <t>12.0</t>
  </si>
  <si>
    <t>Armintza Txapel Reggae</t>
  </si>
  <si>
    <t>armintzajb@gmail.com</t>
  </si>
  <si>
    <t>846-661337</t>
  </si>
  <si>
    <t>www.txapelreggae.eus</t>
  </si>
  <si>
    <t>Armintza</t>
  </si>
  <si>
    <t>Armintxa. Bizkaia</t>
  </si>
  <si>
    <t>Armintzako Jai Batzordea</t>
  </si>
  <si>
    <t>Festival de Reggae, no sólo único por su enclave pesquero, sino también por el hecho de ser un festival autogestionado, abierto, plural y de acceso gratuito en el que todo aquel que lo desee es bienvenido a conocer y disfrutar de una velada inolvidable.</t>
  </si>
  <si>
    <t>Reggae / Hip-Hop / Rap / Ska / Dub / Rocksteady / Early Reggae / Digital.</t>
  </si>
  <si>
    <t>25.0</t>
  </si>
  <si>
    <t>Arona Summer Festival</t>
  </si>
  <si>
    <t>info@aronasummerfestival.com</t>
  </si>
  <si>
    <t>682-770686</t>
  </si>
  <si>
    <t>http://www.aronasummerfestival.com/</t>
  </si>
  <si>
    <t>Arona - Tenerife</t>
  </si>
  <si>
    <t>Islas Canarias</t>
  </si>
  <si>
    <t>Estadio Olímpico Antonio Domínguez</t>
  </si>
  <si>
    <t>Festival de música electrónica en el que, además, se podrá disfrutar de otras actividades como: avistamiento de ballenas, kayak, senderismo, ruta de las estrellas…</t>
  </si>
  <si>
    <t xml:space="preserve"> 27-07-2020
 - 
18-07-2020</t>
  </si>
  <si>
    <t>Arrea Majo Festival</t>
  </si>
  <si>
    <t>arreamajofestival@gmail.com</t>
  </si>
  <si>
    <t>https://arreamajo.com/</t>
  </si>
  <si>
    <t>Ciruelos de Coca - Segovia</t>
  </si>
  <si>
    <t>Comision de Fiestas de Ciruelos de Coca</t>
  </si>
  <si>
    <t>Rock Alternativo</t>
  </si>
  <si>
    <t>24-07-2020
 - 
26-07-2020</t>
  </si>
  <si>
    <t>Arrecife en Vivo</t>
  </si>
  <si>
    <t>semi@hsmith.es</t>
  </si>
  <si>
    <t>http://www.arrecifeenvivo.com/</t>
  </si>
  <si>
    <t>Las Palmas de Gran Canaria</t>
  </si>
  <si>
    <t>Arrecife, Lanzarote. Las Palmas</t>
  </si>
  <si>
    <t xml:space="preserve">HSMith Solutions </t>
  </si>
  <si>
    <t>Se celebra los dos últimos viernes de septiembre y los dos primeros viernes de octubre, en plena temporada de las calmas,cuando la isla de Lanzarote alcanza su temperatura óptima (21º en el agua y 24º en tierra).</t>
  </si>
  <si>
    <t>Rock / Pop /
Electrónica / World
music</t>
  </si>
  <si>
    <t>17-09-2021
-
08-10-2021</t>
  </si>
  <si>
    <t>9.0</t>
  </si>
  <si>
    <t>Arrikurock</t>
  </si>
  <si>
    <t>info@arrikurock.net</t>
  </si>
  <si>
    <t>www.arrikurock.net</t>
  </si>
  <si>
    <t>Antsoain</t>
  </si>
  <si>
    <t>Asociación Arricurock</t>
  </si>
  <si>
    <t>8.0</t>
  </si>
  <si>
    <t>Arrockyo</t>
  </si>
  <si>
    <t>wildpunk@wildpunk.com</t>
  </si>
  <si>
    <t>958-250249</t>
  </si>
  <si>
    <t>https://www.ayto-arroyomolinos.org/ayuntamiento/concejalias/educacion-infancia-adolescencia-juventud-y-cooperacion-al-desarrollo/infancia-y-juventud/articulos/arroyomolinos-presenta-la-iii-edicion-del-festival-arrockyo-en-vivo-cuyo-cartel-encabezan-medina-azahara-siniestro-total-y-la-desbandada</t>
  </si>
  <si>
    <t>Arroyomolinos</t>
  </si>
  <si>
    <t>Parking Auditorio (C/ Madrid 25 - Arroyomolinos)</t>
  </si>
  <si>
    <t>Wild Punk: Fernando Novi</t>
  </si>
  <si>
    <t>Festival con el objetivo de promocionar a jóvenes artistas y grupos locales, a los que incluye anualmente en su cartel artístico junto con nombres consagrados del panorama rock actual de nuestro país.</t>
  </si>
  <si>
    <t>958-252413</t>
  </si>
  <si>
    <t>Arteficial</t>
  </si>
  <si>
    <t>festivalarteficial@hotmail.com</t>
  </si>
  <si>
    <t>http://www.festivalarteficial.org/</t>
  </si>
  <si>
    <t>Ribadavia - Orense</t>
  </si>
  <si>
    <t>Conjuno histórico de Ribadavia (Plaza de Bujan, Plaza de la Magdalena y Centro Sociocultural de la Magdalena)</t>
  </si>
  <si>
    <t>Asociación Cultural Ecolóxico educativa arteficial</t>
  </si>
  <si>
    <t>Festival músico-cultural que se celebra en agosto en la capital de la comarca de O Ribeiro (Ourense).Apoya y ayuda a otras iniciativas que se desarrollan en Ribadavia como Proxecto Barullo, Noite Meiga, Cerdos no son caballos, Electronics Arts y muchas otras iniciativas que se llevan desarrollado desde 2006, que es cuando comenzó la asociación, en la comarca de O Ribeiro.</t>
  </si>
  <si>
    <t>Indie / Alternativa</t>
  </si>
  <si>
    <t>05-09-2020</t>
  </si>
  <si>
    <t>800</t>
  </si>
  <si>
    <t>Artenou Festival</t>
  </si>
  <si>
    <t>artenou@gmail.com</t>
  </si>
  <si>
    <t>608-882069 La Cápsula del Tiempo 626-705869 Javi</t>
  </si>
  <si>
    <t>https://www.artenou.com/</t>
  </si>
  <si>
    <t>Sant Boi de Llobregat - Barcelona</t>
  </si>
  <si>
    <t>Parc de Can Mercader</t>
  </si>
  <si>
    <t>La Cápsula del Tiempo (Promotor)           Javi Doblas (Dirección y Producción)</t>
  </si>
  <si>
    <t xml:space="preserve">Un festival diferente, que se aleja de los eventos masivos para ofrecer una experiencia cultural cercana, cuidada al detalle y que prioriza el bienestar y el disfrute de cada asistente. Una mirada abierta y flexible al mundo de la electrónica define un cartel ecléctico y emocionante que apuesta por artistas emergentes de la escena nacional e internacional y que invita al usuario a conocer nuevas propuestas y nuevos sonidos. Se celebra, en su mayor parte, en horario diurno y en un espacio al aire libre. De acceso totalmente gratuito y contando con la participación de entidades y asociaciones locales.
</t>
  </si>
  <si>
    <t>Música Electrónica / Nuevas tendencias</t>
  </si>
  <si>
    <t xml:space="preserve">18-07-2020
</t>
  </si>
  <si>
    <t>500</t>
  </si>
  <si>
    <t>Artimusic</t>
  </si>
  <si>
    <t>comunicacion@todolocrialatierra.com</t>
  </si>
  <si>
    <t>648-726890</t>
  </si>
  <si>
    <t>http://www.todolocrialatierra.com/</t>
  </si>
  <si>
    <t>Espinosa de los Monteros - Burgos</t>
  </si>
  <si>
    <t>Asociación Ábrego, Medio Ambiente y Desarrollo Rural (Promotor)</t>
  </si>
  <si>
    <t xml:space="preserve">Festival con el objetivo de impulsar y revalorizar la cultura y el folklore tradicional de los pueblos de España. </t>
  </si>
  <si>
    <t>Folk / Cultura Tradicional / Teatro / Espectáculos en la naturaleza</t>
  </si>
  <si>
    <t>10-07-2020
 - 
19-07-2020</t>
  </si>
  <si>
    <t>1.500</t>
  </si>
  <si>
    <t>Arts D'Estiu Costa Barcelona</t>
  </si>
  <si>
    <t>info@artsdestiu.com</t>
  </si>
  <si>
    <t>659 41 11 55</t>
  </si>
  <si>
    <t>http://www.artsdestiu.com/</t>
  </si>
  <si>
    <t>Pineda de Mar - Barcelona</t>
  </si>
  <si>
    <t>Carrer Sant Joan, 31, 08397 Pineda de Mar, Barcelona</t>
  </si>
  <si>
    <t>Centre Cultural I Recreatiu y Ayuntamiento Pineda de Mar (Promotor)</t>
  </si>
  <si>
    <t>Festival que combina diferentes propuestas artísticas e inquietudes culturales: música, danza, teatro, magia, humor, etc. Un festival dirigido a todos los públicos.</t>
  </si>
  <si>
    <t>02-08-2020</t>
  </si>
  <si>
    <t>1.800 - 3.600</t>
  </si>
  <si>
    <t>Aspesuena Festival</t>
  </si>
  <si>
    <t>festivalaspesuena@gmail.com</t>
  </si>
  <si>
    <t>https://b-m.facebook.com/FestivalAspesuena/</t>
  </si>
  <si>
    <t>Aspe- Alicante</t>
  </si>
  <si>
    <t>Auditorio Alfredo Krauss</t>
  </si>
  <si>
    <t>Festival de entrada gratuita</t>
  </si>
  <si>
    <t>Pop / Rock / Indie  Electrónica</t>
  </si>
  <si>
    <t>Atlantic Fest</t>
  </si>
  <si>
    <t xml:space="preserve">atlanticfest@newlive.es
</t>
  </si>
  <si>
    <t>http://www.atlanticfest.com</t>
  </si>
  <si>
    <t>Isla de Arousa - Pontevedra</t>
  </si>
  <si>
    <t>Illa de Arousa. Pontevedra</t>
  </si>
  <si>
    <t xml:space="preserve">Promotor: New Live Promociones Culturales S.L. </t>
  </si>
  <si>
    <t>el festival con espíritu familiar, reúne en un solo evento una selección de artistas de calidad, actividades para niños, mercado discográfico, conferencias, charlas, zona gastronómica...</t>
  </si>
  <si>
    <t xml:space="preserve">Indie Rock / Inde Pop / Rock / Pop  </t>
  </si>
  <si>
    <t>16-07-2021
-
18-07-2021</t>
  </si>
  <si>
    <t>Atlantic Sons Festival</t>
  </si>
  <si>
    <t>info@summummusic.com</t>
  </si>
  <si>
    <t>91-8554162</t>
  </si>
  <si>
    <t>http://atlanticsonsfestival.com</t>
  </si>
  <si>
    <t>Teatro Nuevo Apolo
Sala Bogui Jazz</t>
  </si>
  <si>
    <t>Summum Music</t>
  </si>
  <si>
    <t>Festival que nació en 2016 siendo un encuentro de artistas portugueses en Madrid, pero que ahora se amplía a otros países y géneros como el Blues, Jazz, Flamenco…
Amplia oferta de conciertos desde Otoño hasta Primavera en la capital madrileña</t>
  </si>
  <si>
    <t>Jazz / Soul / Fado / Blues / Flamenco / Funk</t>
  </si>
  <si>
    <t>Azero's Rock Festival</t>
  </si>
  <si>
    <t>jav.mier@hotmail.com</t>
  </si>
  <si>
    <t>https://es-es.facebook.com/AzerosRockFest/</t>
  </si>
  <si>
    <t xml:space="preserve">Astillero </t>
  </si>
  <si>
    <t>Cantabria</t>
  </si>
  <si>
    <t>Parque de la Fondona</t>
  </si>
  <si>
    <t>Festival de Rock.</t>
  </si>
  <si>
    <t>Por confirmar 2021</t>
  </si>
  <si>
    <t>27.000</t>
  </si>
  <si>
    <t>Azkena Rock Festival</t>
  </si>
  <si>
    <t>contratacion@lasttour.net // dudas@lasttour.net</t>
  </si>
  <si>
    <t>94-4154551</t>
  </si>
  <si>
    <t>http://azkenarockfestival.com/</t>
  </si>
  <si>
    <t>Mendizabala - Vitoria-Gasteiz</t>
  </si>
  <si>
    <t>Vitoria- Gazteiz. Araba</t>
  </si>
  <si>
    <t>Last Tour International</t>
  </si>
  <si>
    <t>Festival en que se programan
actuaciones de lujo por la gran calidad
del sonido del recinto y de los artistas. Es el único festival de su especie en nuestro país, con la mas completa y variada combinación del rock y sus ramificaciones.</t>
  </si>
  <si>
    <t>Rock / Punk / Hard Rock / Heavy</t>
  </si>
  <si>
    <t>17-06-2021
-
21-06-2021</t>
  </si>
  <si>
    <t>36.000</t>
  </si>
  <si>
    <t>19.0</t>
  </si>
  <si>
    <t>Azuqueca Live Festival</t>
  </si>
  <si>
    <t>info@azuquecalive.com</t>
  </si>
  <si>
    <t>949-265923</t>
  </si>
  <si>
    <t>www.azuquecalive.com/</t>
  </si>
  <si>
    <t>Guadalajara</t>
  </si>
  <si>
    <t>Azuqueca de Henares. Complejo Deportivo San Miguel</t>
  </si>
  <si>
    <t>Festival en la localidad de Azuqueca de Henares con las actuaciones de las bandas mas populares del Pop/Rock español, durante dos días</t>
  </si>
  <si>
    <t>Pop / Rock</t>
  </si>
  <si>
    <t>949-262348</t>
  </si>
  <si>
    <t xml:space="preserve">Babylon Festival </t>
  </si>
  <si>
    <t>info@babylonfestival.es</t>
  </si>
  <si>
    <t>680-405796</t>
  </si>
  <si>
    <t>http://www.babylonfestival.es/</t>
  </si>
  <si>
    <t>Cuenca</t>
  </si>
  <si>
    <t>Plaza de Toros</t>
  </si>
  <si>
    <t>Ayuntamiento de Cuenca y Sala Babylon S.L (Organizador)</t>
  </si>
  <si>
    <t>Rock / Pop / Indie</t>
  </si>
  <si>
    <t>20-02-2020
-
23-02-2020</t>
  </si>
  <si>
    <t>Bahía ¡En Vivo!</t>
  </si>
  <si>
    <t>info@bahiaenvivo.com / oscargomez@edificarte.es</t>
  </si>
  <si>
    <t>http://www.bahiaenvivo.com/</t>
  </si>
  <si>
    <t>San Fernando - Cádiz</t>
  </si>
  <si>
    <t>Promotor: Edificarte Eventos S.L.</t>
  </si>
  <si>
    <t>Ciclo de música sostenible en un marco natural en la bahía de Cádiz.</t>
  </si>
  <si>
    <t>Indie / Pop / Rock / Flamenco</t>
  </si>
  <si>
    <t>27-07-2021
-
01-08-2021</t>
  </si>
  <si>
    <t>15.000</t>
  </si>
  <si>
    <t>Balkabarna</t>
  </si>
  <si>
    <t>contact@balkabarna-festival.com</t>
  </si>
  <si>
    <t>http://balkabarna-festival.com/</t>
  </si>
  <si>
    <t xml:space="preserve">Barcelona </t>
  </si>
  <si>
    <t>Vincent Bernat</t>
  </si>
  <si>
    <t>Es una propuesta única en España, un festival dedicado a las músicas y culturas de las Balcanes y Europa del Este con danzas tradicionales, talleres, conferencias y zona gastronómica de comida típica.</t>
  </si>
  <si>
    <t>Músicas del mundo</t>
  </si>
  <si>
    <t>Ballantine's True Music Festival</t>
  </si>
  <si>
    <t>info@livenation.es</t>
  </si>
  <si>
    <t>93-4592362 (Live Nation)</t>
  </si>
  <si>
    <t>https://www.ballantines.com/es-es/campaign/ballantines-true-music-festival</t>
  </si>
  <si>
    <t>Varios Espacios</t>
  </si>
  <si>
    <t>Promotor: Live Nation                    Organizador: Círculo de Bellas Artes</t>
  </si>
  <si>
    <t xml:space="preserve">Un nuevo concepto de festival urbano con más de 140 artistas nacionales e internacionales, de distintos géneros musicales, donde podrás perderte por 17 salas emblemáticas de la ciudad.
</t>
  </si>
  <si>
    <t>Indie / Rock /  Electrónica / Folk / Rap</t>
  </si>
  <si>
    <t>14.000</t>
  </si>
  <si>
    <t>93-4591756</t>
  </si>
  <si>
    <t>Barcelona Acció Musical (BAM)</t>
  </si>
  <si>
    <t>bam@bam.cat</t>
  </si>
  <si>
    <t>https://www.barcelona.cat/bam/ca/</t>
  </si>
  <si>
    <t>Ayuntamiento de Barcelona</t>
  </si>
  <si>
    <t>Es un festival que descubre los talentos emergentes de la música dance, electrónica, rock o pop de Cataluña y del mundo se define por su voluntad de explorar nuevos sonidos , BAM acerca a la ciudad a los artistas más experimentales e imaginativos del momento.</t>
  </si>
  <si>
    <t>Dance / Electrónica / Pop / Rock</t>
  </si>
  <si>
    <t>24-09-2020
-
27-09-2020</t>
  </si>
  <si>
    <t>18.0</t>
  </si>
  <si>
    <t>Barcelona Beach Festival (BBF)</t>
  </si>
  <si>
    <t>93-4592362</t>
  </si>
  <si>
    <t>http://bcnbeachfestival.com/</t>
  </si>
  <si>
    <t>San Adriá de Besos - Barcelona</t>
  </si>
  <si>
    <t>Playa del Fórum y Parc de La Pau - Sant Adriá de Besós</t>
  </si>
  <si>
    <t xml:space="preserve">Live Nation </t>
  </si>
  <si>
    <t>Primera edición de este festival en la playa de Barcelona, que reúne en un solo día a los grandes artistas de la música dance.</t>
  </si>
  <si>
    <t>Electrónica / Dance</t>
  </si>
  <si>
    <t>03-07-2021</t>
  </si>
  <si>
    <t>340.000</t>
  </si>
  <si>
    <t>Barcelona Jazz Festival</t>
  </si>
  <si>
    <t xml:space="preserve">934 81 70 40
</t>
  </si>
  <si>
    <t>http://www.jazz.barcelona/</t>
  </si>
  <si>
    <t>The Project</t>
  </si>
  <si>
    <t>Jazz</t>
  </si>
  <si>
    <t>20-11-2020</t>
  </si>
  <si>
    <t>Barcelona Metal Festival</t>
  </si>
  <si>
    <t>barcelonametalfest@gmail.com</t>
  </si>
  <si>
    <t>https://www.facebook.com/BarceMetalFest/</t>
  </si>
  <si>
    <t>Poble Espayol</t>
  </si>
  <si>
    <t>Doctor Music</t>
  </si>
  <si>
    <t>Metal</t>
  </si>
  <si>
    <t>01-07-2021
-
03-047-2021</t>
  </si>
  <si>
    <t>Barcelona Psych Fest</t>
  </si>
  <si>
    <t>barcelonapsychfest@gmail.com (David - prensa)</t>
  </si>
  <si>
    <t>http://www.bcnpsychfest.com/</t>
  </si>
  <si>
    <t>Sala Upload</t>
  </si>
  <si>
    <t xml:space="preserve">Reune a bandas de rock psicodélico, shoegaze y post rock en un único fin de semana. </t>
  </si>
  <si>
    <t>Rock / Psicodelia</t>
  </si>
  <si>
    <t>03-04-2020
-
04-04-2020</t>
  </si>
  <si>
    <t>Barna 'N' Roll</t>
  </si>
  <si>
    <t>barnanroll@gmail.com</t>
  </si>
  <si>
    <t>93 508 63 00</t>
  </si>
  <si>
    <t>http://www.barnanroll.com/</t>
  </si>
  <si>
    <t>Osa de Montiel-Albacete</t>
  </si>
  <si>
    <t>El Poble Espanyol                           Av Francesc Ferrer i Guardia, 13</t>
  </si>
  <si>
    <t xml:space="preserve">Punk, ska y mucho más en el festival Barna'n'roll. Cuando hablamos de festivales de música en Barcelona, ​​o de largas jornadas de un día donde tocan un número significativo de bandas, casi nunca se oye hablar de estilos como el ska o el punk. </t>
  </si>
  <si>
    <t>30-08-2021
 - 
31-08-2021</t>
  </si>
  <si>
    <t>Barnasants</t>
  </si>
  <si>
    <t>barnasants@barnasants.com</t>
  </si>
  <si>
    <t>93-4322305 670-299499</t>
  </si>
  <si>
    <t>www.barnasants.com/</t>
  </si>
  <si>
    <t>Pere Camps Producciones - Pere Camps</t>
  </si>
  <si>
    <t>Festival de música de autor que se celebra en diferentes puntos de Barcelona. Es el más importante de su género, presentando a las grandes figuras consagradas de la canción de autor.</t>
  </si>
  <si>
    <t>Canción de Autor</t>
  </si>
  <si>
    <t xml:space="preserve">22 al 29-11-2020
-
23 al 30-01-2021
-
07 al 21-02-2021
</t>
  </si>
  <si>
    <t>Barruan</t>
  </si>
  <si>
    <t>barruanfest@gmail.com</t>
  </si>
  <si>
    <t>www.barruan.net</t>
  </si>
  <si>
    <t>Bilbao</t>
  </si>
  <si>
    <t>Bilbao. Bizkaia</t>
  </si>
  <si>
    <t>Barruan Kultur</t>
  </si>
  <si>
    <t>Es un recorrido urbano diseñado para Bilbao. Un cruce de caminos, una mixtura de estilos, lugares y disciplinas que recorre la ciudad con conciertos en lugares no habituales acompañados por creación gastronómica.</t>
  </si>
  <si>
    <t>Soul / Dancehall / Trap</t>
  </si>
  <si>
    <t>03-10-2020
 - 
06-10-2020</t>
  </si>
  <si>
    <t>Basik Sessions</t>
  </si>
  <si>
    <t>alvaro@basiksessions.es</t>
  </si>
  <si>
    <t>665 64 76 45</t>
  </si>
  <si>
    <t>https://basiksessions.es/</t>
  </si>
  <si>
    <t>Las Basik son una experiencia intima y cercana. No hay barreras entre músicos y público, están frente a frente y en un espacio único que redondea la experiencia. Con 100 % acústicos dónde la músicas es el centro.</t>
  </si>
  <si>
    <t>Enero - Diciembre 2021</t>
  </si>
  <si>
    <t>2.000</t>
  </si>
  <si>
    <t>Basque Fest</t>
  </si>
  <si>
    <t>eventos@bilbaoekintza.bilbao.eus</t>
  </si>
  <si>
    <t>http://www.bilbao.eus/basquefest</t>
  </si>
  <si>
    <t xml:space="preserve">Bilbao </t>
  </si>
  <si>
    <t>Atuntamiento de Bilbao</t>
  </si>
  <si>
    <t>Festival de la Cultura Vasca durante la Semana Santa de Bilbao. Festival único, abierto, una cita con la Cultura Vasca en su sentido más amplio, con una programación, gratuita en su mayoría, de música, danza, cine, teatro, gastronomía, etc.
Las propuestas musicales de Basque Fest abarcan todos los estilos y reúnen a históricos de la canción vasca, así como a las voces de mayor éxito y proyección.</t>
  </si>
  <si>
    <t>Música Vasca</t>
  </si>
  <si>
    <t>31-03-2021
-
04-04-2021</t>
  </si>
  <si>
    <t>100.000</t>
  </si>
  <si>
    <t>Bau Gijón</t>
  </si>
  <si>
    <t>info@baugijon.com</t>
  </si>
  <si>
    <t>www.baugijon.com</t>
  </si>
  <si>
    <t>Gijón</t>
  </si>
  <si>
    <t>Gijón. Asturias</t>
  </si>
  <si>
    <t>Lanna / Mugako</t>
  </si>
  <si>
    <t>BAU Gijón es un festival con un cartel único en cuantoa  techno se refiere, en una localización perfecta para crear una atmosfera única para lo amantes de este género.</t>
  </si>
  <si>
    <t>Techno</t>
  </si>
  <si>
    <t>Bay of Biscay Festival</t>
  </si>
  <si>
    <t>info@bayofbiscayfestival.eus / booking@bayofbiscayfestival.eus</t>
  </si>
  <si>
    <t>www.bayofbiscayfestival.eus</t>
  </si>
  <si>
    <t>Vizcaya</t>
  </si>
  <si>
    <t>Bermeo. Bizkaia</t>
  </si>
  <si>
    <t>Emankor Sarea</t>
  </si>
  <si>
    <t>Caracterizado por si eclético y atractivo cartel musical, la gastronomia de alta cocina en una amplia oferta de actividades, el ambiente y el entorno que lo rodea: playas, puerto, costa, montaña…</t>
  </si>
  <si>
    <t>Rock / Soul /
Blues / Dance /
Electrónica</t>
  </si>
  <si>
    <t>Bcn Live</t>
  </si>
  <si>
    <t>https://www.facebook.com/OfficialBCNLive</t>
  </si>
  <si>
    <t>Carrer Almogàvers, 122</t>
  </si>
  <si>
    <t>Last tour internacional</t>
  </si>
  <si>
    <t>Electronica</t>
  </si>
  <si>
    <t>11-07-2020</t>
  </si>
  <si>
    <t>Be Fresh Festival (Madrid)</t>
  </si>
  <si>
    <t>befreshfestival@gmail.com / gaspar.blayag@gmail.com</t>
  </si>
  <si>
    <t>675-711679</t>
  </si>
  <si>
    <t>www.instagram.com/
befreshfestival</t>
  </si>
  <si>
    <t>Recinto por confirmar</t>
  </si>
  <si>
    <t>Gaspar Blaya Gómez</t>
  </si>
  <si>
    <t>Festival madrileño que une la música latina y urbana, llegando así a un número mayor de público. Son dos días de buena música en el campos de fútbol Vicente Calderón.</t>
  </si>
  <si>
    <t>Pop / Urbana / Electrónica / Petardeo</t>
  </si>
  <si>
    <t>Be Fresh Festival (Murcia)</t>
  </si>
  <si>
    <t>befreshfestival@gmail.com //gaspar.blayag@gmail.com</t>
  </si>
  <si>
    <t>https://es-es.facebook.com/BeFreshFestival/</t>
  </si>
  <si>
    <t>Es el reino del petardeo, de lo kitsch y lo eclético. Es diversión y entretenimiento a partes iguales. Pero prima una cosa disfrutar de la música.</t>
  </si>
  <si>
    <t>Pop  / Petardeo</t>
  </si>
  <si>
    <t>01-01-2020</t>
  </si>
  <si>
    <t>Beer and Beards El Cabo Festival</t>
  </si>
  <si>
    <t>info@bbelcabofestival.com</t>
  </si>
  <si>
    <t>https://www.facebook.com/bbelcabofestival/</t>
  </si>
  <si>
    <t>Almería</t>
  </si>
  <si>
    <t>Festival donde el pop, rock e indie se dan la mano. Iniciativa de la cervecera homónima creada en 2012 en Rodalquilar.</t>
  </si>
  <si>
    <t>Indie / Rock / Dj's / Artistas Nacionales</t>
  </si>
  <si>
    <t>Por determinar</t>
  </si>
  <si>
    <t>Beltane Fest</t>
  </si>
  <si>
    <t>merchanbeltanefest@gemailcom</t>
  </si>
  <si>
    <t>https://es-es.facebook.com/lbeltane.fest/</t>
  </si>
  <si>
    <t>Comillas</t>
  </si>
  <si>
    <t>Polideportivo Municipal de Comillas  Santa Lucía 0
39520 Comillas</t>
  </si>
  <si>
    <t>Asociación Sociocultural Komillana (Promotor)</t>
  </si>
  <si>
    <t>El rock más reivindicativo se da cita en Comillas (Cantabria) de la mano del Beltane Fest.</t>
  </si>
  <si>
    <t>11-07-2021
-
12-07-2021</t>
  </si>
  <si>
    <t>Beltza Weekend</t>
  </si>
  <si>
    <t>beltzaweekend@gmail.com gautxoriaksoul@gmail.com info@zentralpamplona.com</t>
  </si>
  <si>
    <t xml:space="preserve">655-961050 </t>
  </si>
  <si>
    <t>https://es-es.facebook.com/beltzaweekend/</t>
  </si>
  <si>
    <t>Sala Zentral, Pamplona</t>
  </si>
  <si>
    <t>Zentral Pamplona</t>
  </si>
  <si>
    <t>Gautxoriak Soul Club y Sala Zentral (Promotores)</t>
  </si>
  <si>
    <t>Es un festival de música negra. soul, R&amp;B, rocksteady, jazz, blues y funk, etc</t>
  </si>
  <si>
    <t>Soul / R&amp;B / Rocksteady / Jazz / Blues / Funk</t>
  </si>
  <si>
    <t>10-09-2020
 - 
12-09-2020</t>
  </si>
  <si>
    <t>900</t>
  </si>
  <si>
    <t>BenalFest</t>
  </si>
  <si>
    <t>javier@planetasonoro.es</t>
  </si>
  <si>
    <t>947 503 638</t>
  </si>
  <si>
    <t>http://benalfest.com/</t>
  </si>
  <si>
    <t>Benalmádena- Málaga</t>
  </si>
  <si>
    <t>El parque de los Nadales</t>
  </si>
  <si>
    <t>El Planeta Sonoro</t>
  </si>
  <si>
    <t xml:space="preserve">Pop / Rock / Indie </t>
  </si>
  <si>
    <t>16-10-2020</t>
  </si>
  <si>
    <t>Beneixama Rock</t>
  </si>
  <si>
    <t>beneixamarock.info@gmail.com</t>
  </si>
  <si>
    <t>www.facebook.com/beneixamarock</t>
  </si>
  <si>
    <t>Benejama</t>
  </si>
  <si>
    <t>Beneixama. Alicante</t>
  </si>
  <si>
    <t>Ayuntamiento de Beneixama</t>
  </si>
  <si>
    <t>Desde hace más de 10 años el Beneixama Rock se ha convertido en una cita es un festival de música estilo (Reggae, Rock i Ska- Punk) que se realiza en Beneixama (alicante) este año celebrará su 10ºaniversario el día 29 de julio.</t>
  </si>
  <si>
    <t>Rock / Metal / Punk / Ska</t>
  </si>
  <si>
    <t>31-07-2021</t>
  </si>
  <si>
    <t>Benidorm Sound</t>
  </si>
  <si>
    <t>javier@benidormsound.com andres@benidormsound.com</t>
  </si>
  <si>
    <t>657-937666</t>
  </si>
  <si>
    <t>http://benidormsound.com/</t>
  </si>
  <si>
    <t>Benidorm - Alicante</t>
  </si>
  <si>
    <t>Estadio de Futbol Guillermo Amor</t>
  </si>
  <si>
    <t>Benidormsound</t>
  </si>
  <si>
    <t>Festival de música electrónica</t>
  </si>
  <si>
    <t>11-07-2020
 - 
12-07-2020</t>
  </si>
  <si>
    <t>Bienal de Flamenco</t>
  </si>
  <si>
    <t>general.bienal@sevilla.org</t>
  </si>
  <si>
    <t>Prensa: 955-471302</t>
  </si>
  <si>
    <t>www.labienal.com/</t>
  </si>
  <si>
    <t>Sevilla</t>
  </si>
  <si>
    <t>Pabellón Real - Plaza de América</t>
  </si>
  <si>
    <t>Baile y Cante Flamencos se unen en para descubrirnos el rico
mundo del arte andaluz</t>
  </si>
  <si>
    <t>Flamenco</t>
  </si>
  <si>
    <t>07-08-2020
-
04-10-2020</t>
  </si>
  <si>
    <t>Big Bang Vintage Festival</t>
  </si>
  <si>
    <t>info@labrujulaocioycultura.com</t>
  </si>
  <si>
    <t>676-838296</t>
  </si>
  <si>
    <t>http://vintagefestivalbigbang.com/</t>
  </si>
  <si>
    <t>Parque San Telmo</t>
  </si>
  <si>
    <t>La Brújula Ocio y Cultura (Promotor)</t>
  </si>
  <si>
    <t>Festival de Rock and Roll y tendencias de la cultura retro vintage de los años 40, 50 y 60. Conciertos, djs, burlesque, moda, baile,exposiciones, cine, coleccionismo, reciclaje, mercado, motor clásico, tattoo, peluquería, concursos, food trucks, talleres infantiles y más.</t>
  </si>
  <si>
    <t>Rock and Roll</t>
  </si>
  <si>
    <t>09-07-2021
-
11-07-2021</t>
  </si>
  <si>
    <t>Big Sound Festival</t>
  </si>
  <si>
    <t>info@bigsoundfestival.com / laboratoryofmusicdreams@gmail.com</t>
  </si>
  <si>
    <t>http://www.bigsoundfestival.com/</t>
  </si>
  <si>
    <t>Comunidad de Valencia</t>
  </si>
  <si>
    <t>BS Entertainment</t>
  </si>
  <si>
    <t>El mayor festival de música urbana de España tendrá lugar en Valencia, en el idílico recinto de la Ciudad de las Artes y las Ciencias. 3 días con los mejores artistas Internacionales y Nacionales que acogerán a más de 60.000 personas.</t>
  </si>
  <si>
    <t>Musica Urbana /
Trap / Regaeton /
Pop / Electrónica</t>
  </si>
  <si>
    <t>08-07-2021
-
10-07-2021</t>
  </si>
  <si>
    <t>Big Up Murcia</t>
  </si>
  <si>
    <t>info@bigup.es // info@sonbuenos.com</t>
  </si>
  <si>
    <t>www.bigup.es</t>
  </si>
  <si>
    <t>IEAS Son Buenos</t>
  </si>
  <si>
    <t>Es el evento que anualmente pone de manifiesto lo que acontece en el panorama musical en desarrollo, con una parte formativa e inspiradora para el músico, un encuentro de debate de temas de actualidad musical y un encuentro de prensa.</t>
  </si>
  <si>
    <t>Inde Rock / Pop / Indie Pop / R&amp;B / Folk / Cantautor</t>
  </si>
  <si>
    <t>29-09-2021
-
03-10-2021</t>
  </si>
  <si>
    <t>Bilbao BBK Live</t>
  </si>
  <si>
    <t xml:space="preserve">contratacion@lasttour.net       dudas@lasttour.net    </t>
  </si>
  <si>
    <t>https://www.bilbaobbklive.com/</t>
  </si>
  <si>
    <t>Bilbao - Vizcaya</t>
  </si>
  <si>
    <t>Referente nacional e internacional, es uno de los festivales que mayor crecimiento y evolución ha vivido en los últimos años. Desde hace 14 años, miles de personas se reunen en Kobetanebdu para disfrutar de la música en directo en un entorno natural y único. El festival presenta cada año un cartel con grandes nombres de la actualidad donde se únen presente, historia y futuro de la música.</t>
  </si>
  <si>
    <t>Rock / Pop / Indie Rock / Electrónica / Dance / Techno / Indie Pop</t>
  </si>
  <si>
    <t xml:space="preserve"> 08-07-2021 
- 
10-07-2021</t>
  </si>
  <si>
    <t>112.800</t>
  </si>
  <si>
    <t>Bilbao Black Experience</t>
  </si>
  <si>
    <t>javiermikel@gmail.com</t>
  </si>
  <si>
    <t>https://es-es.facebook.com/BilbaoBlackExperience/</t>
  </si>
  <si>
    <t>Promotor: Javier Miguel</t>
  </si>
  <si>
    <t>Una revolución cultural. Encuentro entre aficionados y profesionales de la música negra, que inundará de ritmo las calles de distintos barrios. Conciertos acústicos, cursos, talleres, muestras de fotografía o proyecciones de cine.</t>
  </si>
  <si>
    <t>Black Music</t>
  </si>
  <si>
    <t>17-09-2021
-
18-09-2021</t>
  </si>
  <si>
    <t>Bilbao Halloween Festival</t>
  </si>
  <si>
    <t>http://bilbaohalloween.com/</t>
  </si>
  <si>
    <t>BEC (Bilbao Exhibition Centre) Azkue Kalea 1 - Barakaldo</t>
  </si>
  <si>
    <t>BHFestival (Organizador)</t>
  </si>
  <si>
    <t>Una serie de interesantes conciertos, además de animaciones in-situ con un gran equipo de actores y animadores disfrazados buscando dar sustos al más despistado</t>
  </si>
  <si>
    <t>Urbana / Trap / Reggaeton Electronica</t>
  </si>
  <si>
    <t>01-05-2020</t>
  </si>
  <si>
    <t>Bilboloop</t>
  </si>
  <si>
    <t>luis@pitch03.com
fernando@pitch03.com
susana@pitch03.com</t>
  </si>
  <si>
    <t>http://www.bilboloop.com/</t>
  </si>
  <si>
    <t>Kafe Antzokia</t>
  </si>
  <si>
    <t>Organiza: PICH03</t>
  </si>
  <si>
    <t>Festival de música actual</t>
  </si>
  <si>
    <t>Indie / Independiente / Electrónica</t>
  </si>
  <si>
    <t>Diciembre del 2020</t>
  </si>
  <si>
    <t>Bime City</t>
  </si>
  <si>
    <t>pro@bime.net</t>
  </si>
  <si>
    <t>www.bime.net/pro/es/bime-city</t>
  </si>
  <si>
    <t>Bizkaia. Bilbao</t>
  </si>
  <si>
    <t>Last Tour</t>
  </si>
  <si>
    <t>Los talentos emergentes nacionales e internacionales más prometedores coparán durante dos días, los escenarios de las salas más icónicas de la ciudad para traspasar fronteras y hacer vibrar al público de Bilbao.</t>
  </si>
  <si>
    <t>28-10-2020
 - 
30-10-2020</t>
  </si>
  <si>
    <t>5.500</t>
  </si>
  <si>
    <t>Bime Live
(Bizkaia International Music Experience)</t>
  </si>
  <si>
    <t>dudas@lasttour.net                contratacion@lasttour.net</t>
  </si>
  <si>
    <t>https://www.bime.net/live/es/</t>
  </si>
  <si>
    <t>Barakaldo - Bilbao</t>
  </si>
  <si>
    <t>Last Tour International (Organizador)</t>
  </si>
  <si>
    <t>Participan los artistas más relevantes de la actualidad al igual que grupos emergentes nacionales e internacionales. Así, llega a ser uno de los mayores festivales de indoor de otoño en Europa. 
A parte, los 3 primeros días se celebra una feria con charlas, talleres...para relacionar a todos los profesionales, adquirir conocimientos y generar negocio.</t>
  </si>
  <si>
    <t>Rock / Indie / Rock / Pop / Electrónica / Dance / Urban</t>
  </si>
  <si>
    <t>21.000</t>
  </si>
  <si>
    <t>Bioritme Festival</t>
  </si>
  <si>
    <t>http://bioritmefestival.org</t>
  </si>
  <si>
    <t>Vilanova de Sau - Barcelona</t>
  </si>
  <si>
    <t>Pantano de Sau</t>
  </si>
  <si>
    <t>Associació Bioritme (Promotor)</t>
  </si>
  <si>
    <t>Festival comprometido con la ecologia, terapias, programación infantil, artesanía, alimentación y música en una acampada libre.</t>
  </si>
  <si>
    <t>Rock / Inde Rock / Reggae / Pink /  Hip-Hop / RaoPunk / Ska / Folk / Latino</t>
  </si>
  <si>
    <t xml:space="preserve"> 26-08-2021
 - 
29-08-2021</t>
  </si>
  <si>
    <t>Bis Festival (Barcelona Independent Sessions)</t>
  </si>
  <si>
    <t>info@bisfestival.com</t>
  </si>
  <si>
    <t>http://bisfestival.com/</t>
  </si>
  <si>
    <t>Organiza: asociació cultural BIS</t>
  </si>
  <si>
    <t>Festival delicatessen con cartel arriesgado, dando oportunidad a propuestas emergentes y no tanto. No te vas a encontrar lo que sueles encontrarte en los festivales grandes. Imperdible también la feria discográfica que se celebra durante ese día.</t>
  </si>
  <si>
    <t>Inde Pop / Indie Rock</t>
  </si>
  <si>
    <t>250</t>
  </si>
  <si>
    <t>Black is Back! Weekend</t>
  </si>
  <si>
    <t>info@goldlab.es                     david@heartofgold.es       info@blackisback.es</t>
  </si>
  <si>
    <t>91-3650086               687-426438</t>
  </si>
  <si>
    <t>https://www.blackisback.es/</t>
  </si>
  <si>
    <t>Patio central del Centro Conde Duque</t>
  </si>
  <si>
    <t>Organizadores:Heart of Gold</t>
  </si>
  <si>
    <t xml:space="preserve">Regresa la sexta edición de este festival madrileño, que tiene lugar en el entorno del Patio Central de Conce Duqe, y en el que se puede disfrutar de artistas de primera plana, nacionales e internacionales, de la música negra. </t>
  </si>
  <si>
    <t>Soul / Funk / R&amp;B / Rock</t>
  </si>
  <si>
    <t>21-06-2020
 - 
22-06-2020</t>
  </si>
  <si>
    <t>Black Music Festival</t>
  </si>
  <si>
    <t>info@blackmusicfestival.com</t>
  </si>
  <si>
    <t>972-200122</t>
  </si>
  <si>
    <t>www.blackmusicfestival.com</t>
  </si>
  <si>
    <t>Girona, Salt, Barcelona, Perpiñán, Reus…</t>
  </si>
  <si>
    <t>Multi-Art Producciones, S.L.</t>
  </si>
  <si>
    <t>El festival es ya toda una referencia de la música negra en España.</t>
  </si>
  <si>
    <t>Afroamericana</t>
  </si>
  <si>
    <t>05-03-2021
-
07-03-2021</t>
  </si>
  <si>
    <t>11.600</t>
  </si>
  <si>
    <t>Bless Festival</t>
  </si>
  <si>
    <t>oskarnegus@gmail.com</t>
  </si>
  <si>
    <t>881897289 (Cudbe)      608-584190</t>
  </si>
  <si>
    <t>www.foundationreggaefestival.org</t>
  </si>
  <si>
    <t>A Coruña</t>
  </si>
  <si>
    <t>Coruña</t>
  </si>
  <si>
    <t>Asociación cultural Negus</t>
  </si>
  <si>
    <t>Festival de reggae</t>
  </si>
  <si>
    <t xml:space="preserve">Reggae / Reggae Roots / Rocksteady / R&amp;B  </t>
  </si>
  <si>
    <t>Blues at Moonlight</t>
  </si>
  <si>
    <t>info@activesoundproductions.com</t>
  </si>
  <si>
    <t>951-506227</t>
  </si>
  <si>
    <t>https://bluesatmoonlight.com</t>
  </si>
  <si>
    <t>Benalmádena</t>
  </si>
  <si>
    <t>Sala Moonnligt Cabaret Theatre</t>
  </si>
  <si>
    <t>Active Sound Productions - Miguel Corchón</t>
  </si>
  <si>
    <t>Festival de Rockabilly y música de raíces americanas.</t>
  </si>
  <si>
    <t>Rockabilly / 50s Rhythm Blues</t>
  </si>
  <si>
    <t>19-11-2020
-
22-11-2020</t>
  </si>
  <si>
    <t>600</t>
  </si>
  <si>
    <t>Blues Cazorla</t>
  </si>
  <si>
    <t>info@riffmusic.es
contratacion@riffmusic.org</t>
  </si>
  <si>
    <t>953 72 00 00 - 953 72 40 08 - 957-497501</t>
  </si>
  <si>
    <t>www.bluescazorla.com</t>
  </si>
  <si>
    <t>Cazorla - Jaén</t>
  </si>
  <si>
    <t>Cazorla. Jaén</t>
  </si>
  <si>
    <t>Riff Producciones</t>
  </si>
  <si>
    <t>Es el festival de Blues más importante del páis, reúne a grandes artistas internacionales junto a algunas de las mejores bandas nacionales y europeas.</t>
  </si>
  <si>
    <t>Blues</t>
  </si>
  <si>
    <t>32.0</t>
  </si>
  <si>
    <t>Blues de Cerdanyola</t>
  </si>
  <si>
    <t>nosonores@gmail.com</t>
  </si>
  <si>
    <t>www.bluesdecerdanyola.com</t>
  </si>
  <si>
    <t>Cerdanyola. Barcelona</t>
  </si>
  <si>
    <t>No Sonores y Ayuntamiento de Cerdanyola</t>
  </si>
  <si>
    <t>Uno de los festivales de Blues Pioneros en España. 29 años de historia por donde han pasado las mejores estrellas del género.</t>
  </si>
  <si>
    <t>02-10-2020
-
11-10-2020</t>
  </si>
  <si>
    <t>Bona Nit</t>
  </si>
  <si>
    <t>info@menosquecero.es
administracion@menosquecero.es hola@bonanitbarcelona.es</t>
  </si>
  <si>
    <t>93-2508611</t>
  </si>
  <si>
    <t>www.bonanitbarcelona.es</t>
  </si>
  <si>
    <t>Poble Espanyol - Barcelona</t>
  </si>
  <si>
    <t>Av. de Francesc Ferrer i Guardia, 13
08038 Barcelona</t>
  </si>
  <si>
    <t>Menos Que Cero</t>
  </si>
  <si>
    <t>Nuevo festival que debuta en 2013</t>
  </si>
  <si>
    <t>Breva Rock</t>
  </si>
  <si>
    <t>info@factorq.com</t>
  </si>
  <si>
    <t>www.facebook.com/brevarock</t>
  </si>
  <si>
    <t>Albatera - Alicante</t>
  </si>
  <si>
    <t>Albatera. Alicante</t>
  </si>
  <si>
    <t>Factor Q</t>
  </si>
  <si>
    <t>Es una de las últimas fechas para disfrutar de música en directo al aire libre.</t>
  </si>
  <si>
    <t>Punk Rock</t>
  </si>
  <si>
    <t>25-09-2021</t>
  </si>
  <si>
    <t>Brota Musica Festival Sostenible</t>
  </si>
  <si>
    <t>info@brotamusica.com // contratacion@brotamusica.com</t>
  </si>
  <si>
    <t>www.brotamusica.com</t>
  </si>
  <si>
    <t>Rota - Cádiz</t>
  </si>
  <si>
    <t>Rota. Cádiz</t>
  </si>
  <si>
    <t>Tritón Events SL</t>
  </si>
  <si>
    <t>Disfrutar del verano, la playa, los amigos y la música en un festival sostenible y comprometido socialmente.</t>
  </si>
  <si>
    <t>Pop / Indie / Fusión / Mestizaje / Fusión</t>
  </si>
  <si>
    <t>13-08-2021
-
14-08-2021</t>
  </si>
  <si>
    <t>10.000</t>
  </si>
  <si>
    <t>Brunch Eletronik Barcelona</t>
  </si>
  <si>
    <t>info@brunchelectronik.com.</t>
  </si>
  <si>
    <t>http://brunchelectronik.com/es/</t>
  </si>
  <si>
    <t>Brunch Electronik Barcelona ofrece un domingo completo de música, gastronomía y cultura. Un evento programado para todos los gustos; desde actividades infantiles a talleres, mercadillos de segunda mano, ferias de vinilos, proyecciones de cortometrajes y documentales y las actuaciones de dj’s de la escena internacional y nacional</t>
  </si>
  <si>
    <t>Brunch in the city Bcn</t>
  </si>
  <si>
    <t>info@brunch-in.com</t>
  </si>
  <si>
    <t>http://solidario.brunch-in.com/</t>
  </si>
  <si>
    <t>Plaza Mayor del Poble Espanyol</t>
  </si>
  <si>
    <t>Festival nómada celebrado los domingos.</t>
  </si>
  <si>
    <t>14-06-2020</t>
  </si>
  <si>
    <t>BSide Festival</t>
  </si>
  <si>
    <t>enka@wildpunk.com / novi@wildpunk.com</t>
  </si>
  <si>
    <t>968-388500              958-250249 (Wild Punk)                      629-509306 (Fernando Novi)                            666-452024 (Antonio Lucena)</t>
  </si>
  <si>
    <t>http://www.b-sidefestival.com/</t>
  </si>
  <si>
    <t>Molina de Segura</t>
  </si>
  <si>
    <t xml:space="preserve"> AV. Valencia, SN, s/n, 30500 Molina de Segura, Murcia</t>
  </si>
  <si>
    <t>Wild Punk</t>
  </si>
  <si>
    <t>Una de las citas musicales más importantes del verano en el levante español, sobre el césped y con el mejor sonido de las bandas y Djs nacionales e internacionales.</t>
  </si>
  <si>
    <t xml:space="preserve">Rock-pop / Rap / electrónica         </t>
  </si>
  <si>
    <t>04-09-2021</t>
  </si>
  <si>
    <t>Bule Bule Toga</t>
  </si>
  <si>
    <t>bulebuletogafest@gmail.com</t>
  </si>
  <si>
    <t>https://bulebuletogafest.com/</t>
  </si>
  <si>
    <t>Tarragona</t>
  </si>
  <si>
    <t>Sala Zero</t>
  </si>
  <si>
    <t>Bull Music Festival</t>
  </si>
  <si>
    <t>958-515100</t>
  </si>
  <si>
    <t>http://www.bullmusicfestival.com/</t>
  </si>
  <si>
    <t>Granada</t>
  </si>
  <si>
    <t>Granada. Granada</t>
  </si>
  <si>
    <t>Hnos Toro</t>
  </si>
  <si>
    <t>Festival ecléctico donde se dan cita el rock, la rumba, etc. Festival donde conviven todos los estilos musicales, urbano, cómodo y accesible para pasar un fin de semana en la ciudad de la Alhambra.</t>
  </si>
  <si>
    <t>Burdin Rock</t>
  </si>
  <si>
    <t>burdinrock@gmail.com</t>
  </si>
  <si>
    <t>695 72 69 81</t>
  </si>
  <si>
    <t>https://burdinrock.com</t>
  </si>
  <si>
    <t>Gallarta. Bizkaia</t>
  </si>
  <si>
    <t>Asociación Amigos del Rock</t>
  </si>
  <si>
    <t>Es un festival sin ánimo de lucro que potencia las bandas locales, y se mantendrá mientras dure su filosofía íntegra y antikapitalista como toda la puta mierda que se cuece por ahí.</t>
  </si>
  <si>
    <t>Punk / Punk Rock</t>
  </si>
  <si>
    <t>Abril del 2021</t>
  </si>
  <si>
    <t>Cabaret Festival</t>
  </si>
  <si>
    <t>info@cabaretfestival.es</t>
  </si>
  <si>
    <t>91-6302067</t>
  </si>
  <si>
    <t>https://cabaretfestival.es/</t>
  </si>
  <si>
    <t>Algeciras (Cadiz)</t>
  </si>
  <si>
    <t>L.A. Rock Entertainment</t>
  </si>
  <si>
    <t>Festival que se desarrolla en Algeciras</t>
  </si>
  <si>
    <t>11-06-2021
-
26-06-2021</t>
  </si>
  <si>
    <t>Cabo de plata</t>
  </si>
  <si>
    <t>prensa@cabodeplata.com // contratacion@cabodeplata.com</t>
  </si>
  <si>
    <t>http://www.cabodeplata.com/</t>
  </si>
  <si>
    <t>Barbate - Cádiz</t>
  </si>
  <si>
    <t>Avda. de la mar 138. Barbate-Cádiz</t>
  </si>
  <si>
    <t>Hermanos Toro</t>
  </si>
  <si>
    <t>El Festival cobo de Plataa emerge conexión entre la música y la naturaleza.Convive con gente de todas partes del mundo, intercam bia cultura y energías, es un etorno libre, con paisajes en los que desconectaras del resto del mundo y contectaras solo con la naturaleza.</t>
  </si>
  <si>
    <t>Rock / Electrónica / Dance / Reggae / Hip hop / Rap / Ska / Trap</t>
  </si>
  <si>
    <t>21-06-2021
 - 
24-06-2021</t>
  </si>
  <si>
    <t>33.000</t>
  </si>
  <si>
    <t>Cáceres Pop Art</t>
  </si>
  <si>
    <t>bonvivantrecords@hotmail.com</t>
  </si>
  <si>
    <t>653-515687</t>
  </si>
  <si>
    <t>www.premiospop-eye.es/category/premios-2017</t>
  </si>
  <si>
    <t>Trujillo - Cáceres</t>
  </si>
  <si>
    <t>La Abadía y Teatro Gabriel y Galán</t>
  </si>
  <si>
    <t>Asociación Cultural Bonvivant (Promotor), Mª del Mar Garcia Cruz - Presidenta</t>
  </si>
  <si>
    <t>Festival para promover los grupos pop extremeños donde se entregan premios a la cultura extremeña.</t>
  </si>
  <si>
    <t>Pop / Independiente</t>
  </si>
  <si>
    <t>Caixabank Polo Music Festival</t>
  </si>
  <si>
    <t>management@clippersmusic.org</t>
  </si>
  <si>
    <t>93-2400520</t>
  </si>
  <si>
    <t>https://www.polomusicfestival.com/es/</t>
  </si>
  <si>
    <t>Barcelona. Barcelona</t>
  </si>
  <si>
    <t xml:space="preserve">Clipper's Live </t>
  </si>
  <si>
    <t>Emplazamiento único y experiencia inolvidable.</t>
  </si>
  <si>
    <t>Calella Rockfest</t>
  </si>
  <si>
    <t>calellarockfest@gmail.com</t>
  </si>
  <si>
    <t>937-663030 Ayuntamiento</t>
  </si>
  <si>
    <t>http://calellarockfest.com/</t>
  </si>
  <si>
    <t>Calella Maresme - Barcelona</t>
  </si>
  <si>
    <t>Calella. Barcelona</t>
  </si>
  <si>
    <t>Associació Musical,  Rock On the Rocks</t>
  </si>
  <si>
    <t>Es un festival dónde los amantes del Rock más clásico encuentran un cartel de calidad en un ambiente festivo y familiar. Año tras año, el festival se convierte en un lugar de encuentro de los viejos rockeros.</t>
  </si>
  <si>
    <t>Rock / Blues</t>
  </si>
  <si>
    <t>550</t>
  </si>
  <si>
    <t>Campano Festival</t>
  </si>
  <si>
    <t>info@festivalcampano.es</t>
  </si>
  <si>
    <t>http://festivalcampano.es/</t>
  </si>
  <si>
    <t xml:space="preserve">Cádiz </t>
  </si>
  <si>
    <t xml:space="preserve"> Chiclana de la Frontera</t>
  </si>
  <si>
    <t xml:space="preserve">29-08-2020
-
31-08-2020 </t>
  </si>
  <si>
    <t>Candil Rock Festival</t>
  </si>
  <si>
    <t>info@candilrock.com</t>
  </si>
  <si>
    <t>www.candilrock.com</t>
  </si>
  <si>
    <t>Huercal de Almería. Almería</t>
  </si>
  <si>
    <t>A La Carga Producciones S.L.</t>
  </si>
  <si>
    <t>Festival gratuito en Huercal de Almería cuya trayectoria es de mas de 32 años sin interrupción. Desde la Polla Records, Joaquin Sabina hasta Boikot han pasado por este escenario.</t>
  </si>
  <si>
    <t>29-06-2021
-
30-06-2021</t>
  </si>
  <si>
    <t>35.0</t>
  </si>
  <si>
    <t>Canela Party</t>
  </si>
  <si>
    <t>info@canelaparty.com; info@culoactivocanela.com</t>
  </si>
  <si>
    <t>650-596266</t>
  </si>
  <si>
    <t>http://canelaparty.com/</t>
  </si>
  <si>
    <t>Miel de Moscas</t>
  </si>
  <si>
    <t>Festival en medio de una multitudinaria fiesta de disfraces. Un festival en el que asistentes, grupos, niños y perros lucen el atuendo más original y son sepultados en confeti.</t>
  </si>
  <si>
    <t>Inde Rock / Rock / Pop / Inde Pop / Electrónica / Dance / Punk</t>
  </si>
  <si>
    <t>11-08-2021
 - 
14-08-2021</t>
  </si>
  <si>
    <t>14.0</t>
  </si>
  <si>
    <t>Canet Rock</t>
  </si>
  <si>
    <t>info@canetrock.cat</t>
  </si>
  <si>
    <t>www.canetrock.cat/</t>
  </si>
  <si>
    <t>Canet de Mar - Barcelona</t>
  </si>
  <si>
    <t>Organiza: Sun Music Bcn www.sunmusicbcn.com/</t>
  </si>
  <si>
    <t>Celebra los cuarenta años desde su primera edición. Festival de doce horas de música en directo</t>
  </si>
  <si>
    <t xml:space="preserve">Rock / Inde Rock / Pop / Inde Pop / Ska / Mestizaje    </t>
  </si>
  <si>
    <t>Cantamañanas</t>
  </si>
  <si>
    <t>info@cantamananas.org</t>
  </si>
  <si>
    <t>620-454648</t>
  </si>
  <si>
    <t>www.cantamananas.org</t>
  </si>
  <si>
    <t>Huarte</t>
  </si>
  <si>
    <t>Huarte. Navarra</t>
  </si>
  <si>
    <t>Javier Landa</t>
  </si>
  <si>
    <t>Festival urbano establecido en el pequeño pueblo de Huarte, en el norte de España, desde 2004. Llevan 15 años organizando eventos urbanos y de graffiti incluyendo además, workshops, conciertos, exhibiciones de baile y pintura y otras muchas actividades.</t>
  </si>
  <si>
    <t>Cañaveral Festival</t>
  </si>
  <si>
    <t>www.facebook.com/canaveralfestival</t>
  </si>
  <si>
    <t>Salobreña, Granada</t>
  </si>
  <si>
    <t>Salobreña.Granada</t>
  </si>
  <si>
    <t>Farasha Producciones</t>
  </si>
  <si>
    <t>Porque la Costa Tropical ofrece muchos atractivos y el Cañaveral es unomás.</t>
  </si>
  <si>
    <t>Pop / Rock / Música Electrónica / Músicas del
Mundo / Rock alternativo</t>
  </si>
  <si>
    <t>28/08/2020
 - 
30/08/2020</t>
  </si>
  <si>
    <t>Caño-on Festival</t>
  </si>
  <si>
    <t>info@canoonfestival.com produccion@canoonfestival.com</t>
  </si>
  <si>
    <t>678-410109</t>
  </si>
  <si>
    <t>https://canoonfestival.com/</t>
  </si>
  <si>
    <t xml:space="preserve">Tarancón - Cuenca </t>
  </si>
  <si>
    <t>Javier Collado - Asociación Cultural Barrios de Luna (Promotor)</t>
  </si>
  <si>
    <t>Un festival gratuito lleno de cultura de calidad.</t>
  </si>
  <si>
    <t>Folk / Rock / Reggae / Funk / Ska</t>
  </si>
  <si>
    <t>11-07-2020
-
25-07-2020</t>
  </si>
  <si>
    <t>Cap Roig Festival</t>
  </si>
  <si>
    <t>info@caproigfestival.com
juliojr@clippersmusic.org ncardil@clippersmusic.org</t>
  </si>
  <si>
    <t>www.caproigfestival.com/</t>
  </si>
  <si>
    <t>Calella de Palafrugell - Girona</t>
  </si>
  <si>
    <t>Clippers Live (promotor y organizador)</t>
  </si>
  <si>
    <t>Se celebra en un entorno privilegiado, el castillo sobre el mar y el jardín botánico. El festival por antonomasia en la Costa Brava. Cantar bajo las estrellas al lado del Mar Mediterráneo ko hace único en el país. Los mejores artistas en su género han pasado por alguna o varias de las 18 ediciones del festival.</t>
  </si>
  <si>
    <t>11-07-2021
-
17-08-2021</t>
  </si>
  <si>
    <t>48.100</t>
  </si>
  <si>
    <t>20.0</t>
  </si>
  <si>
    <t>Capital Fest</t>
  </si>
  <si>
    <t>info@capitalfest.es</t>
  </si>
  <si>
    <t>www.capitalfest.es</t>
  </si>
  <si>
    <t>Talavera de La Reina - Toledo</t>
  </si>
  <si>
    <t>Talavera de la Reina.Toledo</t>
  </si>
  <si>
    <t>Víctor del Río</t>
  </si>
  <si>
    <t>Festival de mediano formato, para todos los públicos, cómodo y con una oferta de experiencia diferente a cualquier festival de similar afluencia.</t>
  </si>
  <si>
    <t>26-06-2021</t>
  </si>
  <si>
    <t>Cara-B Festival</t>
  </si>
  <si>
    <t>hola@festivalcarab.com</t>
  </si>
  <si>
    <t>http://festivalcarab.com/</t>
  </si>
  <si>
    <t>Fàbrica Fabra i Coats
Carrer de Sant Adrià, 20</t>
  </si>
  <si>
    <t>Festival Cara.B</t>
  </si>
  <si>
    <t>Es un festival de cultura musical independiente y underground que tiene la vocación de ser reflejo del estado actual de la escena catalana y española congregando y mezclando en su espacio a los creadores y géneros musicale</t>
  </si>
  <si>
    <t>Rock / Inde Rock / Pop / Indie Pop / Música Electrónica / Dance / Electro / Disgusting / R&amp;B / Punk / Trap / Latino / Reggaeton / Hip-Hop</t>
  </si>
  <si>
    <t>14-02-2020
 - 
 15-02-2020</t>
  </si>
  <si>
    <t>6.000</t>
  </si>
  <si>
    <t>Caravan Sur Festival</t>
  </si>
  <si>
    <t>alberto@spyromusic.com</t>
  </si>
  <si>
    <t>690-953912</t>
  </si>
  <si>
    <t>https://caravansurfestival.com/</t>
  </si>
  <si>
    <t>Centro Andaluz de Arte Contemporáneo. Monasterio de la Cartuja.
C/ Francisco de Montesinos
41092 Isla de la Cartuja - Sevilla</t>
  </si>
  <si>
    <t>SPYRO. Alberto Cañizares</t>
  </si>
  <si>
    <t>Nuevo festival que nace para convertirse en uno de los eventos musicales importantes de Sevilla.</t>
  </si>
  <si>
    <t>23-10-2020
-
24-10-2020</t>
  </si>
  <si>
    <t>Carpa Universitaria</t>
  </si>
  <si>
    <t>info@carpauniversitaria.es</t>
  </si>
  <si>
    <t>http://www.carpauniversitaria.es/</t>
  </si>
  <si>
    <t>Pamplona</t>
  </si>
  <si>
    <t>UPNA</t>
  </si>
  <si>
    <t>Rock / Inde Rock / Pop / Indie Pop / Electrónica / Dance / Techno</t>
  </si>
  <si>
    <t>24-04-2020</t>
  </si>
  <si>
    <t>27.0</t>
  </si>
  <si>
    <t>Carpe Diem</t>
  </si>
  <si>
    <t>info@carpediemfest.com</t>
  </si>
  <si>
    <t>www.carpediemfest.com</t>
  </si>
  <si>
    <t>Jaén</t>
  </si>
  <si>
    <t>Taste The Floor, SLU</t>
  </si>
  <si>
    <t>Es un festival marcadamente plural, family-friendly. Es ecléctico y multidisciplinar con un común denominador: calidad y diversión.</t>
  </si>
  <si>
    <t>Música Urbana</t>
  </si>
  <si>
    <t>Por determinar Noviembre-2020</t>
  </si>
  <si>
    <t>Cartagena Jazz Festival</t>
  </si>
  <si>
    <t>imusicas@ayto-cartagena.es</t>
  </si>
  <si>
    <t xml:space="preserve">968 128813 </t>
  </si>
  <si>
    <t>http://www.jazzcartagena.es/2015/</t>
  </si>
  <si>
    <t>Cartagena</t>
  </si>
  <si>
    <t>Castalla Sun Festival</t>
  </si>
  <si>
    <t>castallasunfest@gemail.com</t>
  </si>
  <si>
    <t>666-872384</t>
  </si>
  <si>
    <t>www.castallasounfestival.com</t>
  </si>
  <si>
    <t>Castalla - Alicante</t>
  </si>
  <si>
    <t>Polideportivo Municipal de Castalla Carrer del Teniente General D.Vicente Ripoll Valls, 03420 </t>
  </si>
  <si>
    <t>Castelo Rock</t>
  </si>
  <si>
    <t>comunicación@castelorock.com</t>
  </si>
  <si>
    <t>http://castelorock.com/</t>
  </si>
  <si>
    <t>Muros - A Coruña</t>
  </si>
  <si>
    <t>ACRD Praia do Castelo (Promotor)</t>
  </si>
  <si>
    <t>Festival de música que trata de que coincidan todas las vertientes del rock and roll cantado en cualquier lengua y procedente de cualquier lugar.</t>
  </si>
  <si>
    <t>Punk / Rock / Metal</t>
  </si>
  <si>
    <t>24-07-2020
 - 
25-07-2020</t>
  </si>
  <si>
    <t>Caudal Fest</t>
  </si>
  <si>
    <t>contact@bringthenoise.events / contacto@caudalfest.es</t>
  </si>
  <si>
    <t>www.caudalfest.es</t>
  </si>
  <si>
    <t>Lugo</t>
  </si>
  <si>
    <t xml:space="preserve">Bring The Noise </t>
  </si>
  <si>
    <t>Caudal Fest es uno de los principales festivales de Galicia, realizados en el entorno del Río Miño a su paso por Lugo, con grandes nombres de la música española como Vetusta Morla, Izal o Marea, entre otros</t>
  </si>
  <si>
    <t>18-09-2021
-
19-09-2021</t>
  </si>
  <si>
    <t>Cazorla Vip Festival</t>
  </si>
  <si>
    <t>info@surtribe.com</t>
  </si>
  <si>
    <t>https://es-es.facebook.com/CazorlaVipFestival/</t>
  </si>
  <si>
    <t>Parque del Santo Cristo</t>
  </si>
  <si>
    <t>Surtribe Music Agency</t>
  </si>
  <si>
    <t>El Festival mas puntero de la toda la comarca, que se celebra en el mes de Julio. Donde año tras año vienen los mejores Djs y artistas de renombre.</t>
  </si>
  <si>
    <t>Rock / Regaeton / Hip-Hop / Trap / Mestizaje y Fusión</t>
  </si>
  <si>
    <t>Cero Festival</t>
  </si>
  <si>
    <t>info@festivalcero.com /   info@algatoproducciones.com</t>
  </si>
  <si>
    <t>928-202341 (Jeito Prod) 666-839708 (Algato Prod.-Ardiel Zaya)</t>
  </si>
  <si>
    <t>www.festivalcero.com</t>
  </si>
  <si>
    <t>Las Palmas. Las Palmas de Gran Canaria</t>
  </si>
  <si>
    <t xml:space="preserve">Promotor: Ayuntamiento de Las Palmas de Gran Canaria                              </t>
  </si>
  <si>
    <t>La mejor música nacional y local en el mejor rincón de la Ciudad de Las Palmas de Gran Canarias, con una media de 20 grados al lado de la Playa de Las Canteras. Ven a vivir la experiencia Cero.</t>
  </si>
  <si>
    <t>Rock / Pop / Indie Rock / Indie Pop</t>
  </si>
  <si>
    <t>30-04-2021
-
02-05-2021</t>
  </si>
  <si>
    <t>Certamen Villa de San Adrián</t>
  </si>
  <si>
    <t>678-622881</t>
  </si>
  <si>
    <t>http://www.elcertamen.com/</t>
  </si>
  <si>
    <t xml:space="preserve">San Adrián </t>
  </si>
  <si>
    <t>San Adrián. Navarra</t>
  </si>
  <si>
    <t xml:space="preserve">Promotor: Asociación Juvenil "El Tajador" </t>
  </si>
  <si>
    <t>Es el primer festival del año</t>
  </si>
  <si>
    <t>Ceuta Jazz Festival</t>
  </si>
  <si>
    <t>http://jazzceuta.blogspot.com.es/</t>
  </si>
  <si>
    <t>Ceuta</t>
  </si>
  <si>
    <t>Teatro Auditorio Revellín</t>
  </si>
  <si>
    <t>Santiago Tortosa Muñoz - Asociación Cultural La Coctelera (Promotor)</t>
  </si>
  <si>
    <t>Festival de Jazz</t>
  </si>
  <si>
    <t>07-11-2020
-
14-11-2020</t>
  </si>
  <si>
    <t>Chanquete World Music</t>
  </si>
  <si>
    <t>info@chanqueteworldmusic.com contratacion@chanqueteworldmusic.com</t>
  </si>
  <si>
    <t> 667-7361 22</t>
  </si>
  <si>
    <t>http://www.chanqueteworldmusic.com/</t>
  </si>
  <si>
    <t>Nerja - Málaga</t>
  </si>
  <si>
    <t>Playa de El Playazo</t>
  </si>
  <si>
    <t>Triton Livefun S.L.U</t>
  </si>
  <si>
    <t>Los mejores artistas, el sol, el mar y la playa Horas de música, los mejores artistas nacionales e internacionales, 2 escenarios, + oferta gastronomica.</t>
  </si>
  <si>
    <t>Fusión / Música del Mundo</t>
  </si>
  <si>
    <t>28-08-2021</t>
  </si>
  <si>
    <t>Choorock Festival</t>
  </si>
  <si>
    <t>926-830001 (Ayuntamiento)</t>
  </si>
  <si>
    <t>https://es-es.facebook.com/festivalchoorock/</t>
  </si>
  <si>
    <t>Corral de Calatrava - Ciudad Real</t>
  </si>
  <si>
    <t>Luis Zamora - Asociación Cultural "La Karraca" y el Ayuntamiento de Corral de Calatrava (Promotores)</t>
  </si>
  <si>
    <t>Festival que nació con la inquietud de un grupo de jóvenes de crear un concierto de Rock en su localidad. La intención no era otra que la de pasar un día “rockeando” y conseguir las bandas de rock fuesen al pueblo. Es un festival pionero de los festivales de rock en la provincia</t>
  </si>
  <si>
    <t>Rock / Metal / Punk / Heavy</t>
  </si>
  <si>
    <t>25-07-2020</t>
  </si>
  <si>
    <t>22.0</t>
  </si>
  <si>
    <t>Chu Fast Prog!</t>
  </si>
  <si>
    <t>onfirepromo@gmail.com</t>
  </si>
  <si>
    <t>www.facebook.com/chufastprog</t>
  </si>
  <si>
    <t>ON FIRE Rock Promo</t>
  </si>
  <si>
    <t>Festival de referencia de post y prog de Valencia. En España, no hay muchas más referencias al estilo con un marco de festival.</t>
  </si>
  <si>
    <t>Dance / Música Progresiva</t>
  </si>
  <si>
    <t>Ciclo Música entre Barricas</t>
  </si>
  <si>
    <t xml:space="preserve">museodelvino@pagosdelrey.com </t>
  </si>
  <si>
    <t>980-696763</t>
  </si>
  <si>
    <t>http://musicaentrebarricas.com/</t>
  </si>
  <si>
    <t>Morales deToro - Zamora</t>
  </si>
  <si>
    <t>Av. De los Comuneros, 90</t>
  </si>
  <si>
    <t xml:space="preserve">Ciclo de conciertos acústicos </t>
  </si>
  <si>
    <t>Cieza en Flor Festival</t>
  </si>
  <si>
    <t>968-760800 (Ayuntamiento)</t>
  </si>
  <si>
    <t>https://florciezafestival.es/</t>
  </si>
  <si>
    <t xml:space="preserve">Cieza </t>
  </si>
  <si>
    <t>Ayuntamiento de Cieza y Floración (Organizadores)</t>
  </si>
  <si>
    <t>La música tomará las calles de Cieza durante la floración de los frutales. Conciertos y otras actividades musicales le pondrán notas al festival de la floración con una oferta musical que contará con grupos referentes del panorama musical nacional.</t>
  </si>
  <si>
    <t>29-02-2021
-
21-03-2021</t>
  </si>
  <si>
    <t>Circus Nation</t>
  </si>
  <si>
    <t>info@newsoundproducciones.com</t>
  </si>
  <si>
    <t>www.circusnation.es</t>
  </si>
  <si>
    <t>Las Gabias - Granada</t>
  </si>
  <si>
    <t>Complejo Embrujo</t>
  </si>
  <si>
    <t>Festival de música electrónica. Uno de los eventos más importantes del comienzo de la temporada otoñal-invernal del sur del país.</t>
  </si>
  <si>
    <t>Cistermusica Alcobaça Music Festival</t>
  </si>
  <si>
    <t>info@cistermusica.com</t>
  </si>
  <si>
    <t>www.cistermusica.com</t>
  </si>
  <si>
    <t>Alcobaça , Portugal</t>
  </si>
  <si>
    <t>Alcobaça. Leiria, Portugal.</t>
  </si>
  <si>
    <t>CLASSICAL MUSIC</t>
  </si>
  <si>
    <t>Uno de los más prestigiosos y bien establecidos festivales de música clásica en Portugal, Cistermúsica presenta un programa diversificado que se desarrolla principalmente en el monumental Monasterio de Alcobaça, Patrimonio de la Humanidad de la UNESCO.</t>
  </si>
  <si>
    <t>Música Clásica</t>
  </si>
  <si>
    <t>22-07-2020
-
19-08-2020</t>
  </si>
  <si>
    <t>28.0</t>
  </si>
  <si>
    <t>Cita en Mairena</t>
  </si>
  <si>
    <t>grupoconcerttour@grupoconcerttour.com miguebianchi@grupoconcerttour.com (Producción)              pilar@grupoconcerttour.com (Contratación)</t>
  </si>
  <si>
    <t>956-362512              956-360988</t>
  </si>
  <si>
    <t>https://es-es.facebook.com/citaenmairena/</t>
  </si>
  <si>
    <t>Recinto Hípico</t>
  </si>
  <si>
    <t>Concert Tour (Organizador y productor)</t>
  </si>
  <si>
    <t>Pop / Flamenco</t>
  </si>
  <si>
    <t>18-09-2020</t>
  </si>
  <si>
    <t>Ciutat Flamenco</t>
  </si>
  <si>
    <t>info@ciutatflamenco.com</t>
  </si>
  <si>
    <t>Taller de musica: 93 443 43 46              Mercat de lesa Flors: 93 256 26 00</t>
  </si>
  <si>
    <t>http://ciutatflamenco.com/</t>
  </si>
  <si>
    <t>Mercado de las flores</t>
  </si>
  <si>
    <t>es un festival de creación, experimentación y exhibición de propuestas empíricas, heterodoxas, transgresoras e interdisciplinares en el ámbito del flamenco contemporáneo</t>
  </si>
  <si>
    <t>Por determinar Octubre-2020</t>
  </si>
  <si>
    <t>Ck Cnsrshp Festival</t>
  </si>
  <si>
    <t>info@runtothehills.es</t>
  </si>
  <si>
    <t>https://es-es.facebook.com/FckCnsrshpFest/</t>
  </si>
  <si>
    <t>Villena - Alicante</t>
  </si>
  <si>
    <t>14-05-2020</t>
  </si>
  <si>
    <t>Clownia Festival</t>
  </si>
  <si>
    <t>ixent@exits.cat</t>
  </si>
  <si>
    <t>www.clowniafestival.cat</t>
  </si>
  <si>
    <t>Sant Joan de les Abadesses</t>
  </si>
  <si>
    <t>World Music, Pop, Rock</t>
  </si>
  <si>
    <t>Con 3 pilares: Música, circo y el espacio consciencia, donde cada año se hacen charlas sobre un tema central que consideramos importante. También hay muchas actividades para niños asi que es un festival ideal también para ir en familia.</t>
  </si>
  <si>
    <t>Pop / Cumbia / Reagge</t>
  </si>
  <si>
    <t>24-06-2021
 - 
27-06-2021</t>
  </si>
  <si>
    <t>Coca Cola Music Experience</t>
  </si>
  <si>
    <t>info@intromusica.com maximo@intromusica.com dgarcia@intromusica.com contratacion@intromusica.com</t>
  </si>
  <si>
    <t>619-010293</t>
  </si>
  <si>
    <t>https://www.cocacola.es/musica/musicexperience/</t>
  </si>
  <si>
    <t>Wizink Center</t>
  </si>
  <si>
    <t xml:space="preserve">Promotor: Intromúsica Producciones </t>
  </si>
  <si>
    <t>Coca-Cola Music Experience es mucho más que un festival de música.</t>
  </si>
  <si>
    <t>Pop / Indie Pop</t>
  </si>
  <si>
    <t>18-09-2020
 - 
19-09-2020</t>
  </si>
  <si>
    <t>20.000</t>
  </si>
  <si>
    <t>Colors Tribe Córdoba</t>
  </si>
  <si>
    <t>colors@colorstribe.com                                  marco@real-nigts.com</t>
  </si>
  <si>
    <t>www.colorstribe.com/cordoba</t>
  </si>
  <si>
    <t>Promotor: Marco Rother</t>
  </si>
  <si>
    <t>Experiencia multicolor que ha llevado a la transformación hacia un nuevo concepto de festival más tribal: ColorsTribe.</t>
  </si>
  <si>
    <t>Electrónica / Rap / Reggaeton</t>
  </si>
  <si>
    <t>01-09-2020</t>
  </si>
  <si>
    <t>Colors Tribe Jaén</t>
  </si>
  <si>
    <t>colorstribejaen@gmail.com</t>
  </si>
  <si>
    <t>www.facebook.com/colorstribejaen</t>
  </si>
  <si>
    <t>Óscar Hernández</t>
  </si>
  <si>
    <t>Festival de color, más grande de España.</t>
  </si>
  <si>
    <t xml:space="preserve">Electrónica / Latina            </t>
  </si>
  <si>
    <t>12-09-2020</t>
  </si>
  <si>
    <t>Concert Music Festival</t>
  </si>
  <si>
    <t>bea.blanco@feelwana.com</t>
  </si>
  <si>
    <t>http://concertmusicfestival.com/</t>
  </si>
  <si>
    <t>Sancti Petri - Chiclana de la Frontera - Cádiz</t>
  </si>
  <si>
    <t>Sancti Petri. Cádiz</t>
  </si>
  <si>
    <t>Concert Music Tour</t>
  </si>
  <si>
    <t>Nuevo festival que reunirá a algunos de los artistas más populares y prestigiosos del panorama musical español en un paraje natural único, el poblado de Sancti Petri, en Chiclana de la Frontera, que aúna la belleza de las calles y edificios del pueblo marinero, su privilegiada ubicación junto a las playas de Sancti Petri y La Barrosa, etc. Es uno de los grandes atractivos de ocio de estos días de verano en el sur.</t>
  </si>
  <si>
    <t>Pop / Rock / Indie / Fusión Flamenco</t>
  </si>
  <si>
    <t>01-07-2021
-
21-08-2021</t>
  </si>
  <si>
    <t>Conexión Valladolid Festival</t>
  </si>
  <si>
    <t>info@conexionvalladolid.es / pasioneventos@gmail.com</t>
  </si>
  <si>
    <t>605-192037</t>
  </si>
  <si>
    <t>http://www.conexionvalladolid.es/</t>
  </si>
  <si>
    <t>Valladolid</t>
  </si>
  <si>
    <t>Promotor: Pasión Eventos Management</t>
  </si>
  <si>
    <t>Gran fiesta musical, conectando al público con los artistas más relevantes del panorama nacional, la gastronomía y cultura de la zona y con el deporte.</t>
  </si>
  <si>
    <t>Rock / Pop / Indie / Hip Hop / R&amp;B / Electrónica</t>
  </si>
  <si>
    <t>25-06-2021
-
26-06-2021</t>
  </si>
  <si>
    <t>Consentidos</t>
  </si>
  <si>
    <t>contacto@consentidosjaen.com / silvia@ohsalvaje.com</t>
  </si>
  <si>
    <t>www.consentidosjaen.com</t>
  </si>
  <si>
    <t>Kingocio, Oh Salvaje, Ayuntamiento de Jaén</t>
  </si>
  <si>
    <t>Un ciclo de conciertos en aforos muy limitados de lugares turísticos de Jaén,en el que a través de los cinco sentidos y mediante diferentes propuestas, busca crear momentos únicos y especiales en las noches de verano</t>
  </si>
  <si>
    <t>Pop / Rock /
Mestizaje /
Músicas del
Mundo</t>
  </si>
  <si>
    <t>15-06-2021
-
15-07-2021</t>
  </si>
  <si>
    <t>580</t>
  </si>
  <si>
    <t>Contempopránea</t>
  </si>
  <si>
    <t xml:space="preserve">organizacion@contempopranea.com
</t>
  </si>
  <si>
    <t xml:space="preserve">925-622999                    685-142908                 </t>
  </si>
  <si>
    <t>www.contempopranea.com/</t>
  </si>
  <si>
    <t>Alburquerque - Badajoz</t>
  </si>
  <si>
    <t>Contemporanea Producciones slu</t>
  </si>
  <si>
    <t>Porque su magia es especial, su emplazamiento, por su comodidad y cercania y porque es un festival para los fans del pop independiente español.</t>
  </si>
  <si>
    <t>Indie</t>
  </si>
  <si>
    <t>23-07-2020
-
25-07-2020</t>
  </si>
  <si>
    <t>26.0</t>
  </si>
  <si>
    <t>Cooltural Fest</t>
  </si>
  <si>
    <t>info@coolturalfest.com</t>
  </si>
  <si>
    <t>www.coolturalfest.com</t>
  </si>
  <si>
    <t xml:space="preserve">Crash Music SL              </t>
  </si>
  <si>
    <t>Un evento que va más allá del formato tradicional de festival, puesto que incluye conciertos a pie de playa, junto a la feria de mediodía y un recinto que ha doblado la superficie. Y es Music For All: 100% Accesible.</t>
  </si>
  <si>
    <t>Rock / Inde Pop / Inde Rock / Pop / Eelctrónica / Dance</t>
  </si>
  <si>
    <t>19-08-2021
 - 
22-08-2021</t>
  </si>
  <si>
    <t>Cortogijón Festival</t>
  </si>
  <si>
    <t>cortogijon@gmail.com / davidcuerdo@gmail.com</t>
  </si>
  <si>
    <t>http://www.cortogijon.com/</t>
  </si>
  <si>
    <t>Sergio Valbuena</t>
  </si>
  <si>
    <t>Festival de cortometrajes y Música que se desarrolla en diferentes espacios de la ciudad de Gijón.</t>
  </si>
  <si>
    <t xml:space="preserve">Pop Acústico </t>
  </si>
  <si>
    <t>Octubre del 2021</t>
  </si>
  <si>
    <t>807</t>
  </si>
  <si>
    <t>Costa Norte Festival</t>
  </si>
  <si>
    <t>bmorales@villademoyas.es</t>
  </si>
  <si>
    <t>928-611255 (Ayuntamiento)</t>
  </si>
  <si>
    <t>www.facebook.com/festival-costanorte</t>
  </si>
  <si>
    <t>El Altillo, EL Pagador, Villa de Moya</t>
  </si>
  <si>
    <t>El Altillo – El Pagador – Villa de Moya</t>
  </si>
  <si>
    <t>Ayuntamiento Villa de Moya Gran Canaria (Promotor)</t>
  </si>
  <si>
    <t>El mar, la naturaleza, los paisajes, la cultura y las gentes del Norte de Gran Canaria podrán disfrutar de conciertos, feria artesanal y comercial, deporte, talleres y un sinfín de actividades para todos los públicos.</t>
  </si>
  <si>
    <t>Pop / Rock / Indie</t>
  </si>
  <si>
    <t>928-610126</t>
  </si>
  <si>
    <t>Cotillo Live Music</t>
  </si>
  <si>
    <t>info@mouroproducciones.com</t>
  </si>
  <si>
    <t>http://cotillolivemusic.es/</t>
  </si>
  <si>
    <t xml:space="preserve">Fuerteventura </t>
  </si>
  <si>
    <t>C/ Tres de abril s/n, El Cotillo, La Oliva</t>
  </si>
  <si>
    <t>Mouro Producciones</t>
  </si>
  <si>
    <t>Reggeaton / Latino</t>
  </si>
  <si>
    <t>Cranc Illa de Menorca Festival</t>
  </si>
  <si>
    <t>ataquerecords@gmail.com / crancfestival@gmail.com</t>
  </si>
  <si>
    <t>(0034) 629 678 779</t>
  </si>
  <si>
    <t>http://www.crancfestival.com/</t>
  </si>
  <si>
    <t>Ciudadella- Menorca</t>
  </si>
  <si>
    <t>Mahon. Menorca. Baleares</t>
  </si>
  <si>
    <t xml:space="preserve">Cranc Festival /
Ataque Records </t>
  </si>
  <si>
    <t>Porque es mucho más que un festival de música. Variedad de estilos sin encasillarnos en un solo género para que los asistentes disfruten de la música en un entorno idilico y privilegiado como la Isla de Menorca. Gran oferta gastronómica, Market y Cranc Pro.</t>
  </si>
  <si>
    <t>Rock / Inde Rock / Pop / Indie Pop / Electrónica / Dance Electro Disgusting / Blues / R&amp;B / Punk / Trap / Garage</t>
  </si>
  <si>
    <t>02-09-2021
-
04-09-2021</t>
  </si>
  <si>
    <t>Creamfields Ibiza</t>
  </si>
  <si>
    <t>info@cream.co.uk</t>
  </si>
  <si>
    <t>https://es-es.facebook.com/CreamfieldsIbiza/</t>
  </si>
  <si>
    <t>Ibiza</t>
  </si>
  <si>
    <t>Privilage - Ibiza</t>
  </si>
  <si>
    <t>Festival de Música Electrónica, que se celebra todos los años en Agosto. Música al aire libre sin parar, durante tres días.</t>
  </si>
  <si>
    <t>05-03-2020
-
05-07-2020</t>
  </si>
  <si>
    <t>Croma Day</t>
  </si>
  <si>
    <t>cromaday@gmail.com                                circa@circaweb.es</t>
  </si>
  <si>
    <t>http://www.festivalcroma.com/</t>
  </si>
  <si>
    <t>Albacete</t>
  </si>
  <si>
    <t>Caseta de los Jardinillos</t>
  </si>
  <si>
    <t>Circa (Promotor)                       Ayuntamiento de Albacete (Organiza)</t>
  </si>
  <si>
    <t>Festival de Música Independiente de Albacete.</t>
  </si>
  <si>
    <t>Cruilla Barcelona Festival</t>
  </si>
  <si>
    <t>festival@cruillabarcelona.com / booking@cruillabarcelona.com</t>
  </si>
  <si>
    <t>93-7983632 93-707343</t>
  </si>
  <si>
    <t>https://www.cruillabarcelona.com/</t>
  </si>
  <si>
    <t xml:space="preserve"> Parc delm Fórum - Barcelona</t>
  </si>
  <si>
    <t>Barcelona Events Musicals SL</t>
  </si>
  <si>
    <t>El festival que mejor representa la identidad y el público de Barcelona. El Cruïlla es mucho más que música, es una experiencia multicultural. Un festival cómodo y amable que cuida mucho la experiencia del público.Festival 0 plástico</t>
  </si>
  <si>
    <t>Rock / Inde Rock / Pop / Electrónica / Dance / Reggae / Jazz / Blues / Soul / Funk / R&amp;B / Hip- Hop / Rap / Ska / Folk / Latino</t>
  </si>
  <si>
    <t>08-07-2021
-
09-07-2021
-
19-07-2021</t>
  </si>
  <si>
    <t>77.000</t>
  </si>
  <si>
    <t>Cultura es Vida</t>
  </si>
  <si>
    <t>miki@trui.es</t>
  </si>
  <si>
    <t>615-358802 971605506</t>
  </si>
  <si>
    <t>https://www.culturaesvida.es/</t>
  </si>
  <si>
    <t>Mallorca</t>
  </si>
  <si>
    <t>Grup Trui Mallorca</t>
  </si>
  <si>
    <t>El programa artístico es el “Alma Mater” del festival CULTURA ES VIDA , un programa variado para todos los públicos y estilos, nuestro objetivo es integrar una programación variada, actual y fresca que empezará el verano de 2021</t>
  </si>
  <si>
    <t>Junio del 2021- Septiembre del 2021</t>
  </si>
  <si>
    <t>Cultura Inquieta Festival</t>
  </si>
  <si>
    <t xml:space="preserve">festival@culturainquieta.com 
</t>
  </si>
  <si>
    <t>627-019967</t>
  </si>
  <si>
    <t>https://festival.culturainquieta.com/</t>
  </si>
  <si>
    <t>Getafe. Madrid</t>
  </si>
  <si>
    <t>Juan Yuste</t>
  </si>
  <si>
    <t>Por encima de cualquier rutilante line up, lo que de verdad distingue y hace especial al Cultura Inquieta es la atmósfera que crean los inquietos e inquietas, la constante amabilidad, alegría y buena energía que se transmite cada noche.</t>
  </si>
  <si>
    <t>Jazz / Funk /Rock / Varios / Actividades para niños y adultos</t>
  </si>
  <si>
    <t>23-06-2021
-
11-07-2021</t>
  </si>
  <si>
    <t>Cultura Quente</t>
  </si>
  <si>
    <t>cristina@esmerarte.com</t>
  </si>
  <si>
    <t>986-135884
Cristina: 630-809652</t>
  </si>
  <si>
    <t>www.culturaquente.com</t>
  </si>
  <si>
    <t>Pontevedra</t>
  </si>
  <si>
    <t>Caldas de Reis</t>
  </si>
  <si>
    <t>Esmerarte Industrias Creativas
Comunicación: Cristina García</t>
  </si>
  <si>
    <t>Festival con numerosas actividades diferentes como: exposiciones itinerantes, cine en la calle, actuaciones de orquestas sinfónicas, conciertos…</t>
  </si>
  <si>
    <t>Pop-Rock / Música Electrónica</t>
  </si>
  <si>
    <t>01-08-2020
-
22-08-2020</t>
  </si>
  <si>
    <t>Da Luz Festival</t>
  </si>
  <si>
    <t>festivaldelaluzboimortor2018@gmail.com</t>
  </si>
  <si>
    <t>www.festivaldaluz.es</t>
  </si>
  <si>
    <t>Biomorto- A coruña</t>
  </si>
  <si>
    <t>Promotor: Asociación Festival de Música</t>
  </si>
  <si>
    <t>11-09-2020
 - 
13-09-2020</t>
  </si>
  <si>
    <t>Dáia de Brasil</t>
  </si>
  <si>
    <t>info@diadebrasil.es</t>
  </si>
  <si>
    <t>655 17 96 15</t>
  </si>
  <si>
    <t>http://www.diadebrasil.es/</t>
  </si>
  <si>
    <t xml:space="preserve">Parc del Fòrum </t>
  </si>
  <si>
    <t>Organización: Diversia</t>
  </si>
  <si>
    <t> El festival pretende difundir la producción cultural brasileña y fortalecer la imagen de Brasil en el exterior, promocionándolo como destino turístico y facilitando la generación de nuevos negocios, además de promover la cohesión social y la integración de la comunidad brasileña residente en Cataluña</t>
  </si>
  <si>
    <t>06-09-2020</t>
  </si>
  <si>
    <t>Dantz Festival</t>
  </si>
  <si>
    <t>info@dantz.eu</t>
  </si>
  <si>
    <t>943-112111 (Diputación Foral)</t>
  </si>
  <si>
    <t>https://dantz.eu</t>
  </si>
  <si>
    <t>Donostia - San Sebastián</t>
  </si>
  <si>
    <t>Donostia-San Sebastian. Gipuzkoa</t>
  </si>
  <si>
    <t>Jokin Telleiria</t>
  </si>
  <si>
    <t>La mejor música electrónica y de vanguardia local estatal e internacional en Donostia, en los mejores espacios y muchas de las actividades son gratuitas. Experiencia inolvidable.</t>
  </si>
  <si>
    <t>Electrónica / Dance / Techno / Música contemporanea y Experiental.</t>
  </si>
  <si>
    <t>Daydream Festival</t>
  </si>
  <si>
    <t>gemma@daydreamfestival.es</t>
  </si>
  <si>
    <t>656-230047</t>
  </si>
  <si>
    <t>https://www.facebook.com/daydreamfestivalspain/</t>
  </si>
  <si>
    <t>Bosque Mágico de la Roca Vallés</t>
  </si>
  <si>
    <t>Daydream Festival (Organizador)</t>
  </si>
  <si>
    <t>Festival, icono de la música electrónica que nació en Belgica</t>
  </si>
  <si>
    <t>0.0</t>
  </si>
  <si>
    <t xml:space="preserve">Dcode </t>
  </si>
  <si>
    <t xml:space="preserve">        info@dcodefest.com</t>
  </si>
  <si>
    <t>www.dcodefest.com/</t>
  </si>
  <si>
    <t>Nacho Córdoba / Live Nation</t>
  </si>
  <si>
    <t>Se trata de la última gran fiesta del verano, en pleno centro de Madrid, con césped natural, 17 horas de música desde mediodía hasta las 5 de la madrugada.</t>
  </si>
  <si>
    <t>Indie Rock / Rock / Pop / Indie Pop</t>
  </si>
  <si>
    <t>Septiembre del 2021</t>
  </si>
  <si>
    <t>De Cajon</t>
  </si>
  <si>
    <t>theproject@theproject.es</t>
  </si>
  <si>
    <t>93-4817040 (The Project)</t>
  </si>
  <si>
    <t>http://www.jazz.barcelona/es/a-920/VUELVE-DE-CAJON-CON-UN-NIVEL-INSUPERABLE</t>
  </si>
  <si>
    <t>49 Voll-Damm Festival Internacional de Jazz (Promotor)The Project</t>
  </si>
  <si>
    <t>Festival de flamenco con artistas de un nivel muy elevado.</t>
  </si>
  <si>
    <t>28-10-2020</t>
  </si>
  <si>
    <t>De Ida y Vuelta (Jornadas Hispanocubanas de Torrevieja)</t>
  </si>
  <si>
    <t>mbuendia@deidayvuelta.org</t>
  </si>
  <si>
    <t>687-620973</t>
  </si>
  <si>
    <t>www.facebook.com/jornadasdeidayvuelta</t>
  </si>
  <si>
    <t>Torrevieja - Alicante</t>
  </si>
  <si>
    <t>Torrevieja. Alicante</t>
  </si>
  <si>
    <t>Asociación Cultural de Ida y Vuelta</t>
  </si>
  <si>
    <t>Es el único encuentro que fusiona las culturas de Cuba, España y África en busca de un nuevo folklore y el entendimiento entre las culturas. No sólo se trata de música sino de cine, danza, arte, juegos, conferencias y más encuentros.</t>
  </si>
  <si>
    <t>Latino Fusión</t>
  </si>
  <si>
    <t>Julio del 2021</t>
  </si>
  <si>
    <t>Deleste Festival</t>
  </si>
  <si>
    <t>jesus@delestefestival.com</t>
  </si>
  <si>
    <t>http://www.delestefestival.com/</t>
  </si>
  <si>
    <t>Centro Cultural Esplai Rambleta</t>
  </si>
  <si>
    <t>Deleste Festival (Promotor)</t>
  </si>
  <si>
    <t>Festival gourmet y urbano de otoño en Valencia,Line-up en el que destaca por encima de todo la calidad y el interés artístico.Bandas del circuito independiente nacional e internacional.</t>
  </si>
  <si>
    <t>Indie / Pop / Garaje / Electrónica</t>
  </si>
  <si>
    <t>27-11-2020
-
28-11-2020</t>
  </si>
  <si>
    <t>Demandafolk</t>
  </si>
  <si>
    <t>demandafolk@gmail.com</t>
  </si>
  <si>
    <t>www.demandafolk.com</t>
  </si>
  <si>
    <t>Tolbaños de Arriba - Burgos</t>
  </si>
  <si>
    <t>Sierra de la Demanda - Burgos</t>
  </si>
  <si>
    <t>Promotor: Diputación de Burgos</t>
  </si>
  <si>
    <t>DEMANDAFOLK es un festival no convencional de música tradicional que busca que los asistentes, a la vez que disfrutan de un lugar incomparable como la Sierra de la Demanda, conozcan sus tradiciones, su música, gente y costumbres.</t>
  </si>
  <si>
    <t xml:space="preserve">Folk / Tradicional           </t>
  </si>
  <si>
    <t>Derrame-Rock</t>
  </si>
  <si>
    <t>www.festivalderramerock.com</t>
  </si>
  <si>
    <t>Ourense</t>
  </si>
  <si>
    <t>Explanada del Recinto Expourense
C/ Finca Sevilla, s/n</t>
  </si>
  <si>
    <t>Una de las citas clásica de nuestro país.</t>
  </si>
  <si>
    <t>Desolation Metal Fest</t>
  </si>
  <si>
    <t>desolationmetalfest@gmail.com / info@dermaimanagement.com</t>
  </si>
  <si>
    <t>desolationmetalfest.wixsite.
com/2020</t>
  </si>
  <si>
    <t>Iruña - Pamplona</t>
  </si>
  <si>
    <t xml:space="preserve">Asociacion Desolation Metal Fest </t>
  </si>
  <si>
    <t>Festival para dinamizar la escena metalera en la zona norte, sobre todo de metal más extremo.</t>
  </si>
  <si>
    <t>16-01-2021</t>
  </si>
  <si>
    <t>437</t>
  </si>
  <si>
    <t>DGTL Barcelona</t>
  </si>
  <si>
    <t>hello@dgtl.es</t>
  </si>
  <si>
    <t>http://bcn.dgtl.nl/?skip_portal=1</t>
  </si>
  <si>
    <t>Rambla Prim, 2-4</t>
  </si>
  <si>
    <t>El festival con base en Amsterdam, famoso por su line up, su vertiente artística y su sostenibilidad, viajará al Parc del Fòrum para cubrir dos días y dos noches en Barcelona.</t>
  </si>
  <si>
    <t>21-08-2020
 - 
22-08-2020</t>
  </si>
  <si>
    <t>Dia de la Música Heineken</t>
  </si>
  <si>
    <t>info@diadelamusica.com</t>
  </si>
  <si>
    <t>www.diadelamusica.com</t>
  </si>
  <si>
    <t>Matadero Madrid</t>
  </si>
  <si>
    <t>Festival que tiene lugar en el Matadero de Madrid en el que actuan tanto bandas emergentes como más populares</t>
  </si>
  <si>
    <t>Diánia Festival</t>
  </si>
  <si>
    <t>info@festivaldiania.com festivaldiania@gmail.com</t>
  </si>
  <si>
    <t>http://festivaldiania.com/</t>
  </si>
  <si>
    <t>Ontinyent</t>
  </si>
  <si>
    <t xml:space="preserve">Festival con la mejor selección de música del panorama regional. </t>
  </si>
  <si>
    <t>Por determinar (parada indefinida)</t>
  </si>
  <si>
    <t>Días de Campo</t>
  </si>
  <si>
    <t>Montanejos - Castellon</t>
  </si>
  <si>
    <t>21-05-2021
 - 
23-05-2021</t>
  </si>
  <si>
    <t>Días Nórdicos España</t>
  </si>
  <si>
    <t>contacto@diasnordicos.com</t>
  </si>
  <si>
    <t>http://www.diasnordicos.com/</t>
  </si>
  <si>
    <t xml:space="preserve">España </t>
  </si>
  <si>
    <t>Días Nórdicos es el primer festival multidisciplinar de cultura nórdica en España y América Latina y también una plataforma de difusión e intercambio cultural entre ambas regiones.</t>
  </si>
  <si>
    <t>Doctor Music Festival</t>
  </si>
  <si>
    <t>info@doctormusic.com contratacion@doctormusic.com</t>
  </si>
  <si>
    <t>93-2681314 (Doctor Music)</t>
  </si>
  <si>
    <t>https://www.doctormusicfestival.com/</t>
  </si>
  <si>
    <t>Escalarre, La Vall D'Aneu - El Pirineo de Lleida</t>
  </si>
  <si>
    <t>In Cow We Trust S.L                                Doctor Music Concerts</t>
  </si>
  <si>
    <t xml:space="preserve">El festival de la vaca. El espíritu de aquellos tres días y cuatro noches de música, amistad y naturaleza volverá a la vida en julio de 2019.
</t>
  </si>
  <si>
    <t>150.000</t>
  </si>
  <si>
    <t>Donostia Festibala</t>
  </si>
  <si>
    <t>dudas@lasttour.net // contratacion@lasttour.net</t>
  </si>
  <si>
    <t>www.donostiafestibala.com</t>
  </si>
  <si>
    <t>Donostia. Guipuzkoa</t>
  </si>
  <si>
    <t>Porque los mejores artistas de la música urbana a nivel nacional se reunen durante dos días en la ciudad más bonita del mundo: mar, gastronomía y cuatro escenarios donde se mezclan trap, rock, reggaeton, hip hop, dancehall, ska, cumbia, reggae, dub, mestizaje y otros géneros urbanos de la mano de sus protagonistas.</t>
  </si>
  <si>
    <t>Rock / Indie Rock / Música Electrónica / Dance / Hip-Hop / Rap / Trap</t>
  </si>
  <si>
    <t>17-09-2021
 - 
18-09-2021</t>
  </si>
  <si>
    <t>Download Festival Madrid</t>
  </si>
  <si>
    <t>hola@downloadfestival.es</t>
  </si>
  <si>
    <t>http://www.downloadfestival.es/</t>
  </si>
  <si>
    <t>Carlos Amarats y Albert Juncosa</t>
  </si>
  <si>
    <t>Festival que reúne las mejores bandas de metal, rock y heavy en el centro del país.</t>
  </si>
  <si>
    <t>Rock / Metal</t>
  </si>
  <si>
    <t xml:space="preserve">28-06-2020
-
30-06-2020 </t>
  </si>
  <si>
    <t xml:space="preserve">DreamBeach </t>
  </si>
  <si>
    <t>comunicación@dreambeach.es</t>
  </si>
  <si>
    <t>www.dreambeach.es</t>
  </si>
  <si>
    <t>Villaricos- Almería</t>
  </si>
  <si>
    <t>Vilaricos - Palomares. Almería</t>
  </si>
  <si>
    <t>Grupos Hermanos Toro</t>
  </si>
  <si>
    <t>Fundado en 2013, Dreambeach es el mayor encuentro de los amantes de la electrónica en España. Cada verano más de 150.000 dreamers peregrinan hasta una remota playa del Mediterráneo para disfrutar de 5 días de fiesta con los mejores Djs del mundo.</t>
  </si>
  <si>
    <t>Música Electrónica /  Dne / Techno / Hip-Hop / Rap</t>
  </si>
  <si>
    <t>04-08-2021
-
08-08-2021</t>
  </si>
  <si>
    <t>165.000</t>
  </si>
  <si>
    <t>Eat my soul</t>
  </si>
  <si>
    <t> eatmysoulfest@gmail.com</t>
  </si>
  <si>
    <t>www.eatmysoul.es</t>
  </si>
  <si>
    <t>Alicante</t>
  </si>
  <si>
    <t>Varios lugares de la ciudad</t>
  </si>
  <si>
    <t>Mistos CC COOP. V (Promotor)</t>
  </si>
  <si>
    <t>Festival en torno a los estilos musicales afroamericanos.</t>
  </si>
  <si>
    <t>Música negra / Soul / Rhythm and blues / Rocksteady</t>
  </si>
  <si>
    <t>Ebroclub (Sixties Weekend)</t>
  </si>
  <si>
    <t>hola@ebrovisionl.com / rami@ebrovision.com</t>
  </si>
  <si>
    <t>http://www.ebrovision.com/ebroclub</t>
  </si>
  <si>
    <t>Miranda de Ebro - Burgos</t>
  </si>
  <si>
    <t>Mirando de Ebro. Burgos</t>
  </si>
  <si>
    <t>Asociación Amigos de Rafael Izquierdo</t>
  </si>
  <si>
    <t>Porque Ebroclub es un festival creado y cuidado para los amantes de la filosofia y los sonidos sixties.</t>
  </si>
  <si>
    <t>Sould / Funk / R&amp;B</t>
  </si>
  <si>
    <t>23-04-2021
-
24-04-2021</t>
  </si>
  <si>
    <t>Ebrofest</t>
  </si>
  <si>
    <t>ebrofest@gmail.com</t>
  </si>
  <si>
    <t>https://www.ebrofest.com/</t>
  </si>
  <si>
    <t>Estereoclub y Asociación Amigos Rafael Izquierdo.</t>
  </si>
  <si>
    <t>Festival de música indie y electrónica.</t>
  </si>
  <si>
    <t>Rock / Indie Rock / Indie Pop</t>
  </si>
  <si>
    <t>Por conrifmar 2021</t>
  </si>
  <si>
    <t>Ebrovisión</t>
  </si>
  <si>
    <t>ebrovision@hotmail.com booking@ebrovision.com</t>
  </si>
  <si>
    <t>620-286957              656-735044</t>
  </si>
  <si>
    <t>www.ebrovision.com/</t>
  </si>
  <si>
    <t>Las mejores bandas musicales se
reúnen en este festival emblemático
de la zona norte del país</t>
  </si>
  <si>
    <t>Indie Pop / Indie Rock</t>
  </si>
  <si>
    <t>03-09-2021
 -
 05-09-2021</t>
  </si>
  <si>
    <t>Ehuneko Bat</t>
  </si>
  <si>
    <t>rekesound.taldea@gmail.com</t>
  </si>
  <si>
    <t>https://es-es.facebook.com/ehuneko.bat1/</t>
  </si>
  <si>
    <t>Etxebarri - Vizcaya</t>
  </si>
  <si>
    <t>Etxebarri. Bizkaia</t>
  </si>
  <si>
    <t>Asociación Rekesound Elkartea (Promotor)</t>
  </si>
  <si>
    <t>Un festival que fomenta la cultura musical en nuestro pueblo y aporta diversidad a la programación de fiestas y eventos culturales.. Surge como respuesta a la necesidad de dinamizar la actividad musical del pueblo y dar apoyo a los grupos locales. Festival augestionado, ambiente familiar, precios populares.</t>
  </si>
  <si>
    <t>Rock Ska / Ska</t>
  </si>
  <si>
    <t>25-06-2021
-
27-06-2021</t>
  </si>
  <si>
    <t>700</t>
  </si>
  <si>
    <t>El Alternador</t>
  </si>
  <si>
    <t>elalternador@gmail.com</t>
  </si>
  <si>
    <t>http://www.elalternador.es/</t>
  </si>
  <si>
    <t>Montellano - Sevilla</t>
  </si>
  <si>
    <t>Asociación Musical Stone Car (Colectivo local de músicos)</t>
  </si>
  <si>
    <t>Festival de música independiente cuyos objetivos son la promoción social y cultural de la música, así como el apoyo a toda clase de actividades y eventos musicales en la localidad. Con el festival se pretende establecer un punto de encuentro sin ánimo de lucro en el que se pueda disfrutar propuestas artísticas que contribuyan a la difusión de la música pop-rock independiente.</t>
  </si>
  <si>
    <t>Rock / Inde Rock / Pop / Indie Pop</t>
  </si>
  <si>
    <t>03-10-2020</t>
  </si>
  <si>
    <t>El Chantre</t>
  </si>
  <si>
    <t>hola@ebrovison.com</t>
  </si>
  <si>
    <t>www.ebrovision.com</t>
  </si>
  <si>
    <t>Asociacion Amigos Rafael Izquierdo</t>
  </si>
  <si>
    <t>Porque es muy variado y siempre hay un gran ambiente.</t>
  </si>
  <si>
    <t>Rock / Indie Rock / Indie Pop / Música Electrónica</t>
  </si>
  <si>
    <t>03-09-2020
-
05-09-2020</t>
  </si>
  <si>
    <t>21.0</t>
  </si>
  <si>
    <t>El Día de la Marmota</t>
  </si>
  <si>
    <t>rafa@greenufos.com</t>
  </si>
  <si>
    <t>955 08 76 56</t>
  </si>
  <si>
    <t>https://es-es.facebook.com/ElDiaDeLaMarmotaFestival/</t>
  </si>
  <si>
    <t>Centro Andaluz de Arte Conteporanéo</t>
  </si>
  <si>
    <t>Organizado por GREEN UFOS</t>
  </si>
  <si>
    <t>Es un Festival con programación musical heterogénea, fresca y sin complejos para celebrar el fin del invierno con música que participan bandas nacionales y locales repartidas en dos escenarios, es un festival gratuito</t>
  </si>
  <si>
    <t>01-02-2020
 - 
02-02-2020</t>
  </si>
  <si>
    <t>El Invernadero Music</t>
  </si>
  <si>
    <t>elinvernaderofest@gmail.com // contratacion@volteretarecords.com</t>
  </si>
  <si>
    <t>www.elinvernaderomusic.com</t>
  </si>
  <si>
    <t>Voltereta Records S.L</t>
  </si>
  <si>
    <t>El invernadero es el nuevo recinto de la capital en el que se celebra el ciclo musical "El Invernadero Music". Es el espacio y la programación más completos que Madrid necesitaba.</t>
  </si>
  <si>
    <t>31-10-2020
-
15-03-2021</t>
  </si>
  <si>
    <t>45.000</t>
  </si>
  <si>
    <t>El Jardín de las Delicias Festival</t>
  </si>
  <si>
    <t>adrian@loveandhate.es; contacto@jardindelasdeliciasfestival.com</t>
  </si>
  <si>
    <t>https://www.jardindeliciasfestival.com/</t>
  </si>
  <si>
    <t>Complejo Deportivo Cantarranas - Universidad Complutense de Madrid</t>
  </si>
  <si>
    <t>Love and Hate - Adrian de las Heras</t>
  </si>
  <si>
    <t xml:space="preserve">El 22 de septiembre de 2018, para dar la bienvenida a los nuevos universitarios, se celebró la primera edición del Jardín de las Delicias Festival en la Ciudad Universitaria de Madrid. 
Nace un mundo propio, un espacio totalmente tematizado en el que se desarrollan diferentes expresiones artísticas: espectáculos visuales, actores, performances, happenings. Originales actividades que conviven junto a una cuidada y variada gastronomía, y todo ello en torno a la música, que se configura como el eje central del festival.
Grandes artistas, bandas y grupos en directo de los que podrás disfrutar al aire libre desde las primeras horas de la tarde, siempre acompañado de las innumerables sorpresas y espectáculos que caracterizan a este singular evento.
El Jardín de las Delicias Festival se consolida como propuesta cultural diferente con una atmósfera mágica, cuyo objetivo es generara a los asistentes una experiencia única para los sentidos.
</t>
  </si>
  <si>
    <t>Pop / Indie / Rock
Canción de Autor</t>
  </si>
  <si>
    <t>25/9/2021</t>
  </si>
  <si>
    <t>El Sierra Festival Rural</t>
  </si>
  <si>
    <t>http://www.elsierra.com/</t>
  </si>
  <si>
    <t>Beas de Segura- Jaén</t>
  </si>
  <si>
    <t>Oh, Salvaje / AC El Sierra / Ayto Beas De Segura</t>
  </si>
  <si>
    <t>Festival Rural por excelencia celebra el 25 aniversario de su primera edición este 2021 (covid mediante). El Sierra es un festival donde vas a poder disfrutar de los encantos de Beas de Segura, mientras degustas música en directo de estilos variados.</t>
  </si>
  <si>
    <t>Ecléctico</t>
  </si>
  <si>
    <t>19-08-2021
-
21-08-2021</t>
  </si>
  <si>
    <t>Elas Son Artistas</t>
  </si>
  <si>
    <t>info@elassonartistas.gal</t>
  </si>
  <si>
    <t>617-251321</t>
  </si>
  <si>
    <t>https://www.facebook.com/elassonartistas/</t>
  </si>
  <si>
    <t>Arteixo, Betanzos, Cambre, A Coruña, Culleredo, Sada y Oleiros</t>
  </si>
  <si>
    <t>10d10 SL, Produtriz Agency y Yoltown SL</t>
  </si>
  <si>
    <t>Elas son artistas es un micro festival, un evento artesano de cultura en el que buscamos a un público de mente abierta, que se acerque la diversa artes y diversos espacios y estilos.</t>
  </si>
  <si>
    <t>Rock / Inde Rock / Pop / Indie Pop / Blues / Soul / R&amp;B / Hip-Hop / Rap</t>
  </si>
  <si>
    <t>25-04-2020
-
11-12-2020</t>
  </si>
  <si>
    <t>Elche Live Music</t>
  </si>
  <si>
    <t>elchelivemusicfest@gmail.com</t>
  </si>
  <si>
    <t>https://es-es.facebook.com/ElcheLiveMusic/</t>
  </si>
  <si>
    <t>Elche - Alicante</t>
  </si>
  <si>
    <t>Rotonda del Parque municipal - Elche</t>
  </si>
  <si>
    <t xml:space="preserve">Grupo Chevent - Jose María Muela </t>
  </si>
  <si>
    <t>Festival de música alternativa</t>
  </si>
  <si>
    <t>Indie Independiente Nacional</t>
  </si>
  <si>
    <t>Electro Time Machine</t>
  </si>
  <si>
    <t>productora@producciones3.com</t>
  </si>
  <si>
    <t>686 958 642</t>
  </si>
  <si>
    <t>www.electrotimemachine.com</t>
  </si>
  <si>
    <t>Sueca-Valencia</t>
  </si>
  <si>
    <t>Salones Canela, Carrer dels Marenys, 1 A, Sueca (València)</t>
  </si>
  <si>
    <t>Un día de fiesta donde poder degustar la mejor paella del mundo mientras escuchas versiones musicales de tus grupos favoritos</t>
  </si>
  <si>
    <t>Electrofallas</t>
  </si>
  <si>
    <t>info@eventastic.es</t>
  </si>
  <si>
    <t>722151522</t>
  </si>
  <si>
    <t>http://www.electrofallas.com/</t>
  </si>
  <si>
    <t>Electromar Festival</t>
  </si>
  <si>
    <t>contacto@electromarfestival.es</t>
  </si>
  <si>
    <t>675 522 710</t>
  </si>
  <si>
    <t>Parque Antonio Soria. Avda. Delfina Viudes - Torrevieja</t>
  </si>
  <si>
    <t xml:space="preserve">ElectroSplash </t>
  </si>
  <si>
    <t>hola@electrosplash.com</t>
  </si>
  <si>
    <t>http://electrosplash.com/</t>
  </si>
  <si>
    <t>Vinarós - Castellón</t>
  </si>
  <si>
    <t>La Marina de Valencia. C/ de La Aduana s/n</t>
  </si>
  <si>
    <t>Vicente Salvador (Director)</t>
  </si>
  <si>
    <t>Es un festival dedicado a la música avanzada, el arte de vanguardia y la cultura contemporánea, para  estar en la playa al sol o a la sombra, disfrutando de caras sonrientes, bañándote, comiendo fruta fresca y bailando.</t>
  </si>
  <si>
    <t>Música Eléctronica / Indietrónica</t>
  </si>
  <si>
    <t>20-07-2020
 - 
21-07-2020</t>
  </si>
  <si>
    <t>7.000</t>
  </si>
  <si>
    <t>Elmini Festival</t>
  </si>
  <si>
    <t>info@elmini.net                               alba@elmini.net                      elminiolot@gmail.com</t>
  </si>
  <si>
    <t>https://www.elmini.net/</t>
  </si>
  <si>
    <t>Olot - Girona</t>
  </si>
  <si>
    <t>La Química (Organizador)</t>
  </si>
  <si>
    <t>Festival de música de butxaca de la Garrotxa.Es el festival més grande del mundo.</t>
  </si>
  <si>
    <t>Pop / Indie</t>
  </si>
  <si>
    <t>04-12-2020
-
06-12-2020</t>
  </si>
  <si>
    <t>Emac</t>
  </si>
  <si>
    <t>borrianaemac@gmail.com</t>
  </si>
  <si>
    <t>http://www.instagram.com/emac.fest</t>
  </si>
  <si>
    <t>Borriana - Castelló</t>
  </si>
  <si>
    <t>Emac.Borriana</t>
  </si>
  <si>
    <t>Evento cultural que conjuga programación musical, con artística. Buscando crear espacios de encuentro entre las artes, artistas y el público. Siempre buscando sonidos y artistas de vanguardia.</t>
  </si>
  <si>
    <t>Indie / Electrònica / Trap /
Experimental</t>
  </si>
  <si>
    <t>12-04-2021
-
14-04-2021</t>
  </si>
  <si>
    <t>8.500</t>
  </si>
  <si>
    <t>Embassa't</t>
  </si>
  <si>
    <t>info@embassat.com</t>
  </si>
  <si>
    <t>www.embassat.com</t>
  </si>
  <si>
    <t>Sabadell - Barcelona</t>
  </si>
  <si>
    <t>La Bassa de Sant Oleguer</t>
  </si>
  <si>
    <t>Festival independiente que se celebra en un entorno natural y privilegiado. Habrá artistas por descubrir, presentaciones de nuevos discos, Electrónica, Pop, veteranos de los escenarios...</t>
  </si>
  <si>
    <t>Pop / Rock / Música Electrónica</t>
  </si>
  <si>
    <t>11-06-2021
 - 
12-06-2021</t>
  </si>
  <si>
    <t>EMDIV Music Festival</t>
  </si>
  <si>
    <t>info@emdivmusic.es info@ganeshaproducciones.es</t>
  </si>
  <si>
    <t>601-742759</t>
  </si>
  <si>
    <t>www.emdivmusic.com/</t>
  </si>
  <si>
    <t>Elda - Alicante</t>
  </si>
  <si>
    <t>Campo de Fútbol Pepico Amat</t>
  </si>
  <si>
    <t>Ganesha Producciones S.L (Organizador)</t>
  </si>
  <si>
    <t>Pequeño festival con las actuaciones de bandas y artistas españolas</t>
  </si>
  <si>
    <t>Pop / Rock / Indie Pop / Dance / Música Electrónica</t>
  </si>
  <si>
    <t>27-06-2020</t>
  </si>
  <si>
    <t>Emergencia Festival</t>
  </si>
  <si>
    <t>analogicte@yahoo.es</t>
  </si>
  <si>
    <t>https://www.facebook.com/emergenciabcn</t>
  </si>
  <si>
    <t xml:space="preserve">Centro de Cultura Conteporània  </t>
  </si>
  <si>
    <t>Organiza: Centro Cultural de Barcelona (CCCB) y Analogic Té</t>
  </si>
  <si>
    <t>Es hasta ahora la primera cita indispensable de la temporada musical de Barcelona. Es un festival de música independiente.</t>
  </si>
  <si>
    <t>Pop Independiente</t>
  </si>
  <si>
    <t>Empúries - Concerts Al Fórum Roma</t>
  </si>
  <si>
    <t>info@temproductions.com tem@temproductions.com</t>
  </si>
  <si>
    <t>682-787083</t>
  </si>
  <si>
    <t>http://concertsempuries.com/es/</t>
  </si>
  <si>
    <t>L'Escala - Girona</t>
  </si>
  <si>
    <t>Yacimiento arqueológico de Empúries</t>
  </si>
  <si>
    <t>Tem Productions (Promotor)</t>
  </si>
  <si>
    <t>Concerts Empuries al Fòrum Roma, es el nombre propio para un Festival donde se consolida una gran propuesta musical dentro de paraje histórico como son las Ruinas de Empúries.​</t>
  </si>
  <si>
    <t>En Órbita</t>
  </si>
  <si>
    <t>info@en-orbita.com</t>
  </si>
  <si>
    <t>www.en-orbita.com</t>
  </si>
  <si>
    <t>Fermasa-Armilla (Granada)</t>
  </si>
  <si>
    <t xml:space="preserve">Festivales y Eventos Andalucía       </t>
  </si>
  <si>
    <t>En Órbita es un evento urbano de día. En sus diversos escenarios se combinan las actuaciones de bandas nacionales consagradas y multitudinariamente reconocidas con otras de aquellos artistas que buscan posicionarse en lo alto del escalafón de grupos punteros, consiguiéndolo en su mayoría pocos meses después. Cabe destacar su afoto limitado para primar la comodidad de los asistentes y su cartel con varios headliner para un sólo día.</t>
  </si>
  <si>
    <t>Indie Nacional</t>
  </si>
  <si>
    <t>04-09-2020
-
05-09-2020</t>
  </si>
  <si>
    <t>Enclave de Agua</t>
  </si>
  <si>
    <t>festival@enclavedeagua.com
victor@globoproduccion.com
alfredo@globoproduccion.com</t>
  </si>
  <si>
    <t>www.enclavedeagua.com</t>
  </si>
  <si>
    <t>Soria</t>
  </si>
  <si>
    <t xml:space="preserve">Paseo de San Prudencio s/n. Paraje natural Soto Playa 
</t>
  </si>
  <si>
    <t>Dirección Artística: Víctor Frutos
Dirección de Produccion: Alfredo Cañas</t>
  </si>
  <si>
    <t>Festival dedicado a la música de raís afroamericana. Hay conciertos, talleres, danza, sesiones Dj, mercadillo gastronómico, actividades al aire libre... Cuenta con zona de acampada a orillas del río y muy cercana al festival.</t>
  </si>
  <si>
    <t>Blues / Hip Hop / Soul / Funk / Reggae</t>
  </si>
  <si>
    <t>25-07-2020
-
27-07-2020</t>
  </si>
  <si>
    <t>Enofestival</t>
  </si>
  <si>
    <t>direccion@enofestival.com
info@enofestival.com</t>
  </si>
  <si>
    <t>http://www.enofestival.com/</t>
  </si>
  <si>
    <t>Cristina V</t>
  </si>
  <si>
    <t>El Festival de Música y Cultura del Vino, un proyecto pionero y único en su apuesta por la promoción del vino a través de la música independiente. Combina conciertos con cayas de vino, maridajes, etc.</t>
  </si>
  <si>
    <t>Pop / Indie / Independiente</t>
  </si>
  <si>
    <t>Era Electrónica</t>
  </si>
  <si>
    <t>info@festivalera.com</t>
  </si>
  <si>
    <t>http://www.festivalera.com/home-es</t>
  </si>
  <si>
    <t>Llagostera-Gerona</t>
  </si>
  <si>
    <t>Can Gascons</t>
  </si>
  <si>
    <t>El objetivo principal es ofrecer un producto diferente creando un nuevo concepto de festival rural basado en la proximidad, a través del cual tratar de impulsar tanto a bandas consolidadas como a bandas emergentes</t>
  </si>
  <si>
    <t>01-06-2020</t>
  </si>
  <si>
    <t>Escena Gandía</t>
  </si>
  <si>
    <t>info@escenagandia.com</t>
  </si>
  <si>
    <t>91-9198090 664-489394</t>
  </si>
  <si>
    <t>http://escenagandia.com/</t>
  </si>
  <si>
    <t xml:space="preserve">Gandía </t>
  </si>
  <si>
    <t>Produceme</t>
  </si>
  <si>
    <t>Un festival donde poder disfrutar en julio y agosto de los mejores artistas con un recinto único a la orilla del mar, el Espacio Transmediterránea-Escena Gandia.</t>
  </si>
  <si>
    <t>Escena Rock</t>
  </si>
  <si>
    <t>efernandezd@planetevents.es</t>
  </si>
  <si>
    <t>91-7810818  91-7817983</t>
  </si>
  <si>
    <t>www.escenarockfest.es</t>
  </si>
  <si>
    <t>Pabellón 1 de IFEMA, Feria de Madrid</t>
  </si>
  <si>
    <t>Planet Events - Last Tour</t>
  </si>
  <si>
    <t>El festival nace con la intención de potenciar la visibilidad de artistas de heavy metal y rock duro nacional, el 15 de febrero del 2020</t>
  </si>
  <si>
    <t>15/2/2020</t>
  </si>
  <si>
    <t>Esmorga Fest</t>
  </si>
  <si>
    <t>pabloyoyo@esmorgafest.com</t>
  </si>
  <si>
    <t>http://www.esmorgafest.com</t>
  </si>
  <si>
    <t>Sarria - Lugo</t>
  </si>
  <si>
    <t>Sarria. Lugo</t>
  </si>
  <si>
    <t>Asociación EsmorgArt</t>
  </si>
  <si>
    <t>Por varios motivos, entre ellos, la selección de bandas se hace siempre con mucho cariño, tratando de tener una selección de artistas diferente a lo habitual, el buen ambiente, visitar Sarria y los diferentes espacios donde se celebra.</t>
  </si>
  <si>
    <t>Indie / Post-Rock /
Electrónica</t>
  </si>
  <si>
    <t>No se celebra en 2021</t>
  </si>
  <si>
    <t>1.800</t>
  </si>
  <si>
    <t>Espeto Festival</t>
  </si>
  <si>
    <t>http://www.espetofestival.com/</t>
  </si>
  <si>
    <t>Campo de Fútbol de Torremolinos</t>
  </si>
  <si>
    <t>Música es Amor</t>
  </si>
  <si>
    <t>Festival de reciente creación, centrado en mostrar las novedades de la música alternativa, con sonidos nacionales e internacionales. También se trata de un encuentro gastronómico, que comienza con la espetada gratuita y concentración de Food Trucks</t>
  </si>
  <si>
    <t>Flamenco / Hip-Hop</t>
  </si>
  <si>
    <t>Estaciones Sonoras</t>
  </si>
  <si>
    <t>radiocierzo@cascante.com</t>
  </si>
  <si>
    <t>http://www.estacionessonoras.com/</t>
  </si>
  <si>
    <t>Cascante</t>
  </si>
  <si>
    <t>Cascante. Navarra</t>
  </si>
  <si>
    <t>Radio Cierzo Cascante (Organizador y productor)</t>
  </si>
  <si>
    <t>Nada de agobios, ni de colas, conciertos de larga duración, escenarios cercanos, accesos para toda la familia, gastronomía exquisita. Un cartel un poco "escaso", con tan solo 3 bandas y  dj por día, hace que se vivan conciertos muy especiales.</t>
  </si>
  <si>
    <t>Indie Rock / Indie Pop / Música Electrónica / Dnc / Soul / Rock / Pop</t>
  </si>
  <si>
    <t>15 y 16-05-2021
 - 
01 y 02-10-2021</t>
  </si>
  <si>
    <t>11.500</t>
  </si>
  <si>
    <t>Estayike Rock</t>
  </si>
  <si>
    <t>somosasidestayike@hotmail.com</t>
  </si>
  <si>
    <t>https://es-es.facebook.com/Estayike/</t>
  </si>
  <si>
    <t>Piedrahíta - Ávila</t>
  </si>
  <si>
    <t>Asociación juvenil "Somos así destayike"</t>
  </si>
  <si>
    <t>El mejor festival de rock de la provincia de Ciudad Real, tanto por cartel como asistencia.</t>
  </si>
  <si>
    <t>Etnosur</t>
  </si>
  <si>
    <t>info@etnosur.com</t>
  </si>
  <si>
    <t>953-087373
647-989412</t>
  </si>
  <si>
    <t>http://www.etnosur.com/</t>
  </si>
  <si>
    <t>Alcalá la Real-Jaén</t>
  </si>
  <si>
    <t>Alcalá la Real - Jaén</t>
  </si>
  <si>
    <t xml:space="preserve"> Ayuntamiento de Alcalá la Real</t>
  </si>
  <si>
    <t>El festival de música que va más allá de la música. Su filosofía del disfrutar, de aprender de los demás, de la solidaridad y del respeto lo hacen único, y eso lo sabe bien todo el que haya tenido la oportunidad de vivirlo</t>
  </si>
  <si>
    <t>Músicas del Mundo</t>
  </si>
  <si>
    <t>17-07-2020
 - 
19-07-2020</t>
  </si>
  <si>
    <t>Europa Sur Festival</t>
  </si>
  <si>
    <t>http://www.festivaleuropasur.com/</t>
  </si>
  <si>
    <t>Plaza de Santa María</t>
  </si>
  <si>
    <t>Promotor:                                                 Juan Pedro González - Asociación Cultural Bonvivant</t>
  </si>
  <si>
    <t>Festival Hispano-Luso, tiene  como objetivo primordial unir las escenas culturales, artísticas y musicales de España y Portugal</t>
  </si>
  <si>
    <t>Indie / Pop / Rock</t>
  </si>
  <si>
    <t>Euroyeyé</t>
  </si>
  <si>
    <t>www.euroyeye.es</t>
  </si>
  <si>
    <t xml:space="preserve">Gijón </t>
  </si>
  <si>
    <t>Festival de música de los años 60 en el que además, hay otras actividades como: Scootercruzada, ciclo de cine de culto a los años 60, exposiciones der arte y fotografía.</t>
  </si>
  <si>
    <t>31-07-2020
-
02-08-2020</t>
  </si>
  <si>
    <t>Eutopia</t>
  </si>
  <si>
    <t>carlos@riffmusic.org</t>
  </si>
  <si>
    <t>957-497501</t>
  </si>
  <si>
    <t>http://festivaleutopia.org/</t>
  </si>
  <si>
    <t>Festival de la Creación Joven Eutopía, en el que se realizan numerosas actividades culturales y conciertos de Pop/Rock y Canción de Autor</t>
  </si>
  <si>
    <t>Pop / Canción de Autor</t>
  </si>
  <si>
    <t>Euscal Metal Fest</t>
  </si>
  <si>
    <t>txarlymetal@hotmail.com</t>
  </si>
  <si>
    <t> 688-653949</t>
  </si>
  <si>
    <t>www.facebook.com/MPRproducktionsymanagement</t>
  </si>
  <si>
    <t>Donostia- Guipuzkoa</t>
  </si>
  <si>
    <t>Carlos Maestre- MPR Producktions &amp; Management</t>
  </si>
  <si>
    <t>Por el nivel de las bandas, por el buen ambiente, por los precios populares, por la mezcla de bandas internacionales y nacionales y de bandas emergentes.</t>
  </si>
  <si>
    <t>Metal / Rock</t>
  </si>
  <si>
    <t>26-12-2021
-
27-12-2021</t>
  </si>
  <si>
    <t>350</t>
  </si>
  <si>
    <t>Exib Música</t>
  </si>
  <si>
    <t>info@exibmusica.com</t>
  </si>
  <si>
    <t>94-6765581</t>
  </si>
  <si>
    <t>www.exibmusica.com</t>
  </si>
  <si>
    <t>Setúbal (Portugal)</t>
  </si>
  <si>
    <t>Alhóndiga</t>
  </si>
  <si>
    <t>Dekker Events</t>
  </si>
  <si>
    <t>El primer mercado especializado en música iberoamericana para Europa y el mundo. Durante 3 días, los profesionales de la música tendrán la oportunidad de reunirse para llegar acuerdos, intercambiar productos que supondrán un gran impulso para la industria musical iberoamericana.</t>
  </si>
  <si>
    <t>11-06-2020
 - 
13-06-2020</t>
  </si>
  <si>
    <t>Expogrow</t>
  </si>
  <si>
    <t>prensa@expogrow.net</t>
  </si>
  <si>
    <t>958-255116</t>
  </si>
  <si>
    <t>http://www.expogrow.net/2018/festival-de-musica</t>
  </si>
  <si>
    <t>Irún - Guipúzcoa</t>
  </si>
  <si>
    <t>Ficoba (Centro de Exhibiciones de Guipuzcoa)</t>
  </si>
  <si>
    <t>Expogrow (Promotor)/Wild Punk</t>
  </si>
  <si>
    <t>Se celebra dentro de la feria de canabis (la más grande de Europa). Actúan algunas de las mejores bandas de nuestro país, de ritmos jamaicanos, ska y rock.</t>
  </si>
  <si>
    <t xml:space="preserve">Reggae / Hip-Hop / Rap / Ska / Mestizaje / Fusión
</t>
  </si>
  <si>
    <t>26-04-2020
 - 
28-04-2020</t>
  </si>
  <si>
    <t>Extremadura Suena</t>
  </si>
  <si>
    <t>Cáceres-Badajoz</t>
  </si>
  <si>
    <t>Palacio de Congresos de Cáceres y Palacio de Congresos de Badajoz</t>
  </si>
  <si>
    <t>Nuevo ciclo de conciertos de Ara Music Group, realizado en el Palacio de Congresos de Cáceres y el Palacio de Congresos de Badajoz</t>
  </si>
  <si>
    <t>Ocubre-Noviembre- Diciembre 2021
-
Enero 2022</t>
  </si>
  <si>
    <t>Extremúsika</t>
  </si>
  <si>
    <t>prensa@extremusika.es / contratacion@extremusika.es</t>
  </si>
  <si>
    <t>www.extremusika.es</t>
  </si>
  <si>
    <t>Cáceres</t>
  </si>
  <si>
    <t xml:space="preserve">Extremúsika continúa fuerte en la agenda festivalera nacional y este año amplía horizontes en la apertura de estilos con un cartel artístico más que atractivo. </t>
  </si>
  <si>
    <t>Rock / Inde Rock / Metal / Pop / Música Electrónica / Dance / Tecno / Funk / Hip-Hop / Rap / Ska</t>
  </si>
  <si>
    <t>08-10-2021
 - 
11-10-2021</t>
  </si>
  <si>
    <t>38.000</t>
  </si>
  <si>
    <t>Extruga Street</t>
  </si>
  <si>
    <t>estrugastreet@gmail.com longodub@gmail.com</t>
  </si>
  <si>
    <t>https://es-es.facebook.com/Extrugastreet/</t>
  </si>
  <si>
    <t>Verín - Orense</t>
  </si>
  <si>
    <t>Ayuntamiento de Verín y Asociación Longodub (Promotores)</t>
  </si>
  <si>
    <t>Primer festival relacionado con la cultura urbana en el sur de la provincia de Orense. Varias actividades como conciertos, exhibiciones,talleres, etc</t>
  </si>
  <si>
    <t>Rap / Reggae</t>
  </si>
  <si>
    <t>EzcaFest</t>
  </si>
  <si>
    <t>info@ezcafest.com</t>
  </si>
  <si>
    <t xml:space="preserve">http://www.ezcafest.com/ </t>
  </si>
  <si>
    <t xml:space="preserve">Ezcaray </t>
  </si>
  <si>
    <t>Ezcaray. La Rioja</t>
  </si>
  <si>
    <t>Ezcafest volverá del 30 de julio al 1 de agosto, dispuesto a ofrecer un fin de semana de música y fiesta en la localidad de Ezcaray. Tras las primeras confirmaciones de Zea Mays, Meridian y Soziedad Alkoholika, se unen al line up Los Chikos de Maiz</t>
  </si>
  <si>
    <t>Rock / Metal / Punk / Rap</t>
  </si>
  <si>
    <t>30-07-2021
-
01-08-2021</t>
  </si>
  <si>
    <t>Ezperanzah!</t>
  </si>
  <si>
    <t>info@esperanzah.cat</t>
  </si>
  <si>
    <t>http://www.esperanzah.es/</t>
  </si>
  <si>
    <t>El Prat-Barcelona</t>
  </si>
  <si>
    <t>Al Parc Nou</t>
  </si>
  <si>
    <t>Esperanzah! World Music festival trabaja para establecer un puente real entre la música y las artes y el compromiso para la movilización de la sociedad civil por un mundo más justo y sostenible</t>
  </si>
  <si>
    <t>12-10-2020
-
18-10-2020</t>
  </si>
  <si>
    <t>93 478 14 29</t>
  </si>
  <si>
    <t>Fácyl</t>
  </si>
  <si>
    <t>info@facyl-festival.com </t>
  </si>
  <si>
    <t>923-279100 (Ayuntamiento de Salamanca)</t>
  </si>
  <si>
    <t>http://facyl-festival.com/</t>
  </si>
  <si>
    <t>Salamanca</t>
  </si>
  <si>
    <t>Organiza: Junta de Castilla             Produce: Ayuntamiento de Salamanca</t>
  </si>
  <si>
    <t>Festival Internacional de las Artes que organiza la Consejería de Cultura y Turismo de la Junta de Castilla y León,  con la presentación de variadas propuestas artísticas en torno a la danza, el teatro, la música</t>
  </si>
  <si>
    <t>02-11-2020 al 21-12-2020
-
11-01-2021 al 19-04-2021</t>
  </si>
  <si>
    <t>85.000</t>
  </si>
  <si>
    <t>Fallas festival</t>
  </si>
  <si>
    <t>http://www.valenciafallasfestival.com/</t>
  </si>
  <si>
    <t>un festival de música electrónica que se celebra en la ciudad de Valencia durante sus más famosas y tradicionales fiestas, las fallas</t>
  </si>
  <si>
    <t>Fan Futura Fest</t>
  </si>
  <si>
    <t>prensa@fanfutura.com</t>
  </si>
  <si>
    <t>https://fanfutura.com/</t>
  </si>
  <si>
    <t xml:space="preserve">San Javier </t>
  </si>
  <si>
    <t>20-07-2021
 - 
25-07-2021</t>
  </si>
  <si>
    <t>Fanzine Fest</t>
  </si>
  <si>
    <t>info@fanzineproject.com</t>
  </si>
  <si>
    <t>www.fanzinefest.com</t>
  </si>
  <si>
    <t>CudBe Music, S.L.</t>
  </si>
  <si>
    <t>La singularidad del festival proviene del hecho de conjugar artistas de diferentes estilos musicales con vídeo creadores e artistas de imagen, creando una experiencia sinestésica entre audio e vídeo absolutamente espectacular.</t>
  </si>
  <si>
    <t>01-02-2020
-
06-12-2020</t>
  </si>
  <si>
    <t>Farbidden Fest</t>
  </si>
  <si>
    <t>farbidencontratacion@gemail.com</t>
  </si>
  <si>
    <t>Alejandro Sierra García (Contratación de bandas) 651-135806 Daniel Alfonso Sánchez (Eventos culturales) 651-362326</t>
  </si>
  <si>
    <t>www.farbidden.es</t>
  </si>
  <si>
    <t>Asociación Cultural Farbidden (Promotor)</t>
  </si>
  <si>
    <t xml:space="preserve">Festival con el objetivo de promover la escena de la música Metal, Hardcore, Punk, Rock, etc. de la ciudad. Cuenta con una gran acogida, donde han trabajado bandas en pleno crecimiento de la escena local y nacional.
</t>
  </si>
  <si>
    <t>400</t>
  </si>
  <si>
    <t>Fárdelej Festival</t>
  </si>
  <si>
    <t>festival@fardelej.com
info@fardelej.com</t>
  </si>
  <si>
    <t>637-457987</t>
  </si>
  <si>
    <t>www.fardelej.com</t>
  </si>
  <si>
    <t xml:space="preserve">Ameda </t>
  </si>
  <si>
    <t>Plaz de Toros de Arnedo (Avda. de la Cruz Roja 22)</t>
  </si>
  <si>
    <t>Organiza: Manolo Moreno</t>
  </si>
  <si>
    <t>Festival que une conciertos con multitud de actividades gastronómicas, como catas de vino, visita a bodegas de la zona o degustación de cerezas y chocolate.</t>
  </si>
  <si>
    <t>Farinato Rock</t>
  </si>
  <si>
    <t>ceaestudiantes@gmail.com</t>
  </si>
  <si>
    <t>https://es-es.facebook.com/farinatorock94/</t>
  </si>
  <si>
    <t>Plaza San Román</t>
  </si>
  <si>
    <t>Cea Estudiantes (Promotor)</t>
  </si>
  <si>
    <t>Festival solidario, rebelde y contestatario, organizado por estudiantes.</t>
  </si>
  <si>
    <t>Farinato Sound</t>
  </si>
  <si>
    <t>farinatosound@gmail.com</t>
  </si>
  <si>
    <t>https://es-es.facebook.com/farinatosound/</t>
  </si>
  <si>
    <t>Ciudad Rodrigo - Salamanca</t>
  </si>
  <si>
    <t>Foso de la Puerta del Sol</t>
  </si>
  <si>
    <t>Asociación Cultural Farinato Sound (Promotor)</t>
  </si>
  <si>
    <t>Festival variado.</t>
  </si>
  <si>
    <t>Soul / Rock / Ska / Jazz / Hip-Hop</t>
  </si>
  <si>
    <t>Fasse Rueda</t>
  </si>
  <si>
    <t>www.facebook.com/festival-fasse</t>
  </si>
  <si>
    <t>Medina del Campo - Valladolid</t>
  </si>
  <si>
    <t>Estadio Municipal de Medina del Campo</t>
  </si>
  <si>
    <t>Samuel Sobrino - Lírica Producciones (Promotor)</t>
  </si>
  <si>
    <t>Es un festival consolidado dentro del panorama musical estatal y siendo además un referente en Castilla y León, reuniendo a artistas de primer nivel.</t>
  </si>
  <si>
    <t>contacto@escenasonora.com festivalfax@gmail.com</t>
  </si>
  <si>
    <t>https://es-es.facebook.com/festivalfax/</t>
  </si>
  <si>
    <t>Xinzo de Lima - Orense</t>
  </si>
  <si>
    <t>Escena Sonora (Promotor)</t>
  </si>
  <si>
    <t>Un arma de promoción turística que utiliza la música como excusa para atraer al público.</t>
  </si>
  <si>
    <t>Tradicional Gallega / Tradicional  Folk / Canción de Autor / Indie</t>
  </si>
  <si>
    <t>01-07-2020</t>
  </si>
  <si>
    <t>Fck Cnsrshp Fest</t>
  </si>
  <si>
    <t>info@sufriendoygozando.com</t>
  </si>
  <si>
    <t>www.facebook.com/FckCnsrshpFest</t>
  </si>
  <si>
    <t>Villena. Alicante</t>
  </si>
  <si>
    <t>Sufriendo y Gozando</t>
  </si>
  <si>
    <t>La plaza de toros cubierta de Villena (Alicante) es un recinto espectacular para acoger eventos musicales en invierno.</t>
  </si>
  <si>
    <t>Rock / Hard Rock / Heavy Metal</t>
  </si>
  <si>
    <t>Fecstival</t>
  </si>
  <si>
    <t>Gonzalo: 609 108 918</t>
  </si>
  <si>
    <t>http://fecstival.com/es/</t>
  </si>
  <si>
    <t>Parque Rafalafena - Castellón</t>
  </si>
  <si>
    <t>Avd. del Lidón, s/n, Castelló de la Plana</t>
  </si>
  <si>
    <t>Organización : Gonzalo Magaña</t>
  </si>
  <si>
    <t>Es un evento interdisciplinar y cultural pensado para hacerte disfrutar con conciertos, actividades, gastronomía y buen ambiente.</t>
  </si>
  <si>
    <t>Femnoise</t>
  </si>
  <si>
    <t>info@femnoise.com / booking@femnoise.com</t>
  </si>
  <si>
    <t>http://www.femnoise.com/community</t>
  </si>
  <si>
    <t>Worldwide</t>
  </si>
  <si>
    <t xml:space="preserve">Femnøise </t>
  </si>
  <si>
    <t>Talento emergente, virtual y colaborativo de mujeres y disidencias. Reinventarse, pensar global y no descuidar la brecha de género, premisas para un festival simultáneo, de múltiples escenarios curados por organizaciones de mujeres en el mundo.</t>
  </si>
  <si>
    <t>Indie / Electrónica / Pop
/ Riot Grrrl / Rock</t>
  </si>
  <si>
    <t>Feria de Hellín</t>
  </si>
  <si>
    <t>administracion@berrintxe.es</t>
  </si>
  <si>
    <t>Hellín - Albacete</t>
  </si>
  <si>
    <t>Castilla La Mancha</t>
  </si>
  <si>
    <t>Berrintxe S.L</t>
  </si>
  <si>
    <t>Evento para todos los públicos y edades.</t>
  </si>
  <si>
    <t>Todos</t>
  </si>
  <si>
    <t>25-09-2021
-
02-10-2021</t>
  </si>
  <si>
    <t>Feria de Ibi</t>
  </si>
  <si>
    <t>manuguerrerock@gmail.com</t>
  </si>
  <si>
    <t>Ibi - Alicante</t>
  </si>
  <si>
    <t>3.500</t>
  </si>
  <si>
    <t>Feslloch</t>
  </si>
  <si>
    <t>atencio@feslloch.com                          gira@fev.org (Voro Golfe - La Gira D'Escola Valenciana)</t>
  </si>
  <si>
    <t>964-339001 (Ayuntamiento)</t>
  </si>
  <si>
    <t>https://feslloch.com/</t>
  </si>
  <si>
    <t>Benlloch - Castellón</t>
  </si>
  <si>
    <t>Ayuntamiento de Benlloch, La Gira D'Escola Valenciana y Associació Cultural Pitxurrull (Organizadores)</t>
  </si>
  <si>
    <t>Festival que responde a una serie de factores que, juntos, significan no sólo la supervivencia del proyecto, sino el éxito del mismo. No aspira a convertirse en un festival multitudinario pero muy pocos festivales valencianos cuentan con más de una década de resistencia en su historial.</t>
  </si>
  <si>
    <t>09-07-2020
-
11-07-2020</t>
  </si>
  <si>
    <t>Fesporrat</t>
  </si>
  <si>
    <t>info@suportproduccions.com</t>
  </si>
  <si>
    <t>960-095222               665-067010</t>
  </si>
  <si>
    <t>https://fesporrat.com/</t>
  </si>
  <si>
    <t>Altea - Alicante</t>
  </si>
  <si>
    <t>Organiza: Ayuntamiento de Altea y Suport Producciones</t>
  </si>
  <si>
    <t>Festival de música alternativa a Altea.</t>
  </si>
  <si>
    <t>Alternativa / Indie</t>
  </si>
  <si>
    <t>Festa Cidade Europea Do Viño</t>
  </si>
  <si>
    <t>albarinhofest@gmail.com</t>
  </si>
  <si>
    <t xml:space="preserve">Concello: 986-520902 986-520943                   986-520951 </t>
  </si>
  <si>
    <t>https://es-es.facebook.com/festacidadeeuropeadovinho/</t>
  </si>
  <si>
    <t>Cambados - Pontevedra</t>
  </si>
  <si>
    <t>Concello de Cambados (Promotor)</t>
  </si>
  <si>
    <t>Festival integrado en la celebración de la capitalidad vitivinícola europea del municipio. 14 horas de música</t>
  </si>
  <si>
    <t>Indie / Rock</t>
  </si>
  <si>
    <t>Festardor</t>
  </si>
  <si>
    <t>concertfestardor@gmail.com</t>
  </si>
  <si>
    <t>http://festivalfestardor.com/</t>
  </si>
  <si>
    <t>Bétera</t>
  </si>
  <si>
    <t>Polígono Horta Vella 6</t>
  </si>
  <si>
    <t>Live Nation Barcelona (Promotor)</t>
  </si>
  <si>
    <t>El Festardor se consolida como un festival imprescindible en las agendas de los amantes del punk y el rock nacional.</t>
  </si>
  <si>
    <t>Rock nacional / Alternativo  Punk</t>
  </si>
  <si>
    <t>08-10-2020
-
11-10-2020</t>
  </si>
  <si>
    <t>Festimad</t>
  </si>
  <si>
    <t>julio@festimad.es
julio@creaccion.org</t>
  </si>
  <si>
    <t>676-483295</t>
  </si>
  <si>
    <t>www.festimad.es</t>
  </si>
  <si>
    <t>CreAcción Asociación Cultural. Julio Muñóz</t>
  </si>
  <si>
    <t>Festival cultural de música alternativa que se celebra normalmente el último fin de semana de Mayo. Es unos de los festivales más veteranos de España.</t>
  </si>
  <si>
    <t>Indie / Rock / Pop / Música Electrónica</t>
  </si>
  <si>
    <t>24-04-2020
-
09-05-2020</t>
  </si>
  <si>
    <t>Festisurf Costa brava</t>
  </si>
  <si>
    <t>http://www.festisurfcostabrava.com/es/</t>
  </si>
  <si>
    <t>Costa Brava- Barcelaba</t>
  </si>
  <si>
    <t>PLATJA D'ARO</t>
  </si>
  <si>
    <t>Organiza: Arocinema</t>
  </si>
  <si>
    <t>Difruta de las bandas nacionales y internacionales, mercado de ropa y del mundon del surf, comida y cerveza. Baila y salta en primera fila, o si lo prefieres túmbate en la arena y disfruta de las reverberadas y las clásicas melodías a la luz de la luna</t>
  </si>
  <si>
    <t>19-09-2020</t>
  </si>
  <si>
    <t>Festival de Autor 58'</t>
  </si>
  <si>
    <t>info@alacargapro.com</t>
  </si>
  <si>
    <t>www.alacargapro.com</t>
  </si>
  <si>
    <t>Baños de sierra Alhamilla - Pechina- Almería</t>
  </si>
  <si>
    <t>Alacarga Producciones</t>
  </si>
  <si>
    <t>Festival de música de autor en Sierra Alhamilla (Almería) que se realiza cada 2 años en un enclave único que cuenta con un manantial de agua termal a 58 grados.</t>
  </si>
  <si>
    <t>Música de Autor</t>
  </si>
  <si>
    <t>200</t>
  </si>
  <si>
    <t>Festival de Jerez</t>
  </si>
  <si>
    <t>956-149685</t>
  </si>
  <si>
    <t>www.festivaldejerez.es/</t>
  </si>
  <si>
    <t>Jerez de la Frontera</t>
  </si>
  <si>
    <t>Teatro Villamarta</t>
  </si>
  <si>
    <t>Uno de los festivales de baile
flamenco y danza española más
importantes del mundo</t>
  </si>
  <si>
    <t>21-02-2020
-
13-03-2020</t>
  </si>
  <si>
    <t>Festival de la Primavera de Granada</t>
  </si>
  <si>
    <t>info@produccionestoro.com</t>
  </si>
  <si>
    <t>958-515139 (Hermanos Toro)</t>
  </si>
  <si>
    <t>https://elrescatemusical.com/festival-primavera-granada-2018/</t>
  </si>
  <si>
    <t>Granada Arena</t>
  </si>
  <si>
    <t>Organiza:                                            Granada Arena                                   Neptuno Show                                      Grupo Hermanos Toro</t>
  </si>
  <si>
    <t>El Festival de la Primavera quiere aposentarse en la ciudad como una apuesta de ocio para el sector más joven que reclama tener un recinto acomodado donde poder celebrar este encuentro anual tan esperado.</t>
  </si>
  <si>
    <t>Festival de la Primavera de Tomares</t>
  </si>
  <si>
    <t>info@spyromusic.com primaveratomaresfest@spyro.com</t>
  </si>
  <si>
    <t>690-953912 (Spyro Music)</t>
  </si>
  <si>
    <t>https://www.facebook.com/Festival-Primavera-Tomares-187251885197041/?fref=mentions</t>
  </si>
  <si>
    <t>Tomares - Sevilla</t>
  </si>
  <si>
    <t>Jardines del Conde de Tomares - Sevilla</t>
  </si>
  <si>
    <t>Organizan: ID ARTE Producciones, Spyro Music y el Ayuntamiento de Tomares</t>
  </si>
  <si>
    <t>Un maravilloso recinto con arbolado y césped en pleno centro neurálgico de Tomares y en el que se contará con 13 horas de música en directo, gastronomía y buen rollazo.</t>
  </si>
  <si>
    <t>Festival de Les Arts</t>
  </si>
  <si>
    <t>info@festivaldelesarts.com / t.abril@themusicrepublic.es</t>
  </si>
  <si>
    <t>http://www.festivaldelesarts.com/</t>
  </si>
  <si>
    <t>The Music Republic</t>
  </si>
  <si>
    <t>El Festival de les Arts nace de la conexión entre la música y otras disciplinas artísticas como el diseño, la ilustración o la gastronomía. Un festival con alma, que busca apoyar a la ciudad de Valencia impulsando sus espacios y a sus artistas.</t>
  </si>
  <si>
    <t>Indie / Pop / Rock / Inde Pop / Indie Rock</t>
  </si>
  <si>
    <t>04-06-2021
-
05-06-2021</t>
  </si>
  <si>
    <t>Festival de Los Sentidos</t>
  </si>
  <si>
    <t>circa@circaweb.es                                            festivaldelossentidos@gmail.com</t>
  </si>
  <si>
    <t>967-441403 (Ayuntamiento)</t>
  </si>
  <si>
    <t>http://www.festivalsentidos.com/</t>
  </si>
  <si>
    <t>La Roda - Albacete</t>
  </si>
  <si>
    <t>La Roda. Albacete</t>
  </si>
  <si>
    <t xml:space="preserve"> CIRCA</t>
  </si>
  <si>
    <t>Festival muy completo en el que se podrán degustar tapas, vinos de la zona y escuchar a algunas de las mejores bandas españolas.</t>
  </si>
  <si>
    <t>Indie / Pop / Rock / Indie Pop / Indie Rock / Música Electrónica / DanceTchno / Flamenco</t>
  </si>
  <si>
    <t>13.000</t>
  </si>
  <si>
    <t>Festival de Música Diversa</t>
  </si>
  <si>
    <t>musicadiversasegovia@gmail.com// coordinacion@artilugio.es</t>
  </si>
  <si>
    <t>www.festivalmusicadiversa.com</t>
  </si>
  <si>
    <t>Segovia / Valladolid /Ávila</t>
  </si>
  <si>
    <t>Segovia</t>
  </si>
  <si>
    <t>Artilugio Producciones S.L</t>
  </si>
  <si>
    <t>Todo tipo de actuaciones, escenarios en emplazamientos históricos, horario diurno, todo tipo de públicos, ambiente inmejorable.</t>
  </si>
  <si>
    <t>Música diversa</t>
  </si>
  <si>
    <t>Festival de Música Independiente de Zaragoza (FIZ)</t>
  </si>
  <si>
    <t xml:space="preserve">
info@fizfestival.com</t>
  </si>
  <si>
    <t>Eventos MPH: 976-791906
Producciones Animadas: 93-3100062 Sold Out 91-4358478
Genco Music Company: 94-6682500, 93-2070053</t>
  </si>
  <si>
    <t>www.fizfestival.com/</t>
  </si>
  <si>
    <t>Zaragoza</t>
  </si>
  <si>
    <t>Aragón</t>
  </si>
  <si>
    <t xml:space="preserve"> Eventos MPH
Producciones Animadas                           Sold Out
</t>
  </si>
  <si>
    <t>Imprescindible acudir a este festival indoor, el último del verano o el primero de la temporada de otoño, en un recinto increíble en el que los asistentes disfrutan de una gran experiencia en el centro de una ciudad a las puertas de su fiesta mayor.</t>
  </si>
  <si>
    <t>Festival de Ortigueira</t>
  </si>
  <si>
    <t>info.festival@concellodeortigueira.com</t>
  </si>
  <si>
    <t>981-400000</t>
  </si>
  <si>
    <t>www.festivaldeortigueira.com/</t>
  </si>
  <si>
    <t>Ortigueira - A Coruña</t>
  </si>
  <si>
    <t>Organiza: Concello de Ortigueira</t>
  </si>
  <si>
    <t>Uno de los referentes mundiales del folk y cita ineludible del verano. Declarado fiesta de interés turístico internacional.</t>
  </si>
  <si>
    <t>Jazz / Folk</t>
  </si>
  <si>
    <t xml:space="preserve">14-07-2021
-
18-07-2021 </t>
  </si>
  <si>
    <t>70.000</t>
  </si>
  <si>
    <t>981-402536</t>
  </si>
  <si>
    <t>Festival de Pardiñas</t>
  </si>
  <si>
    <t>xermolos@xermolos.org</t>
  </si>
  <si>
    <t>982-372040</t>
  </si>
  <si>
    <t>www.xermolos.org</t>
  </si>
  <si>
    <t>Guitiriz-Lugo</t>
  </si>
  <si>
    <t>Autovía del Noroeste 537 - Guitiriz</t>
  </si>
  <si>
    <t>Asociación Cultural Xermolos (Promotor)</t>
  </si>
  <si>
    <t>Música en directo, concursos de dibujo, muestras de artesanía y de instrumentos tradicionales y hasta un certamen de cantos de taberna en Guitiriz.</t>
  </si>
  <si>
    <t>Música Gallega</t>
  </si>
  <si>
    <t>Por confirmar Agosto-2021</t>
  </si>
  <si>
    <t>40.0</t>
  </si>
  <si>
    <t>Festival de Segovia</t>
  </si>
  <si>
    <t>fundacion@fundacionjuandeborbon.org</t>
  </si>
  <si>
    <t>921-461400</t>
  </si>
  <si>
    <t>http://www.festivaldesegovia.org/</t>
  </si>
  <si>
    <t>Fundación Don Juan de Borbón (Promotor)</t>
  </si>
  <si>
    <t>Festival de música avalado por 38 años de existencia en los que los mejores intérpretes del panorama internacional dentro de la música soul, tango hasta el género clásico, han dejado su huella. El Festival de Segovia apuesta por la variedad, la fusión de géneros y el disfrute de la música al aire libre, en los rincones con más encanto e historia de Segovia, rincones elegidos a propósito por su acústica espectacular.</t>
  </si>
  <si>
    <t>17-09-2020
 - 
20-09-2020</t>
  </si>
  <si>
    <t>44.0</t>
  </si>
  <si>
    <t>Festival D'Estiu de Tarragona</t>
  </si>
  <si>
    <t>joan@theproject.es</t>
  </si>
  <si>
    <t>93-4817040</t>
  </si>
  <si>
    <t>www.theproject.es/</t>
  </si>
  <si>
    <t>Diferentes puntos de la ciudad, entre ellos: L'Auditori del Camp de Mart, Tarraco Arena Plaça y Teatre Tarragona</t>
  </si>
  <si>
    <t>The Project - Joan Roselló Rubio</t>
  </si>
  <si>
    <t>Festival con tal variedad de artistas consolidados y emergentes, con la intención de abarcar al mayor público posible</t>
  </si>
  <si>
    <t>17-11-2020</t>
  </si>
  <si>
    <t>Festival do Queixo Arzúa</t>
  </si>
  <si>
    <t>contratacion@artmusicagency.es// info@festadoqueixo.org</t>
  </si>
  <si>
    <t>981 500 000</t>
  </si>
  <si>
    <t>http://www.festadoqueixo.org/</t>
  </si>
  <si>
    <t>Arzúa - A Coruña</t>
  </si>
  <si>
    <t>Arzúa</t>
  </si>
  <si>
    <t xml:space="preserve">         Concello de Arzúa</t>
  </si>
  <si>
    <t>Festival con cuarenta años de historia (desde 1976) siendo una de las citas más importantes, tanto gastronómicas como musicales.
Actúa artistas ya consolidados, organizan teatros, concursos de tapas y pinchos y variadas actividadades para niños.</t>
  </si>
  <si>
    <t>Electro-Rock / Pop-Rock / Fusión / Funk /  Mestizaje / Hip-Hop</t>
  </si>
  <si>
    <t>28-02-2020
 - 
01-03-2020</t>
  </si>
  <si>
    <t>45.0</t>
  </si>
  <si>
    <t>Festival Internacional de Benicassim (FIB)</t>
  </si>
  <si>
    <t>info@fiberfib.com / t.abril@themusicrepublic.es</t>
  </si>
  <si>
    <t>www.fiberfib.com</t>
  </si>
  <si>
    <t>Benicassim</t>
  </si>
  <si>
    <t>Benicassim. Castellón</t>
  </si>
  <si>
    <t>Es uno de los festivales internacionales más importantes y con más historia a sus espaldas.</t>
  </si>
  <si>
    <t>Festival internacional de Dixieland</t>
  </si>
  <si>
    <t>ajuntament@tarragona.cat 
tcultura@tarragona.cat   dit@tarragona.cat</t>
  </si>
  <si>
    <t>977-296100</t>
  </si>
  <si>
    <t>www.tarrragona.cat</t>
  </si>
  <si>
    <t>Diferentes puntos de la ciudad</t>
  </si>
  <si>
    <t>Actuaciones de las bandas del jazz
más tradicional por diferentes puntos
de la ciudad (teatros, bares, calles ...). Este año es un vigésimo aniversario.</t>
  </si>
  <si>
    <t>16-05-2021
-
23-05-2021</t>
  </si>
  <si>
    <t>Festival Internacional de las Culturas Pirineos Sur</t>
  </si>
  <si>
    <t>info@pirineos-sur.es</t>
  </si>
  <si>
    <t>www.pirineos-sur.es</t>
  </si>
  <si>
    <t>Sllent de Gállego- Lanuza</t>
  </si>
  <si>
    <t>Diputación de Huesca</t>
  </si>
  <si>
    <t>Reggae / Jazz / Blues / Soul / Funk / Hip-Hop / Rap / Folk / Reggeaton / Trap / Latino / Música de Raíz</t>
  </si>
  <si>
    <t>10-07-2020
-
26-07-2020</t>
  </si>
  <si>
    <t>Festival Internacional de Música de Cadaqués</t>
  </si>
  <si>
    <t>comunicacio@festivalcadaques.com</t>
  </si>
  <si>
    <t>www.festivalcadaques.cat</t>
  </si>
  <si>
    <t>Cadaqués</t>
  </si>
  <si>
    <t>R.G.B. Músic, S.L</t>
  </si>
  <si>
    <t>Pop / Indie Pop / Jazz / Blues / Soul / Clasica / Funk / R&amp;B / Folk</t>
  </si>
  <si>
    <t>31-07-2021
 - 
08-08-2021</t>
  </si>
  <si>
    <t>48.0</t>
  </si>
  <si>
    <t>Festival Internacional de Música de Cambrils</t>
  </si>
  <si>
    <t>consultas@concerstudio.com / ester@concertstudio.com</t>
  </si>
  <si>
    <t>www.festivalcambrils.com</t>
  </si>
  <si>
    <t>Cambrils. Tarragona</t>
  </si>
  <si>
    <t>Concert Studio</t>
  </si>
  <si>
    <t>El festival internacional de música de Cambrils, con más de 40 años de historia, se ha convertido ya en un referente del panorama musical del sur de Tarragona. El espacio emblemático del Parc del Pinaret acoge cada año artistas de primera línea.</t>
  </si>
  <si>
    <t>05-09-2021
-
09-09-2021</t>
  </si>
  <si>
    <t>20.500</t>
  </si>
  <si>
    <t>Festival Internacional de Música de Canarias (FIMC)</t>
  </si>
  <si>
    <t xml:space="preserve">info.festival@canariasculturaenred.com </t>
  </si>
  <si>
    <t>922-531835 (Tenerife) 928-247442/43 (Las Palmas)</t>
  </si>
  <si>
    <t>http://www.gobiernodecanarias.org/cultura/34festivaldecanarias/index.html</t>
  </si>
  <si>
    <t>Fuerteventura, Gran Canaria y Tenerife</t>
  </si>
  <si>
    <t>Dirección General de Promoción Cultural Gobierno de Canarias (Promotor)</t>
  </si>
  <si>
    <t>El Festival de Música de Canarias se ha posicionado como un referente internacional en el mundo de los festivales de música clásica, tanto por su elevada calidad artística, como por la peculiar característica de ser el primer evento que inaugura la actividad musical en Europa.</t>
  </si>
  <si>
    <t>Indie / Reggae /Música Electrónica / Rock / World Music</t>
  </si>
  <si>
    <t>Enero-2020
-
 Febrero-2020</t>
  </si>
  <si>
    <t>37.800</t>
  </si>
  <si>
    <t>922-242419 (Tenerife)       928-277690 (Las Palmas)</t>
  </si>
  <si>
    <t>36.0</t>
  </si>
  <si>
    <t>Festival Rock'n Blues</t>
  </si>
  <si>
    <t>639-207337</t>
  </si>
  <si>
    <t>http://www.rocknblues.es/</t>
  </si>
  <si>
    <t>Don Benito - Badajoz</t>
  </si>
  <si>
    <t>Plaza de Toros, Calle Leonardo Da Vinci, 06400 Don Benito, Badajoz</t>
  </si>
  <si>
    <t>Promotor: Ayuntamiento de Badajoz</t>
  </si>
  <si>
    <t>Rock´n Blues es un Festival musical con solera donde actúan artistas con gran proyección a nivel nacional e internacional dentro de estos estilos.</t>
  </si>
  <si>
    <t>12-06-2020
 - 
13-06-2020</t>
  </si>
  <si>
    <t>Festival'era</t>
  </si>
  <si>
    <t>booking@festivalera.com
sponsorship@festivalera.com
javier@festivalera.com</t>
  </si>
  <si>
    <t>www.festivalera.com/home-es</t>
  </si>
  <si>
    <t>Llagostera - Girona</t>
  </si>
  <si>
    <t>La Masia Can Gascons</t>
  </si>
  <si>
    <t>Booking: Marc Vila
Patrocinador: Cristian Cuesta
Producción: Javier Vilarrubias</t>
  </si>
  <si>
    <t>Festival pequeño que huye de las masas y que pretende impulsar tanto a las banda consolidadas como emergentes. Se celebra en un entorno rural.</t>
  </si>
  <si>
    <t>Pop / Música Electrónica</t>
  </si>
  <si>
    <t>Fiesta de Drag Queen</t>
  </si>
  <si>
    <t>Organización del Carnaval de Vinarós (Promotor)</t>
  </si>
  <si>
    <t>Drag</t>
  </si>
  <si>
    <t xml:space="preserve">Fiv de Vilalba </t>
  </si>
  <si>
    <t>fiv@fivdevilalba.com // contratacion@artmusicagency.es</t>
  </si>
  <si>
    <t>981-500278</t>
  </si>
  <si>
    <t>http://fivdevilalba.com/</t>
  </si>
  <si>
    <t>Vilalba - Lugo</t>
  </si>
  <si>
    <t>Vilalba.Lugo</t>
  </si>
  <si>
    <t>Concello de Vilalba</t>
  </si>
  <si>
    <t>Por la calidad artística, por el servicio a nuestra comunidad de asistentes y además, por la gastronomía gallega ya que el recinto se encuentra en pleno centro de la villa.</t>
  </si>
  <si>
    <t>Indie Rock / Inde Pop</t>
  </si>
  <si>
    <t>Fivo Festival Internacional de Videoclips de Oviedo</t>
  </si>
  <si>
    <t>fivo.oviedo@gmail.com / davidcuerdo@gmail.com</t>
  </si>
  <si>
    <t>http://www.oviedo.es/</t>
  </si>
  <si>
    <t>Oviedo</t>
  </si>
  <si>
    <t>Fundación Municipal De Cultura De Oviedo</t>
  </si>
  <si>
    <t xml:space="preserve">Festival de videoclips a concurso y conciertos en la ciudad de Oviedo.
</t>
  </si>
  <si>
    <t>Flamenco 340</t>
  </si>
  <si>
    <t>info@farashaproducciones.net / marisa@farashaproducciones.net</t>
  </si>
  <si>
    <t>858-125106 620-225059</t>
  </si>
  <si>
    <t>http://flamenco340.es/</t>
  </si>
  <si>
    <t>Rodalquilar - Almería</t>
  </si>
  <si>
    <t>Rodalquilar. Almería</t>
  </si>
  <si>
    <t>Un festival único donde el flamenco contemporáneo es el eje principal, una muestra de la vanguardia desarrollada en este arte, con exposiciones, conferencias, cine y actuaciones musicales, todo ello en un entorno paradisiaco como es el Parque Natural del Cabo de Gata en Almería.</t>
  </si>
  <si>
    <t>Flamenco / Música Urbanas</t>
  </si>
  <si>
    <t>10-09-2021
-
11-09-2021</t>
  </si>
  <si>
    <t>Flamenco On Fire</t>
  </si>
  <si>
    <t>info@flamentoonfire.org</t>
  </si>
  <si>
    <t xml:space="preserve">948-066066.
Director de Programación Cultural: Ignacio Aranaz </t>
  </si>
  <si>
    <t>www.flamencoonfire.org/</t>
  </si>
  <si>
    <t>Pamplona - Navarra</t>
  </si>
  <si>
    <t>Se celebrará en el auditorio principal de Baluarte, en la Sala Zentral y el Hotel Tres Reyes de Pamplona.</t>
  </si>
  <si>
    <t>Fundación Flamenco On Fire</t>
  </si>
  <si>
    <t>Quinta edición de este festival, que traslada el estilo flamenco al norte español</t>
  </si>
  <si>
    <t>26-08-2020
-
30-08-2020</t>
  </si>
  <si>
    <t>55.176</t>
  </si>
  <si>
    <t>Fogo Rock</t>
  </si>
  <si>
    <t>ayllonrock2019@gmail.com</t>
  </si>
  <si>
    <t>www.fogorock.es</t>
  </si>
  <si>
    <t>Ayllón, Segovia</t>
  </si>
  <si>
    <t>Ayllón. Segovia</t>
  </si>
  <si>
    <t>AC Fogo Rock</t>
  </si>
  <si>
    <t>El festi es una fiesta en la que se unen mas de 50 asociaciones de distintos pueblos de Segovia, Soria, Burgos… y entre todos se enciende la llama de Fogo Rock entorno a grandes grupos con el objetivo de dar visibilidad al mundo rural y hacer ver todo lo bueno que tiene, dando especial importancia a la gastronomía.</t>
  </si>
  <si>
    <t>Folk Plasencia Festival</t>
  </si>
  <si>
    <t>oficina.cultura@aytoplasencia.es sonimar@sonimar.com</t>
  </si>
  <si>
    <t>927-412766 (Concejalía de las Artes)                        927-530573 (Sonimar)</t>
  </si>
  <si>
    <t>http://www.festivalfolkplasencia.com/</t>
  </si>
  <si>
    <t>Plasencia - Cáceres</t>
  </si>
  <si>
    <t>Promotor: Ayuntamiento Plasencia Organizador: Sonimar</t>
  </si>
  <si>
    <t>Folk / Jazz</t>
  </si>
  <si>
    <t>Folkarria Eco Festi-Bal</t>
  </si>
  <si>
    <t>info@folkarria.es                  artistas@folkarria.es</t>
  </si>
  <si>
    <t>630-654315 (Miguel Ángel)                     667-569139 (Juanra)</t>
  </si>
  <si>
    <t>www.folkarria.es</t>
  </si>
  <si>
    <t>Valdemorillo</t>
  </si>
  <si>
    <t>Promotor:Folkarria Eco Festi-Bal</t>
  </si>
  <si>
    <t>Pretende recuperar y difundir tanto las danzas tradicionales como la música folk europea, haciendo de ellas un instrumento para la integración de diferentes culturas, combinándolas con acciones de sensibilización ecológica y consumo responsable, además de una serie de actividades participativas para adultos y niños.</t>
  </si>
  <si>
    <t>Folk Europeo</t>
  </si>
  <si>
    <t>30-04-2020
 - 
03-05-2020</t>
  </si>
  <si>
    <t>Folkquivir Sevilla</t>
  </si>
  <si>
    <t>francis@musicaesamor.com</t>
  </si>
  <si>
    <t>954-421996 630-027939</t>
  </si>
  <si>
    <t>https://www.juntadeandalucia.es/cultura/agendaandaluciatucultura/evento/folkquivir-primer-ciclo-de-musica-folk-en-sevilla</t>
  </si>
  <si>
    <t>Francis Cuberos - Música es Amor</t>
  </si>
  <si>
    <t>Primer ciclo de música folk en Sevilla</t>
  </si>
  <si>
    <t>Folk</t>
  </si>
  <si>
    <t>28-02-2020
-
09-03-2020</t>
  </si>
  <si>
    <t>Formentera Jazz Festival</t>
  </si>
  <si>
    <t>formenterajazzfestival@gmail.com</t>
  </si>
  <si>
    <t>http://www.formenterajazzfestival.com/</t>
  </si>
  <si>
    <t>Formentera-Ibiza</t>
  </si>
  <si>
    <t>San Francisco Xavier. Islas Baleares</t>
  </si>
  <si>
    <t>Royal Sonora</t>
  </si>
  <si>
    <t>Para escuchar apuestas de jazz fusión para todos los públicos y DJ's que cierran a altas horas de la madrugada, en un espacio sin igual, como lo es la isla mas pequeña de Baleares.</t>
  </si>
  <si>
    <t>22-08-2020
-
23-08-2020</t>
  </si>
  <si>
    <t>Formigues Festival</t>
  </si>
  <si>
    <t>formiguesfestival@gmail.com</t>
  </si>
  <si>
    <t>www.formiguesfestival.com</t>
  </si>
  <si>
    <t>Benicàssim</t>
  </si>
  <si>
    <t>Bemicassim. Castellón</t>
  </si>
  <si>
    <t xml:space="preserve">Asociación Formigues De Benicássim </t>
  </si>
  <si>
    <t>Porque es el único festival familiar donde los padres se lo pasan bien.</t>
  </si>
  <si>
    <t>Rock / Indie Rock / Pop / Indie Pop / Electrónica / Dance</t>
  </si>
  <si>
    <t>Fra Alaquas</t>
  </si>
  <si>
    <t>fra@alaquas.org</t>
  </si>
  <si>
    <t>96-1502343 (Ayuntamiento)</t>
  </si>
  <si>
    <t>http://www.festifra.net/</t>
  </si>
  <si>
    <t xml:space="preserve">Alaquas </t>
  </si>
  <si>
    <t>Av. Blasco Ibáñez 57</t>
  </si>
  <si>
    <t>Ayuntamiento de Alaquas</t>
  </si>
  <si>
    <t>Actualmente uno de los más prestigiosos festivales de música alternativa . Entrada gratuíta para toda la Comunidad Valenciana. Punto de referencia de todos los amantes de la música no comercial.</t>
  </si>
  <si>
    <t>Fuengirola Pop</t>
  </si>
  <si>
    <t>info.fpw@gmail.com</t>
  </si>
  <si>
    <t>www.fuengirolapop.com/</t>
  </si>
  <si>
    <t>Fuengirola - Málaga</t>
  </si>
  <si>
    <t>C/ Lamo de Espinosa, 4</t>
  </si>
  <si>
    <t>Especializado en promover la música y la cultura pop, en el que participan grupos de calidad españoles e internacionales</t>
  </si>
  <si>
    <t>Pop / Rock/ Soul</t>
  </si>
  <si>
    <t>02-10-2020
-
03-10-2020</t>
  </si>
  <si>
    <t>Fuerteventura en música (FEM)</t>
  </si>
  <si>
    <t>contacto@festivalfem.com festivalfem@gmail.com</t>
  </si>
  <si>
    <t>928-862300 (Cabildo) 928-861904 (Ayto de la Oliva)</t>
  </si>
  <si>
    <t>http://www.festivalfem.com/</t>
  </si>
  <si>
    <t>La Oliva - Fuerteventura</t>
  </si>
  <si>
    <t>Playa de la Concha - El Cotillo (La Oliva)</t>
  </si>
  <si>
    <t>Promotor: Cabildo de Fuerteventura, Gobierno de Canarias y Ayuntamiento de la Oliva</t>
  </si>
  <si>
    <t>Es un festival cuya programación musical apuesta por estilos como fusión, mestizaje reggae, rock, folk, electrónica… Una variedad de estilos que dan un amplio color musical al FEM. La nómina de artistas que ha desfilado por su escenario le sitúa entre los mejores del país.</t>
  </si>
  <si>
    <t>Fusión / Mestizaje / Reggae / Rock / Folk</t>
  </si>
  <si>
    <t>Fusión X Camarón</t>
  </si>
  <si>
    <t>info@fusionxcamaron.com // produccion@edificarte</t>
  </si>
  <si>
    <t>www.fusionxcamaron.com</t>
  </si>
  <si>
    <t>Cádiz</t>
  </si>
  <si>
    <t>San Fernando. Cádiz</t>
  </si>
  <si>
    <t>EDIFICARTE EVENTOS</t>
  </si>
  <si>
    <t>Tendrá lugar el jueves 5 de diciembre en San Fernando, Cádiz, contará con Raimundo Amador y Kiko Veneno entre otros, máximos exponentes en la actualidad de esa fusión del flamenco con otros géneros y disciplinas.</t>
  </si>
  <si>
    <t>Flamenco Fusión</t>
  </si>
  <si>
    <t>Fuzzville</t>
  </si>
  <si>
    <t>hola@produccionesbaltimore.es</t>
  </si>
  <si>
    <t>933-208163</t>
  </si>
  <si>
    <t>http://fuzzville.es/</t>
  </si>
  <si>
    <t>Alfaz del Pi. Alicante</t>
  </si>
  <si>
    <t>Produciones Baltimore</t>
  </si>
  <si>
    <t>La fiesta definitiva del punk-rock, el garage y los sellos underground nacionales e internacionales, son días de música y puro sonido que de nuevo, reúnen en un único recinto con espacio al aire libre y bajo techo todo lo que cualquier amante de los sonidos salvajes desea</t>
  </si>
  <si>
    <t>Rock / Punk / Garage</t>
  </si>
  <si>
    <t>Galerna Bike Rock Fest</t>
  </si>
  <si>
    <t>hola@moverground.com</t>
  </si>
  <si>
    <t>www.galernabikerockfest.com</t>
  </si>
  <si>
    <t>Cabezón de la Sal</t>
  </si>
  <si>
    <t>Cabezón de la Sal. Cantabria</t>
  </si>
  <si>
    <t>HDC Montañes</t>
  </si>
  <si>
    <t>Tal y como su nombre indica, Galerna Bike Rock Fest es un evento que gira en torno a las motos y la música. Experiencia de convivencia entre moteros, moteras y mucho rock &amp; roll.</t>
  </si>
  <si>
    <t>Galia Metal Fest</t>
  </si>
  <si>
    <t>info@galiametalfest.com // produccion@galiametalfest.com</t>
  </si>
  <si>
    <t>www.galiametalfest.com</t>
  </si>
  <si>
    <t>Pozal de Gallinas. Valladolid</t>
  </si>
  <si>
    <t>Kivents</t>
  </si>
  <si>
    <t>Un festival de Heavy Metal hecho por y para los fans del Heavy Metal.</t>
  </si>
  <si>
    <t>30-04-2021
-
01-05-2021</t>
  </si>
  <si>
    <t>Garage Sound Festival</t>
  </si>
  <si>
    <t>info@garagesoundfest.com // rober@garagesoundfest.com</t>
  </si>
  <si>
    <t>http://www.garagesoundfest.com/</t>
  </si>
  <si>
    <t>Rivas Vaciamadrid</t>
  </si>
  <si>
    <t xml:space="preserve">Garage Sound Festival </t>
  </si>
  <si>
    <t>Es es un evento en donde conviven el motor y el Rock. No solo se puede disfrutar de la actuación de grandes artistas, también se puede deleitar con motos custom, coches únicos o camiones americanos.</t>
  </si>
  <si>
    <t>Gasteiz Calling</t>
  </si>
  <si>
    <t>info@gasteizcalling.com</t>
  </si>
  <si>
    <t>945-234960</t>
  </si>
  <si>
    <t>http://gasteizcalling.com/</t>
  </si>
  <si>
    <t>Vitoria Gasteiz - Álava</t>
  </si>
  <si>
    <t>Vitoria - Gasteiz. Araba</t>
  </si>
  <si>
    <t>Entzun Ekoizpenak SL</t>
  </si>
  <si>
    <t>Es el mejor festival de este géenro en toda la península ibérica.</t>
  </si>
  <si>
    <t xml:space="preserve">Hardcore / Punk                   </t>
  </si>
  <si>
    <t>Mayo del 2021</t>
  </si>
  <si>
    <t>Gazpatxo Rock</t>
  </si>
  <si>
    <t>gazpatxorock@hotmail.com</t>
  </si>
  <si>
    <t>https://www.gazpatxorock.com/</t>
  </si>
  <si>
    <t>Ayora</t>
  </si>
  <si>
    <t>Calle Somadilla</t>
  </si>
  <si>
    <t xml:space="preserve"> La cita con el mejor rock</t>
  </si>
  <si>
    <t>Punk / Rock</t>
  </si>
  <si>
    <t>Febrero del 2021</t>
  </si>
  <si>
    <t>Gegant Festival</t>
  </si>
  <si>
    <t>646-947643</t>
  </si>
  <si>
    <t>https://es-es.facebook.com/gegantondara/</t>
  </si>
  <si>
    <t>Ondara</t>
  </si>
  <si>
    <t>Parc de Segaria. Partida Vinyals s/n</t>
  </si>
  <si>
    <t>Ayuntamiento de Ondara (Organizador)</t>
  </si>
  <si>
    <t>El festival diurno de música que se celebra en plena naturaleza, a las faldas de la montaña de Segària.</t>
  </si>
  <si>
    <t>01-07-2021
-
03-07-2021</t>
  </si>
  <si>
    <t>Getmad! (Anteriormente Getmad Festival)</t>
  </si>
  <si>
    <t>info@getmadfestival.es</t>
  </si>
  <si>
    <t>http://getmadfestival.es/</t>
  </si>
  <si>
    <t>Producciones Baltimore</t>
  </si>
  <si>
    <t>Perfecto para todas aquellas personas que quieran canalizar sus inquietudes vinculadas a la música underground y el arte con carácter urbano, DIY y alternativo.</t>
  </si>
  <si>
    <t>Garage / Rock / Punk / Metal / Hard Rock / Psicodelia</t>
  </si>
  <si>
    <t>Getxo Blues Festival</t>
  </si>
  <si>
    <t>kulturetexea@getxo.eus</t>
  </si>
  <si>
    <t>www.getxo.eus/es/getxo.blues</t>
  </si>
  <si>
    <t>Getxo - Vizcaya</t>
  </si>
  <si>
    <t>Getxo Sound Fest</t>
  </si>
  <si>
    <t>info@getxosoundfest.com</t>
  </si>
  <si>
    <t>94-4914080</t>
  </si>
  <si>
    <t>www.getxosoundfest.com</t>
  </si>
  <si>
    <t>Getxo. Bizcaia</t>
  </si>
  <si>
    <t>Stereosonik</t>
  </si>
  <si>
    <t>Festival en el que se da la visibilidad a los grupos de origen del municipio o que tienen entre sus miembros vecinos del municipio. Es un festival urbano con aforo muy limitado en el que poder disfrutar de la mejor música a poca distancia.</t>
  </si>
  <si>
    <t>Rock / Indie Rock / Pop / Indie Pop</t>
  </si>
  <si>
    <t>94-4319284</t>
  </si>
  <si>
    <t>Gigante Festival</t>
  </si>
  <si>
    <t>info@festivalgigante.com</t>
  </si>
  <si>
    <t>949-208710 Producciones Malvhadas</t>
  </si>
  <si>
    <t>http://www.festivalgigante.com/</t>
  </si>
  <si>
    <t>Alcalá de Henares</t>
  </si>
  <si>
    <t xml:space="preserve">  Sideral Music (Promotor)</t>
  </si>
  <si>
    <t>Evento que se celebra en Gualajara y que contará con las actuaciones de alguno de los mejores grupos de la actualidad. Cuenta con zona de acampada y espacio infantil para los más pequeños.</t>
  </si>
  <si>
    <t xml:space="preserve">Indie Rock / Rock / Pop / Indie Pop </t>
  </si>
  <si>
    <t>26-08-2021
-
28-08-2021</t>
  </si>
  <si>
    <t>Gijón Live</t>
  </si>
  <si>
    <t>prensa@gijonlife.com</t>
  </si>
  <si>
    <t>www.gijonlife.com</t>
  </si>
  <si>
    <t>Pretende albergar espectáculos para todos los gustos, complementando así la oferta musical veraniega de la ciudad de Gijón.</t>
  </si>
  <si>
    <t>01-07-2021
-
31-07-2021</t>
  </si>
  <si>
    <t>Gijón Motoweekend</t>
  </si>
  <si>
    <t>info@gijonmotoweekend.com</t>
  </si>
  <si>
    <t>617-899305</t>
  </si>
  <si>
    <t>http://www.gijonmotoweekend.com/</t>
  </si>
  <si>
    <t>Recinto Ferial Luis Adaro</t>
  </si>
  <si>
    <t>Alberto Hernandez</t>
  </si>
  <si>
    <t>Es un festival dedicado al mundo de la moto, el racing y los modelos custom que cuenta también con espacio para la música. El evento contará con un escenario exterior para los conciertos de Rock&amp;Roll con zonas de ocio y gastronomía</t>
  </si>
  <si>
    <t>Gijón Sound (Antes Gijón Sound Festival)</t>
  </si>
  <si>
    <t xml:space="preserve">info@gijonsoundfestival.com
 </t>
  </si>
  <si>
    <t>984-395141 (Mestizo)</t>
  </si>
  <si>
    <t>https://gijonsoundfestival.com/</t>
  </si>
  <si>
    <t xml:space="preserve">Organizador: Mestizo Producciones </t>
  </si>
  <si>
    <t>No somos un festival al uso, sino un formato diferente donde la música suena en cada rincón de la ciudad, en la que además se podrá disfrutar de actividades culturales alternativas como proyecciones de cine, funciones teatrales y timbas de poesía.</t>
  </si>
  <si>
    <t>Pop / Rock / Indie Rock / Metal / Pop / Inde Pop / Música Electrónica / Dance Jazz / Soul / Clásica / Funk / R&amp;B / Hip-Hop / Rap / Punk / Ska / Folk / Country</t>
  </si>
  <si>
    <t>Gineta Rock Festival</t>
  </si>
  <si>
    <t>ginetarock@gmail.com                              corazonmetal@gmail.com</t>
  </si>
  <si>
    <t>http://ginetarockfest.es/</t>
  </si>
  <si>
    <t>La Gineta - Albacete</t>
  </si>
  <si>
    <t>Asociación Corazón de Metal (Promotor)</t>
  </si>
  <si>
    <t>Festival de Rock y Metal.</t>
  </si>
  <si>
    <t>12-07-2021</t>
  </si>
  <si>
    <t>Gradual Festival</t>
  </si>
  <si>
    <t xml:space="preserve">info@festivalgradual.com
</t>
  </si>
  <si>
    <t>Ayuntamiento: 948-838084
Casa de Cultura: 948-838647</t>
  </si>
  <si>
    <t>http://festivalgradual.com/</t>
  </si>
  <si>
    <t xml:space="preserve">Murchante </t>
  </si>
  <si>
    <t>Casa de Cultura</t>
  </si>
  <si>
    <t>Ayuntamiento de Murchante</t>
  </si>
  <si>
    <t>El festival del cine y la música, ya que combina conciertos de música indie con un concurso de cortos, a nivel nacional.</t>
  </si>
  <si>
    <t>Gran Canaria Sum Festival</t>
  </si>
  <si>
    <t>info@citygonow.com</t>
  </si>
  <si>
    <t>628-024628</t>
  </si>
  <si>
    <t>https://www.facebook.com/events/2064431100503526</t>
  </si>
  <si>
    <t>Infecar. Ferias y Eventos - Cabildo de Gran Canaria (Avda. de la Feria 1)</t>
  </si>
  <si>
    <t>Citygonow (Organizador)</t>
  </si>
  <si>
    <t>02-10-2021</t>
  </si>
  <si>
    <t>Granada Latina</t>
  </si>
  <si>
    <t>info@woomedia.es</t>
  </si>
  <si>
    <t>www.granadalatinafestival.es</t>
  </si>
  <si>
    <t>No sin música 2020 - AIE</t>
  </si>
  <si>
    <t>Granada Latina es la gran cita del reggaeton y los ritmos latinos con la que la ciudad nazarí celebra el inicio del verano. Se celebra en el conocido recinto musical del Cortijo del Conde, con Daddy Yankee y Karol G y más artistas por confirmar.</t>
  </si>
  <si>
    <t>Reggaeton / Trap / Hip Hop Latino / Pop Latino</t>
  </si>
  <si>
    <t>28-06-2021</t>
  </si>
  <si>
    <t>Granada Sound</t>
  </si>
  <si>
    <t>info@granadasound.com / t.abril@themusicrepublic.es</t>
  </si>
  <si>
    <t>www.granadasound.com/</t>
  </si>
  <si>
    <t>Paseo del Cortijo del Conde</t>
  </si>
  <si>
    <t>Festival muy popular que se celebra a 10 minutos andando del centro y que se ha amplido a dos días de duración, con un cartel más amplio y variado. Actuaciones de bandas principalmente españolas.</t>
  </si>
  <si>
    <t>Indie Rock / Rock / Inde Pop / Pop</t>
  </si>
  <si>
    <t>18-09-2020
-
19-09-2020</t>
  </si>
  <si>
    <t>50.000</t>
  </si>
  <si>
    <t>Grani Rock Festival</t>
  </si>
  <si>
    <t>info@biparock-producciones.com</t>
  </si>
  <si>
    <t>91-0145480                  649-112324 (Germán) 658-759814 (Isabel) 609-457414 (Daniel)</t>
  </si>
  <si>
    <t>www.granirock.es</t>
  </si>
  <si>
    <t>Quintana de la Serena - Badajoz</t>
  </si>
  <si>
    <t>Quitana de la Serena</t>
  </si>
  <si>
    <t>Promotor: Ayuntamiento de Quintana De La Serna</t>
  </si>
  <si>
    <t>En el festival GraniRock  bandas internacionales y nacionales desde las 8 de la tarde hasta las 6 de la madrugada.                   Pero en el festival no sólo encontraremos conciertos si no que el recinto del Festival se llenará de actividades y puestos de todo tipo.</t>
  </si>
  <si>
    <t>Punk / Rock Nacional</t>
  </si>
  <si>
    <t>Gravíssimo! Low Brass International Academy Festival</t>
  </si>
  <si>
    <t>prod@academiamalcobaca.com</t>
  </si>
  <si>
    <t>www.gravissimofestival.com</t>
  </si>
  <si>
    <t>Portugal</t>
  </si>
  <si>
    <t>Banda de Alcobaça / Academia de Música de Alcobaça</t>
  </si>
  <si>
    <t>Es una academia y un festival. Ofrece una oportunidad única de entrenamiento para estudiantes de bajo nivel y presenta un fuerte componente artístico, com lo que el público en general la posibilidad de ver las actuaciones de los artistas invitados.</t>
  </si>
  <si>
    <t>24-08-2020
-
28-08-2020</t>
  </si>
  <si>
    <t>Grec Festival</t>
  </si>
  <si>
    <t xml:space="preserve">93-3161000 </t>
  </si>
  <si>
    <t>http://grec.bcn.cat/</t>
  </si>
  <si>
    <t>Palau de la Virreina, Rambla, 99</t>
  </si>
  <si>
    <t>Ramón Simó</t>
  </si>
  <si>
    <t>Festival internacional de teatro, danza, música y circo. Principal atracción del verano barcelonés y un referente en el calendario europeo de las artes escenénicas.</t>
  </si>
  <si>
    <t>04-12-2020
-
10-01-2021</t>
  </si>
  <si>
    <t>Greenworld Festival (Antes solo Greenworld)</t>
  </si>
  <si>
    <t>info@greenworldfestival.eu // archip@greenworldfestival.eu</t>
  </si>
  <si>
    <t>http://www.greenworldfestival.eu/</t>
  </si>
  <si>
    <t>San Miguel de Abona - Santa Cruz de Tenerife</t>
  </si>
  <si>
    <t>San Miguel de Abona, Santa Cruz de Tenerife</t>
  </si>
  <si>
    <t>Just Music Events SL</t>
  </si>
  <si>
    <t>Se desarrolla en un campo de golf colindante al mar, una localizacion unica para el desarrollo del festival con horario de 15:00 a 00.00.</t>
  </si>
  <si>
    <t>Pop / Indie Electrónica</t>
  </si>
  <si>
    <t>Guacamayo Tropical</t>
  </si>
  <si>
    <t>guacamayo@tierradecandela.com
contacto@tierracandela.com</t>
  </si>
  <si>
    <t>639 124 663
676 619 997</t>
  </si>
  <si>
    <t>https://www.guacamayotropical.com/</t>
  </si>
  <si>
    <t>Andrés Ramírez</t>
  </si>
  <si>
    <t>Porque presentamos Latinoamérica alternativa en Madrid.</t>
  </si>
  <si>
    <t>04-12-2020</t>
  </si>
  <si>
    <t>Guijuelo Rock</t>
  </si>
  <si>
    <t>coordinacultura@guijjuelo.es</t>
  </si>
  <si>
    <t>923-580786</t>
  </si>
  <si>
    <t>https://es-es.facebook.com/guijuelorocks/</t>
  </si>
  <si>
    <t>Guijuelo - Salamanca</t>
  </si>
  <si>
    <t>Plaza Mayor de Guijuelo</t>
  </si>
  <si>
    <t>Ayto. de Guijuelo (Promotor)</t>
  </si>
  <si>
    <t>Un nuevo festival en la localidad salmantina, dentro de los actos festivos organizados por el Ayuntamiento, y que apuesta por las mejores bandas del panorama nacional. La entrada es gratuita. Blues, soul, funk y rock se unen en un espectáculo que gustará al público de todas las edades.</t>
  </si>
  <si>
    <t>Rock / Blues / Soul</t>
  </si>
  <si>
    <t>Guitar BCN</t>
  </si>
  <si>
    <t>www.guitarbcn.com</t>
  </si>
  <si>
    <t>Diferentes espacios de
Barcelona</t>
  </si>
  <si>
    <t>Año tras año, ha demostrado ser capaz de traernos los artistas con más renombre internacional y descubrir al público nuevos talentos emergentes que, como la historia del festival confirma, conquistarán el día de mañana.</t>
  </si>
  <si>
    <t xml:space="preserve">Rock / Inde Rock / Blues / Soul / Funk / Country                   </t>
  </si>
  <si>
    <t>Febrero - Julio 2021</t>
  </si>
  <si>
    <t>54.816</t>
  </si>
  <si>
    <t>Gure Bazterrak Fest</t>
  </si>
  <si>
    <t>info@gurebazterrak.com</t>
  </si>
  <si>
    <t>688-664625 (Gure Bazterrak)</t>
  </si>
  <si>
    <t>https://www.gurebazterrak.com/</t>
  </si>
  <si>
    <t>Promotor: Kutxa Kultur Enean y Gure Bazterrak</t>
  </si>
  <si>
    <t>Gure Bazterrak festibala empezó en Orio el año 2014 con la intención de ser una iniciativa que llevase a cada rincón de Euskal Herria lo más preciado del underground y lo ya reconocido como cultura.</t>
  </si>
  <si>
    <t>H2O (Fiesta del agua)</t>
  </si>
  <si>
    <t>Vilagarcia de Arousa - Pontevedra</t>
  </si>
  <si>
    <t>Explanada zona Tir (Puerto deportivo Villagarcia de Arousa)</t>
  </si>
  <si>
    <t>15-08-2020</t>
  </si>
  <si>
    <t>Hala Bedi Rock</t>
  </si>
  <si>
    <t>info@halabedi.eus programazioa@halabedi.eus</t>
  </si>
  <si>
    <t>945-128855 945-121488 945-122738                   656-344982 (wassap)</t>
  </si>
  <si>
    <t>http://halabedi.eus/</t>
  </si>
  <si>
    <t>Hallowan Festival</t>
  </si>
  <si>
    <t>info@wanfestival.com fyllana@grupofriends.com
jose@lanuevacubierta.com</t>
  </si>
  <si>
    <t xml:space="preserve">91-6980834
</t>
  </si>
  <si>
    <t>http://www.wanfestival.com/hallowan/</t>
  </si>
  <si>
    <t xml:space="preserve">Leganés </t>
  </si>
  <si>
    <t>La Cubierta de Leganés
C/ Maestro, s/n. 28914 Leganes - Madrid</t>
  </si>
  <si>
    <t>Festival electrónico y de nueva creación que une a dos de los artistas mas internacionales del panorama musical: Luciano y Paul Kalkbrenner</t>
  </si>
  <si>
    <t>30-10-2021</t>
  </si>
  <si>
    <t>Hallowants</t>
  </si>
  <si>
    <t>gustavo@undernewscomunication.com</t>
  </si>
  <si>
    <t>https://fanmusicfest.com/content/hallowants-2019</t>
  </si>
  <si>
    <t>Grupo Hermanos Toro</t>
  </si>
  <si>
    <t>Porque es la fiesta electrónica de Halloween mas interesante del panorama electrónico de la capital.</t>
  </si>
  <si>
    <t>Hatortxu Rock Festival// Hatortxu Rock Antes</t>
  </si>
  <si>
    <t xml:space="preserve">hatortxu@hatortxu.eus
</t>
  </si>
  <si>
    <t>https://www.hatortxurock.eus/es/</t>
  </si>
  <si>
    <t>Atarrabia-Villalva</t>
  </si>
  <si>
    <t>Atarrabia. Nafarroa</t>
  </si>
  <si>
    <t>Htx (Promotor)</t>
  </si>
  <si>
    <t>Si eres solitario te necesitamos. Si te gustan los festivales con un gran ambiente…Este es tu sitio.</t>
  </si>
  <si>
    <t xml:space="preserve">Punk / Rock / Indie Rock / Metal / Reggae / Hip-Hop / Rap / Punk / Ska / Folk         </t>
  </si>
  <si>
    <t>17-12-2021
-
18-12-2021</t>
  </si>
  <si>
    <t>HDC Rockin´ Fest</t>
  </si>
  <si>
    <t>info@honeydripper.es</t>
  </si>
  <si>
    <t>www.honeydripper.es</t>
  </si>
  <si>
    <t>Leganés- Madrid</t>
  </si>
  <si>
    <t xml:space="preserve">Recinto ferial La Fortuna (Calle Oporto esquina con Calle San Pedro). </t>
  </si>
  <si>
    <t>Promotor: Honeydripper</t>
  </si>
  <si>
    <t>Hebben Live</t>
  </si>
  <si>
    <t>info@hebbenlive.es</t>
  </si>
  <si>
    <t>96-3342700</t>
  </si>
  <si>
    <t>http://hebbenlive.es/</t>
  </si>
  <si>
    <t>Juan Carlos Gutierrez y David Sánchez -Reacción Rock, S.L. (Promotor)</t>
  </si>
  <si>
    <t>Festival Referente de música electrónica en Extremadura</t>
  </si>
  <si>
    <t>Heineken Jazzaldia. Festival Internacional
de Jazz de San Sebastian</t>
  </si>
  <si>
    <t>infojazz@donostia.org prensajazz@donostia.eus donostiakultura@donostia.eus</t>
  </si>
  <si>
    <t>943-481900 943-481150</t>
  </si>
  <si>
    <t>www.heinekenjazzaldia.eus</t>
  </si>
  <si>
    <t>San Sebastian</t>
  </si>
  <si>
    <t>Donostia Kultura (Donostiako Udala)</t>
  </si>
  <si>
    <t>Uno de los festivales de jazz con más
historia de europa</t>
  </si>
  <si>
    <t xml:space="preserve">Jazz            </t>
  </si>
  <si>
    <t>21-07-2021
-
25-07-2021</t>
  </si>
  <si>
    <t>175.000</t>
  </si>
  <si>
    <t>943-483300</t>
  </si>
  <si>
    <t>54.0</t>
  </si>
  <si>
    <t>Hell Rock Festival</t>
  </si>
  <si>
    <t>rockandrousbilly@hotmail.es</t>
  </si>
  <si>
    <t>610-144889</t>
  </si>
  <si>
    <t>https://es-es.facebook.com/Hellrockfest/</t>
  </si>
  <si>
    <t>Retuerta del Bullaque - Ciudad Real</t>
  </si>
  <si>
    <t>Carretera Vieja Pantano Torre Abraham</t>
  </si>
  <si>
    <t>Rosana (Promotora)</t>
  </si>
  <si>
    <t>El Festival "más grande" en el pueblo "más pequeño".</t>
  </si>
  <si>
    <t>18-06-2021
-
20-06-2021</t>
  </si>
  <si>
    <t>Hellin Xplosion</t>
  </si>
  <si>
    <t xml:space="preserve">chronicmanagement@gmail.com
</t>
  </si>
  <si>
    <t>https://www.facebook.com/DancehallXplosionFest</t>
  </si>
  <si>
    <t>Huesca</t>
  </si>
  <si>
    <t>Pero en el festival no sólo encontraremos conciertos si no que el recinto del Festival se llenará de actividades y puestos de todo tipo.</t>
  </si>
  <si>
    <t>Reggae/ Hip Hop / Dancehall / Música Electrónica </t>
  </si>
  <si>
    <t>22.000</t>
  </si>
  <si>
    <t>33.0</t>
  </si>
  <si>
    <t>Hipnotik</t>
  </si>
  <si>
    <t> info@hipnotikfestival.com</t>
  </si>
  <si>
    <t>http://www.hipnotikfestival.com/</t>
  </si>
  <si>
    <t>Ferrocarriles-Plaça Cataluya</t>
  </si>
  <si>
    <t>Es un festival con 10 horas repletas de música, batallas, graffitis, breakdance, competiciones y una serie de conferencias. El festival aboga por la libertad de expresión, transmitiendo este sentimiento desde el hip hop, la pintura y el baile.</t>
  </si>
  <si>
    <t>Hip Hop</t>
  </si>
  <si>
    <t>Hogueras de San Juan Festival</t>
  </si>
  <si>
    <t>josetorrano@emotionalevents.es</t>
  </si>
  <si>
    <t>91-2859940</t>
  </si>
  <si>
    <t>https://es-es.facebook.com/Festival-de-Arganda-Hogueras-de-San-Juan-1831039797120749/</t>
  </si>
  <si>
    <t>Arganda del Rey - Madrid</t>
  </si>
  <si>
    <t>Ciudad Deportiva Príncipe Felipe</t>
  </si>
  <si>
    <t>Jose Antonio Torrano - Emotional Events</t>
  </si>
  <si>
    <t xml:space="preserve">Festival que celebra su primera edición con artistas ya consagrados en la música Rock </t>
  </si>
  <si>
    <t>Hoky Popi Music</t>
  </si>
  <si>
    <t>942-270882</t>
  </si>
  <si>
    <t>http://hokypopimusic.es/</t>
  </si>
  <si>
    <t>Torrelavega</t>
  </si>
  <si>
    <t>Santander. Cantabria</t>
  </si>
  <si>
    <t>Mouro Producciones SLU</t>
  </si>
  <si>
    <t>Plan perfecto para disfrutar toda la familia, con actividades y mucha música.</t>
  </si>
  <si>
    <t xml:space="preserve">                   
Música electrónica</t>
  </si>
  <si>
    <t>24-07-2021</t>
  </si>
  <si>
    <t>Holi Party (Antes: Holi Party Festival)</t>
  </si>
  <si>
    <t>info@mestizoproducciones.es</t>
  </si>
  <si>
    <t>985395141</t>
  </si>
  <si>
    <t>http://www.holipartyfestival.com/</t>
  </si>
  <si>
    <t>Avilés</t>
  </si>
  <si>
    <t>Avilés.Asturias</t>
  </si>
  <si>
    <t>Promotor: Mestizo Producciones</t>
  </si>
  <si>
    <t>Holi Party Festival ofrece una combinación de la celebración tradicional hindú –que consiste en el lanzamiento de polvo de colores y agua- con las actuaciones de artistas sobresalientes del panorama internacional. Este evento se caracteriza por su ambiente festivo, recogiendo el espíritu de libertad y alegría y dejando a un lado las diferencias de clase, casta u origen. Además tiene otros significados culturales: es un día de fiesta donde cada uno se libra de los errores del pasado y de los conflictos.</t>
  </si>
  <si>
    <t>Pop / Indie Rock / Electrónica / Dance</t>
  </si>
  <si>
    <t>29-03-2021</t>
  </si>
  <si>
    <t>Holika Festival</t>
  </si>
  <si>
    <t>nfo@burcor.net / soporte@burcor.net</t>
  </si>
  <si>
    <t>holikafest.com</t>
  </si>
  <si>
    <t>Calahorra. La Rioja</t>
  </si>
  <si>
    <t>Burcor Producciones</t>
  </si>
  <si>
    <t>Festival de Música, de música electrónica, urbana y latina que se celebra en la localidad de Calahorra cada verano desde el año 2017. Tiene lugar el fin de semana previo a la festividad de San Fermin en Pamplona.</t>
  </si>
  <si>
    <t>Pop / Música Urbana / Música electrónica</t>
  </si>
  <si>
    <t>Horteralia</t>
  </si>
  <si>
    <t>avuelaplumacaceres@gmail.com</t>
  </si>
  <si>
    <t>927-246892</t>
  </si>
  <si>
    <t>http://horteralia.com/</t>
  </si>
  <si>
    <t>Pabellón del Vivero "Teodoro Casado"</t>
  </si>
  <si>
    <t>Asociación Cultural Avuelapluma (Promotor)</t>
  </si>
  <si>
    <t>Es el primer festival que reivindica otra forma de ser y vestir, sin vergüenza, out of fashion. El Festival más divertido del mundo.</t>
  </si>
  <si>
    <t>Out of fashion</t>
  </si>
  <si>
    <t>08-05-2020</t>
  </si>
  <si>
    <t>Huercasa Country Festival</t>
  </si>
  <si>
    <t>info@huercasa.com info@huercasacountryfestival.es</t>
  </si>
  <si>
    <t>921-160006</t>
  </si>
  <si>
    <t>http://huercasacountryfestival.es/</t>
  </si>
  <si>
    <t>Riaza - Segovia</t>
  </si>
  <si>
    <t>Miriam Madroño                                     Huercasa (Promotor)</t>
  </si>
  <si>
    <t>Un evento musical que permite disfrutar de los mejores artistas de country, nacionales e internacionales.</t>
  </si>
  <si>
    <t>Música Country</t>
  </si>
  <si>
    <t>09-07-2021
 - 
10-07-2021</t>
  </si>
  <si>
    <t>I Like Festival</t>
  </si>
  <si>
    <t>armando@riffmusic.org // pbellariffmusic.es</t>
  </si>
  <si>
    <t>www.ilikefestival.com/</t>
  </si>
  <si>
    <t>Único festival indie de la región.</t>
  </si>
  <si>
    <t>11-10-2020</t>
  </si>
  <si>
    <t>I Love 80's</t>
  </si>
  <si>
    <t>produccion@velmusic.com
jaandres@produccionesboulevard.com</t>
  </si>
  <si>
    <t>91-4138696 
699-300475</t>
  </si>
  <si>
    <t>www.facebook.com/Festival-I-Love-80S-1471230646422696/timeline/</t>
  </si>
  <si>
    <t>España</t>
  </si>
  <si>
    <t>Diferentes ciudades españolas</t>
  </si>
  <si>
    <t>Una Gira Más</t>
  </si>
  <si>
    <t>Festival que rememora canciones de los años 80  y que se puede disfrutar en diferentes lugares de España</t>
  </si>
  <si>
    <t>I Love Music Festival</t>
  </si>
  <si>
    <t>ecommerce@farraworld.com</t>
  </si>
  <si>
    <t>647-133213</t>
  </si>
  <si>
    <t>https://ilovemusicfestival.com/</t>
  </si>
  <si>
    <t>Adeje - Santa Cruz de Tenerife</t>
  </si>
  <si>
    <t>Finca Los Olivos, C/ Alcojora s/n</t>
  </si>
  <si>
    <t>Farra World</t>
  </si>
  <si>
    <t>02-04-2021</t>
  </si>
  <si>
    <t>Iberia Festival</t>
  </si>
  <si>
    <t>javier@iberiafestival.com                                redes@iberiafestivalcom</t>
  </si>
  <si>
    <t>687-385622                603-403165 (Iberia Festival)</t>
  </si>
  <si>
    <t>http://iberiafestival.com/</t>
  </si>
  <si>
    <t xml:space="preserve">Benidorm </t>
  </si>
  <si>
    <t>Avd. de los Almendros, 30-1 03500 </t>
  </si>
  <si>
    <t>New Iberia Festival S.L.</t>
  </si>
  <si>
    <t>El mejor festival de pop rock nacional en Benidorm.</t>
  </si>
  <si>
    <t>31-10-2021</t>
  </si>
  <si>
    <t>Iberojoven Festival</t>
  </si>
  <si>
    <t>pbecerro@promojaen.es</t>
  </si>
  <si>
    <t>953-730012</t>
  </si>
  <si>
    <t>https://es-es.facebook.com/festivaliberojoven/</t>
  </si>
  <si>
    <t>Peal de Becerro - Jaén</t>
  </si>
  <si>
    <t>Plaza de Toros (C/ Maestro Danian)</t>
  </si>
  <si>
    <t>Mr. Moustache (Organizador)</t>
  </si>
  <si>
    <t>Festival de distintos estilos de música , que se celebra para dar al bienvenida a la primavera en Peal de Becerro, Jaén.</t>
  </si>
  <si>
    <t>Pop / Underground / Música Electrónica</t>
  </si>
  <si>
    <t>27-03-2021</t>
  </si>
  <si>
    <t>Ibiza Reggae Festival</t>
  </si>
  <si>
    <t>info@welcometoibiza.es</t>
  </si>
  <si>
    <t>www.ibizareggaeyard.com</t>
  </si>
  <si>
    <t>La Delias</t>
  </si>
  <si>
    <t>Las Dalias - Ibiza</t>
  </si>
  <si>
    <t>Pedro Peter (Promotor)</t>
  </si>
  <si>
    <t>Festival de Reggae en recuerdo de la visitia de Bob Marley a la isla</t>
  </si>
  <si>
    <t>Reggae</t>
  </si>
  <si>
    <t>Ibiza Rocks</t>
  </si>
  <si>
    <t>sales@ibizarocks.com</t>
  </si>
  <si>
    <t>0207 952 2919</t>
  </si>
  <si>
    <t>https://www.ibizarocks.com/</t>
  </si>
  <si>
    <t>C/Cervantes 27, San Antonio</t>
  </si>
  <si>
    <t> Ibiza Rocks es el principal promotor de la música en vivo en Ibiza y el operador de vacaciones, con hoteles, una agencia de viajes, bares, comedores, tiendas al por menor, un programa de música en vivo y evento masivo a través de múltiples lugares. </t>
  </si>
  <si>
    <t>01-047-2020
-
28-09-2020</t>
  </si>
  <si>
    <t>Ibiza Roots Festival</t>
  </si>
  <si>
    <t>ibizarootsfestival@gmail.com</t>
  </si>
  <si>
    <t>663-464899</t>
  </si>
  <si>
    <t>www.ibizarootsfestival.com/</t>
  </si>
  <si>
    <t>Baluarte de Santa Lucía - Dalt Vila</t>
  </si>
  <si>
    <t>Matu</t>
  </si>
  <si>
    <t>Festival de diferentes culturas a través de la música, el teatro, la danza y las artes visuales, promoviendo así, el acercamiento entre ellas.</t>
  </si>
  <si>
    <t>Músicas del
Mundo</t>
  </si>
  <si>
    <t>Iboga Summer Festival</t>
  </si>
  <si>
    <t>info@ibogasummerfestival.com</t>
  </si>
  <si>
    <t>http://www.ibogasummerfestival.com/</t>
  </si>
  <si>
    <t>Tavernes de la Valldigna</t>
  </si>
  <si>
    <t>Tavernes de la Valldigna. Valencia</t>
  </si>
  <si>
    <t>Iboga Experience</t>
  </si>
  <si>
    <t>Festival junto a un lugar repleto de playas y calas siendo pionero en esta mezcla de estilos: Ska, Swing, Balkan...</t>
  </si>
  <si>
    <t>Balkan / Swing / Ska / Gypsy / Electro-Swing Ska-Jazz / RBnB</t>
  </si>
  <si>
    <t>21-07-2021
-
24-07-2021</t>
  </si>
  <si>
    <t>Icc Week (Music)</t>
  </si>
  <si>
    <t>info@ourenseiccweek.com</t>
  </si>
  <si>
    <t>988-317500</t>
  </si>
  <si>
    <t>https://ourenseiccweek.com/es/</t>
  </si>
  <si>
    <t>Diputación de Orense (Promotor)</t>
  </si>
  <si>
    <t>Mucho más que una feria profesional. Es un acontecimiento transversal en la cultura e industria creativa: Radio, Cine, TV, Industria Musical, Nuevas Tendencias Tecnológicas, Apps, Video- juegos. Speedmeetings, ponencias, charlas, entrevistas, showcases, vertebrarán un programa repleto de actividades que pondrán en valor la actividad económica de un sector clave en la Europa del siglo 21.</t>
  </si>
  <si>
    <t>Rock / Soul / Folk-Rock Electrónica</t>
  </si>
  <si>
    <t>Ikfem</t>
  </si>
  <si>
    <t>ikfem@ikfem.com</t>
  </si>
  <si>
    <t>https://www.ikfem.com</t>
  </si>
  <si>
    <t>Eurociudad Tui-Valencia (España y Portugal)</t>
  </si>
  <si>
    <t>Promotor: Xuventudes Musicais De Tui</t>
  </si>
  <si>
    <t>Indie Rock / Indie Pop / Electrónica / Jazz / Blues / Soul / Clásica / Folk / Latino / Barroco / Medieval / Contemporaneo</t>
  </si>
  <si>
    <t>Imagina Funk</t>
  </si>
  <si>
    <t>info@imaginafunk.com
canovacagestioncultural@gmail.com</t>
  </si>
  <si>
    <t>www.imaginafunk.com</t>
  </si>
  <si>
    <t>Torres - Jaén</t>
  </si>
  <si>
    <t>Torres. Jaen</t>
  </si>
  <si>
    <t>Juan Ramón Canovaca-Torres/Canovaca Gestión Cultural</t>
  </si>
  <si>
    <t>Está considerado el mejor festival del género en Europa y se desarrolla en un parque natural espectacular.</t>
  </si>
  <si>
    <t>Funk / Swing / Soul / Boogaloo</t>
  </si>
  <si>
    <t>24-07-2020
-
25-07-2020</t>
  </si>
  <si>
    <t>In Door Gijón</t>
  </si>
  <si>
    <t>ramon@grupo360.es / info@indoorgijon.com</t>
  </si>
  <si>
    <t>www.indoorgijon.com</t>
  </si>
  <si>
    <t>La Real Prod &amp;
Grupo 360</t>
  </si>
  <si>
    <t>Una ciudad cómoda y acogedora como Gijón, convertida en la fiesta de la música de club durante un fin de semana de febrero. 7 localizaciones diferentes repartidas por la ciudad con diferentes estilos orientados a la música underground de baile.</t>
  </si>
  <si>
    <t>13-03-2021
-
14-03-2021</t>
  </si>
  <si>
    <t>In Situ Festival</t>
  </si>
  <si>
    <t>contacto@insitufestival.com</t>
  </si>
  <si>
    <t>http://insitufestival.com/</t>
  </si>
  <si>
    <t>Ambrona - Soria</t>
  </si>
  <si>
    <t>Festival en el que se aúnan Música y Naturaleza para crear un ambiente único para los asistentes.</t>
  </si>
  <si>
    <t>In-Somni Festival</t>
  </si>
  <si>
    <t>www.in-somni.com</t>
  </si>
  <si>
    <t>Salt - Girona</t>
  </si>
  <si>
    <t>Auditori de la Mecé (Girona)                            La Mirona (Salt)             Sala La Platea (Girona) Museu del Cinem            Yeah Indie Club (Girona)</t>
  </si>
  <si>
    <t>A4, Individa Ocult, Productions JMS (Organizadores)</t>
  </si>
  <si>
    <t>Se denomina "El Festival Itinerante de Música Independiente de Catalunya", celebrando 4 festivales al año en: Barcelona, Girona, Tarragona y Lleida.</t>
  </si>
  <si>
    <t>Indiferente Festival</t>
  </si>
  <si>
    <t>hola@indiferentefestival.com</t>
  </si>
  <si>
    <t>www.indiferentefestival.com</t>
  </si>
  <si>
    <t>Santander</t>
  </si>
  <si>
    <t>Moverground</t>
  </si>
  <si>
    <t>Un evento con alma que se desarrolla durante una única e intensa jornada en el Palacio de Festivales de Cantabria. Con distintos escenarios en espacios tan inesperados y mágicos como emblemáticos. Con un cartel artístico ecléctico.</t>
  </si>
  <si>
    <t>10-04-2021</t>
  </si>
  <si>
    <t>660</t>
  </si>
  <si>
    <t>Interestelar Sevilla</t>
  </si>
  <si>
    <t>info@interestelarsevilla.com / t.abril@themusicrepublic.es</t>
  </si>
  <si>
    <t>.</t>
  </si>
  <si>
    <t>https://www.interestelarsevilla.com</t>
  </si>
  <si>
    <t>Festival de la primavera de Sevilla, la quinta edición del festival que da vida al corazón de la pradera del Centro Andaluz de Arte Contemporáneo. Muy cerquita del centro de la ciudad, se puede llegar andando o en bici.</t>
  </si>
  <si>
    <t xml:space="preserve">Rock /  Indie Rock / Pop / Indie Pop                  </t>
  </si>
  <si>
    <t>03-09-2021
 - 
04-09-2021</t>
  </si>
  <si>
    <t>International Dub Gathering</t>
  </si>
  <si>
    <t>internationaldubgathering@gmail.com</t>
  </si>
  <si>
    <t>93-3284471</t>
  </si>
  <si>
    <t>https://www.internationaldubgathering.com/</t>
  </si>
  <si>
    <t>Bigastro-Alicante</t>
  </si>
  <si>
    <t>Carretera de Bigastro a Jacarilla km 0,6</t>
  </si>
  <si>
    <t>Sevi (Promotor)</t>
  </si>
  <si>
    <t>El mayor encuentro europeo dedicado al dub, reggae y la cultura sound system.</t>
  </si>
  <si>
    <t>Reggae / Dub</t>
  </si>
  <si>
    <t>Intrariberas Fest</t>
  </si>
  <si>
    <t>info@intrariveras.com</t>
  </si>
  <si>
    <t>955-796000                692-529093 (El Otro Sur Producciones)</t>
  </si>
  <si>
    <t>http://intrariberas.com/</t>
  </si>
  <si>
    <t>Alcalá de Guadaira - Sevilla</t>
  </si>
  <si>
    <t>Explanada junto al Teatro Ribera del Guadaira</t>
  </si>
  <si>
    <t>E.O.S.P/Ayuntamiento de Alcalá de Guadaira</t>
  </si>
  <si>
    <t>Festival de música independiente. Un nuevo encuentro musical que se nutre de sonidos indies, electrónicos, pop, rock, hip-hop, flamenco…..entretejidos en un entorno natural único. Música en directo, arte, gastronomía, cultura, naturaleza, diversión, sur, calor y luz.</t>
  </si>
  <si>
    <t>Indie / Electrónica / Pop / Rock / Hip Hop / Flamenco</t>
  </si>
  <si>
    <t>Intro Music Festival</t>
  </si>
  <si>
    <t>contratacion@artistikproducciones.com</t>
  </si>
  <si>
    <t>987-266879 646-478009</t>
  </si>
  <si>
    <t>http://intromusicfest.com/</t>
  </si>
  <si>
    <t>Feria de Muestras</t>
  </si>
  <si>
    <t>Artisti-k Producciones: Jesús Marcos</t>
  </si>
  <si>
    <t>Nuevo festival de música Pop y Rock que se celebrará en Valladolid y acogerá a las bandas mas reconocidas de este estilo, durante dos días.</t>
  </si>
  <si>
    <t>28-11-2020
-
29-11-2020</t>
  </si>
  <si>
    <t>Inverfest</t>
  </si>
  <si>
    <t>direccion@inverfest.com / violeta@inverfest.com</t>
  </si>
  <si>
    <t>https://www.inverfest.com/</t>
  </si>
  <si>
    <t>Cuidad Real</t>
  </si>
  <si>
    <t xml:space="preserve">Castilla-León </t>
  </si>
  <si>
    <t>EL BUENO, EL FEO Y EL MALO S.L.</t>
  </si>
  <si>
    <t>Inverfest es el festival de invierno de Madrid. Un ciclo repleto de propuestas artísticas en diferentes espacios de la ciudad.
Un festival que se caracteriza principalmente por el estreno de discos, finales e inicios de gira o por propuestas muy especiales.</t>
  </si>
  <si>
    <t xml:space="preserve">Metal /  Rock / Punk     </t>
  </si>
  <si>
    <t>07-01-2021
-
07-02-2021</t>
  </si>
  <si>
    <t>Ir Bcn</t>
  </si>
  <si>
    <t>https://es-es.facebook.com/irbcn/</t>
  </si>
  <si>
    <t>Irún Rock Jaialdia</t>
  </si>
  <si>
    <t>menofrockmusikaelkartea@gmail.com</t>
  </si>
  <si>
    <t>639-404356</t>
  </si>
  <si>
    <t>https://es-es.facebook.com/irunrockjaialdia/</t>
  </si>
  <si>
    <t>Irun.Guipuzcoa</t>
  </si>
  <si>
    <t>Nordika Producciones</t>
  </si>
  <si>
    <t>Conciertos gratuitos al aire libre.</t>
  </si>
  <si>
    <t>Iruña Rock (Antes: Iruña Rock Festival)</t>
  </si>
  <si>
    <t>info@irunarock.com // contratacion@irunarock.com</t>
  </si>
  <si>
    <t>948-070155 671-667851 (sólo wassap)</t>
  </si>
  <si>
    <t>www.iruñarock.com</t>
  </si>
  <si>
    <t>Pamplona. Navarra</t>
  </si>
  <si>
    <t>Irufest Produciones S.L</t>
  </si>
  <si>
    <t>Se ha consolidado como una cita indispensable en el circuito rockero estatal. En 2020 celebrará su cuarta edición en un marco incomparable como es el Navarra Arena, donde se celebró de forma exitosa su tercera edición. La calidad de las bandas, infraestructuras, equipos de sonido o precios populares en barras han sido una constante desde su primera edición.</t>
  </si>
  <si>
    <t>29-10-2021
-
31-10-2021</t>
  </si>
  <si>
    <t>16.000</t>
  </si>
  <si>
    <t>Islago Music Festival</t>
  </si>
  <si>
    <t>oficina@islagomusic.com</t>
  </si>
  <si>
    <t>607-292925</t>
  </si>
  <si>
    <t>http://islagomusic.com</t>
  </si>
  <si>
    <t>Recinto Ferial El Carmen. Isla Cristina - Huelva</t>
  </si>
  <si>
    <t>A Vallekas Producciones Musicales. Ángel Romero</t>
  </si>
  <si>
    <t>Este año celebra su segunda edición una de las mejores citas musicales con artistas del Pop ya consagrados. A ello hay que unirle la buena gastronomía onubense</t>
  </si>
  <si>
    <t xml:space="preserve">Pop / Mestizaje       </t>
  </si>
  <si>
    <t>11.000</t>
  </si>
  <si>
    <t>Ítaca</t>
  </si>
  <si>
    <t>info@itacacultura.cat comunicación@itacacultura.cat</t>
  </si>
  <si>
    <t>625-529013</t>
  </si>
  <si>
    <t>http://www.itacacultura.cat/</t>
  </si>
  <si>
    <t>Empordá - Barcelona</t>
  </si>
  <si>
    <t>Itaca Cultura I Acció</t>
  </si>
  <si>
    <t>Itaca es un festival de música y mucho más, donde la cultura no es un lujo.</t>
  </si>
  <si>
    <t>19-06-2020
-
23-06-2020</t>
  </si>
  <si>
    <t>Jardins de Pedralbes</t>
  </si>
  <si>
    <t>consultas@concertstudio.com /
ester@concertstudio.com</t>
  </si>
  <si>
    <t>93-3632510</t>
  </si>
  <si>
    <t>www.festivalpedralbes.com/</t>
  </si>
  <si>
    <t>Pedralbes - Barcelona</t>
  </si>
  <si>
    <t>Jardin, Auditorio y Palacio  Real de Pedralbes</t>
  </si>
  <si>
    <t>Concert Studio (dirige, organiza y produce)</t>
  </si>
  <si>
    <t>Festival que celebra su tercera edición y en el que, naturaleza, historia, música y gastronomía, se unen para formar un evento único durante mas de un mes</t>
  </si>
  <si>
    <t>01-06-2021
-
15-07-2021</t>
  </si>
  <si>
    <t>71.441</t>
  </si>
  <si>
    <t>93-3632511</t>
  </si>
  <si>
    <t>Jardins Terramar</t>
  </si>
  <si>
    <t>contratacion@jetmanagement.es
info@festivaljardinsterramar.com</t>
  </si>
  <si>
    <t>93-4672770</t>
  </si>
  <si>
    <t xml:space="preserve">www.festivaljardinsterramar.com </t>
  </si>
  <si>
    <t>Sitges - Barcelona</t>
  </si>
  <si>
    <t>Jardins Terramar
C/ Cristobal Colón, s/n</t>
  </si>
  <si>
    <t>Jet Management S.L</t>
  </si>
  <si>
    <t>Festival que nace con la vocación y compromiso de ser una referencia de la programación cultural veraniega</t>
  </si>
  <si>
    <t>Rock / Indie Rock / Pop / Indie Pop / Jazz / Blues / Soul / Clásica / Latino</t>
  </si>
  <si>
    <t>19-07-2020
-
27-07-2020</t>
  </si>
  <si>
    <t>Jazpana Fest</t>
  </si>
  <si>
    <t xml:space="preserve">info@jazpana.com </t>
  </si>
  <si>
    <t>http://www.jazpana.com/</t>
  </si>
  <si>
    <t>Beasain - Guipuzcoa</t>
  </si>
  <si>
    <t>Parking de Bernedoenea</t>
  </si>
  <si>
    <t>Asociación Cultural Jazpana (Organizador)</t>
  </si>
  <si>
    <t>En este festival se podrá disfrutar de basquet, skate, graffittis, fotografía y música entre otras muchas cosas. El Festival Jazpana Fest tiene dos características que se le impusieron desde su creación y sin las cuales no existirá. Una, debe dar oportunidad a los grupos del pueblo y dos, todas las actividades y conciertos deberán ser gratis.</t>
  </si>
  <si>
    <t>Indie / Fusión / Folk</t>
  </si>
  <si>
    <t>Jazz de San 
Javier</t>
  </si>
  <si>
    <t>jazz@sanjavier.es</t>
  </si>
  <si>
    <t>968-191588
968-191568</t>
  </si>
  <si>
    <t>http://www.jazz.sanjavier.es/</t>
  </si>
  <si>
    <t>Cado año, el festival Internacional de Jazz de San Javier trae a su escenario las figuras más relevantes del Jazz</t>
  </si>
  <si>
    <t>11.234</t>
  </si>
  <si>
    <t>Jazz I am</t>
  </si>
  <si>
    <t xml:space="preserve">jazziam@tallerdemusics.com </t>
  </si>
  <si>
    <t>azziam.barcelona/es/bienvenidos</t>
  </si>
  <si>
    <t>Rosa Galbany / Taller de Músics</t>
  </si>
  <si>
    <t>JAZZ I AM es un encuentro internacional anual nacido en 2019 en Barcelona con el objetivo de impulsar alianzas entre profesionales de la música a través de conferencias, talleres y los mejores shows nacionales de jazz.</t>
  </si>
  <si>
    <t>Jazz / Fussion</t>
  </si>
  <si>
    <t>17-04-2021
-
19-04-2021</t>
  </si>
  <si>
    <t>Jazz Madrid</t>
  </si>
  <si>
    <t>info@festivaldejazzmadrid.com actividadescd@madrid-destino.com (Propuestas C.C.Conde Duque)</t>
  </si>
  <si>
    <t>91-7220573                   91-3184450 (Conde Duque)                       91-3184634 (Secretaría Teatro Fernán Gómez)</t>
  </si>
  <si>
    <t>http://www.festivaldejazzmadrid.com/</t>
  </si>
  <si>
    <t>Centro Cultural Conde Duque y Teatro Fernán Gómez</t>
  </si>
  <si>
    <t>Organizador: Centro Cultural Conde Duque y Fernán Gómez Centro Cultural de la Villa                                             Promotor: Mercedes Posada</t>
  </si>
  <si>
    <t>Un festival que volverá a mirar a los jazzistas españoles y a las mujeres creadoras e intérpretes, que asumirán un 25% respectivamente de la programación.</t>
  </si>
  <si>
    <t>Jazz /Cine Exposiciones</t>
  </si>
  <si>
    <t>Jazz Voyeur Festival</t>
  </si>
  <si>
    <t>info@jazzvoyeurfestival.es</t>
  </si>
  <si>
    <t>www.jazzvoyeurfestival.es</t>
  </si>
  <si>
    <t>Palma</t>
  </si>
  <si>
    <t>Contemporánea Music</t>
  </si>
  <si>
    <t>Desde el año 2004, el festival programa las grandes figuras del jazz internacional, destacados artistas locales y apoya el talento emergente de las islas Baleares.</t>
  </si>
  <si>
    <t>15-10-2021
-
15-12-2021</t>
  </si>
  <si>
    <t>3.900</t>
  </si>
  <si>
    <t>Jerez Off Festival de Flamenco</t>
  </si>
  <si>
    <t>hola@laguaridadelangel.es</t>
  </si>
  <si>
    <t>laguaridadelangel.es/festival-off-flamenco</t>
  </si>
  <si>
    <t>Jerez de la Frontera - Cádiz</t>
  </si>
  <si>
    <t>La Guarida del
Ángel</t>
  </si>
  <si>
    <t>Festival de Guitarra, Cante y Baile Flamenco. Más de 70 espectáculos de Baile, Cante y de guitarra flamenca, incluyendo las mas relevantes promesas de cada disciplina y con los artistas más importantes del momento.</t>
  </si>
  <si>
    <t>21-02-2021
-
08-03-2021</t>
  </si>
  <si>
    <t>Kalagurri Rock</t>
  </si>
  <si>
    <t>contratacion@berrintxe.es</t>
  </si>
  <si>
    <t>Calahorra</t>
  </si>
  <si>
    <t>Berrintxe S.L.</t>
  </si>
  <si>
    <t>Festival Familiar</t>
  </si>
  <si>
    <t>Kalikenyo Rock</t>
  </si>
  <si>
    <t>kalykenyo.rock@gmail.com</t>
  </si>
  <si>
    <t>https://fanmusicfest.com</t>
  </si>
  <si>
    <t>Juneda- Lérida</t>
  </si>
  <si>
    <t>Campo de fútbol de Juneda, Carrer del Canal d'Urgell, 6
25430 Juneda</t>
  </si>
  <si>
    <t>17-07-2021
 - 
20-07-2021</t>
  </si>
  <si>
    <t>Ke Caña Festival</t>
  </si>
  <si>
    <t>Kekanasuper8@gmail.com</t>
  </si>
  <si>
    <t>657 30 00 56</t>
  </si>
  <si>
    <t>https://www.facebook.com/KeKanna/timeline?ref=page_internal</t>
  </si>
  <si>
    <t>Guadalajara / Madrid</t>
  </si>
  <si>
    <t>Castilla-León / Madrid</t>
  </si>
  <si>
    <t>Asociación Cultural Super8</t>
  </si>
  <si>
    <t>El Festival apuesta por la música independiente en directo tanto a nivel nacional como local.</t>
  </si>
  <si>
    <t>Indie Rock / Indie Pop</t>
  </si>
  <si>
    <t>07-11-2020</t>
  </si>
  <si>
    <t>Keroxen</t>
  </si>
  <si>
    <t>info@keroxen.com // kurajica@hotmail.com</t>
  </si>
  <si>
    <t>info@keroxen.com //kurajica@hotmail.com</t>
  </si>
  <si>
    <t>Santa Cruz de Tenerife</t>
  </si>
  <si>
    <t>Santa Cruz de Tenerife. Tenerife</t>
  </si>
  <si>
    <t>Keroxen. S.L.</t>
  </si>
  <si>
    <t>Es un festival dentro de un antiguo tanque de queroseno vacío de 50.000 metros cúbicos y una enorme pantalla semicircular de 40 metros hecha de bidones usados. En Santa Cruz de Tenerife.</t>
  </si>
  <si>
    <t>Música Electrónica / Electropop</t>
  </si>
  <si>
    <t>14-11-2020</t>
  </si>
  <si>
    <t>Knights of Metal (Barcelona Metal Fest)</t>
  </si>
  <si>
    <t>https://es-es.facebook.com/knightsofmetalbcn/</t>
  </si>
  <si>
    <t xml:space="preserve">Poble Espanyol </t>
  </si>
  <si>
    <t>Knights of Barcelona S.L (Promotor)</t>
  </si>
  <si>
    <t>Es un festival de heavy metal que se celebra en la ciudad de Barcelona con el objetivo de dar un nuevo enfoque a la escena nacional e internacional creando una simbiosis única entre el público y los músicos mediante una propuesta centrada en la calidad y la no masificación.</t>
  </si>
  <si>
    <t>02-07-2020
-
04-07-2020</t>
  </si>
  <si>
    <t>Kristonfest</t>
  </si>
  <si>
    <t xml:space="preserve">info@noiseontour.com // gorka@noiseontour.com </t>
  </si>
  <si>
    <t>https://www.kristonfest.com/</t>
  </si>
  <si>
    <t>Noise On Tour (Promotor)</t>
  </si>
  <si>
    <t>Para amantes dek rock en todas sus variantes mas duras, rocosas y arenosas. Carteles sin rellenos, sin solapes, siempre con bandas difíciles de ver en la península.</t>
  </si>
  <si>
    <t>Rock / Stoner / Doom Psych'70s Sludge / Metal</t>
  </si>
  <si>
    <t>08-05-2021</t>
  </si>
  <si>
    <t>Kutxa Kultur Festibala</t>
  </si>
  <si>
    <t>contratacion@lasttour.net info@ginmusica.com</t>
  </si>
  <si>
    <t>Donostia-San Sebastian</t>
  </si>
  <si>
    <t>Hipódromo de Donostia</t>
  </si>
  <si>
    <t>Festival amable, diurno, un espacio donde pueden acudir familias, ver grandes conciertos y disfrutar del ocio familiar.</t>
  </si>
  <si>
    <t>La Mancha Rock</t>
  </si>
  <si>
    <t>lamancharock@gmail.com lamancharock@lamancharock.com</t>
  </si>
  <si>
    <t>http://lamancharock.com/</t>
  </si>
  <si>
    <t>Miguelturra - Ciudad Real</t>
  </si>
  <si>
    <t>La Mar de Músicas</t>
  </si>
  <si>
    <t>lamardemusicas@ayto-cartagena.es / eugeniogonzalez.cultura@ayto-cartagena.es</t>
  </si>
  <si>
    <t>968-128800</t>
  </si>
  <si>
    <t>http://www.lamardemusicas.com</t>
  </si>
  <si>
    <t xml:space="preserve">Cartagena </t>
  </si>
  <si>
    <t>Centro Cultural Ramón Alonso Luzzy 
C/ Jacinto Benavente, 7
30203 Cartagena - Murcia</t>
  </si>
  <si>
    <t>Ayuntamiento de Cartagena (Promotor)</t>
  </si>
  <si>
    <t xml:space="preserve">Dedicado a los diferentes géneros músicales de un país concreto. Se organizan distintas actividades alternativas como cine, literatura y exposiciones dedicadas al páis invitado. </t>
  </si>
  <si>
    <t>Músicas del mundo / Sonidos Globales</t>
  </si>
  <si>
    <t>18-07-2021
-
24-07-2021</t>
  </si>
  <si>
    <t>47.000</t>
  </si>
  <si>
    <t>La Removida Fest</t>
  </si>
  <si>
    <t>contratacion@volteretarecords.com</t>
  </si>
  <si>
    <t>www.laremovidafest.com</t>
  </si>
  <si>
    <t>Es el primer festival urbano que ha albergado en la Plaza de Toros de las Ventas: música,arte,mercadillos y gastronomía. Lo original del proyecto es que plantee nuevos retos a los jóvenes en el ámbito sociocultural.</t>
  </si>
  <si>
    <t>Pop / Indie / Música Urbana</t>
  </si>
  <si>
    <t>La Tomatina de Buñol</t>
  </si>
  <si>
    <t>info@tomatinasoundfestival.com</t>
  </si>
  <si>
    <t>620 95 36 75</t>
  </si>
  <si>
    <t>https://latomatina.info/</t>
  </si>
  <si>
    <t>Buñol</t>
  </si>
  <si>
    <t>Calle Goya, 1 Buñol</t>
  </si>
  <si>
    <t>Ayuntamiento de Buñol</t>
  </si>
  <si>
    <t>Tomatina Sound Festival es la oferta musical que acompaña a una de las fiestas internacionales más importantes que se realizan en todo el mundo. Con este festival, queremos hacer que sienta la experiencia de vivir una fiesta como no la has vivido nunca.</t>
  </si>
  <si>
    <t>Pop
Electrónica</t>
  </si>
  <si>
    <t>26-08-2020</t>
  </si>
  <si>
    <t>Laboratorio de Electrónica Visual (LEV Festival)</t>
  </si>
  <si>
    <t>info@levfestival.com</t>
  </si>
  <si>
    <t>985-181105 (Ayuntamiento de Gijón)</t>
  </si>
  <si>
    <t>https://www.levfestival.com/17/</t>
  </si>
  <si>
    <t>Diferentes puntos de La Ciudad de la Cultura (Laboral Ciudad de Cultura y Jardín Botánico Atlántico)</t>
  </si>
  <si>
    <t>Datatrón, Laboral Ciudad de la Cultura, El Ayuntamiento de Gijón y Laboral Centro de Arte (Promotores)</t>
  </si>
  <si>
    <t>Se trata del Festival Internacional de Creación Audiovisual de Gijón. Una combinación perfecta entre música electrónica y artes visuales.</t>
  </si>
  <si>
    <t>02-07-2020
 - 
05-07-2020</t>
  </si>
  <si>
    <t>Lagata Reggae Festival</t>
  </si>
  <si>
    <t>info@lagatareggaefestival.es grupos@lagatareggaefestival.es</t>
  </si>
  <si>
    <t>http://www.lagatareggaefestival.es/</t>
  </si>
  <si>
    <t>Valdefierro-Zaragoza</t>
  </si>
  <si>
    <t>Camping Ciudad de Zaragoza
Calle San Juan Bautista de la Salle, s/n</t>
  </si>
  <si>
    <t>Lagatavajunto Reggae Festival</t>
  </si>
  <si>
    <t>Fomentando el Reggae en Aragón, fiesta y acampada Reggae con piscina, música, amigos, actividades, taleres, mercado...</t>
  </si>
  <si>
    <t>Latino / Reggae</t>
  </si>
  <si>
    <t>14-11-2020
-
15-11-2020</t>
  </si>
  <si>
    <t>Lapso Music Experience</t>
  </si>
  <si>
    <t>http://lapsomusicexperience.com/</t>
  </si>
  <si>
    <t>Santiago de Compostela</t>
  </si>
  <si>
    <t>Recinto Ferial de Amio, s/n</t>
  </si>
  <si>
    <t>Legar Music  I-Radia Crea</t>
  </si>
  <si>
    <t>reune la mejor música internacional del momento en el noroeste peninsular. Se busca que el público que persigue la calidad musical pueda encontrarla en directo a precios más asequibles que los habituales de grandes festivales</t>
  </si>
  <si>
    <t xml:space="preserve">Lapsus Festival </t>
  </si>
  <si>
    <t>hello@lapsusfestival.cat</t>
  </si>
  <si>
    <t>http://www.cccb.org/es/actividades/ficha/lapsus-festival-2018/228224</t>
  </si>
  <si>
    <t>CCCB (Centro de Cultura Contemporánea de Barcelona)</t>
  </si>
  <si>
    <t>Lap Sus (Organizador)</t>
  </si>
  <si>
    <t>Festival de músicas electrónicas de vanguardia</t>
  </si>
  <si>
    <t>Las Músicas</t>
  </si>
  <si>
    <t>jose@mestizoproducciones.es</t>
  </si>
  <si>
    <t>985 395 141</t>
  </si>
  <si>
    <t>https://lasmusicas.es</t>
  </si>
  <si>
    <t xml:space="preserve">Avilés. Asturias                  </t>
  </si>
  <si>
    <t>Promotor: Mestizo Prodicciones</t>
  </si>
  <si>
    <t>Un espacio especial y diferente.</t>
  </si>
  <si>
    <t>Rock / Indie Rock / Pop / Reggae / Soul / Punk / Ska / Folk / Country</t>
  </si>
  <si>
    <t>Agosto del 2021</t>
  </si>
  <si>
    <t>Latin Fest</t>
  </si>
  <si>
    <t>latinfestvalencia@gmail.com</t>
  </si>
  <si>
    <t>http://www.latinfest.es</t>
  </si>
  <si>
    <t>Gandia-Valencia</t>
  </si>
  <si>
    <t>16-07-2021
-
17-07-2021</t>
  </si>
  <si>
    <t>Lem. International Experimental Music Meeting</t>
  </si>
  <si>
    <t>pharaonrecords@gemail.com</t>
  </si>
  <si>
    <t>932373737</t>
  </si>
  <si>
    <t>http://www.gracia-territori.com</t>
  </si>
  <si>
    <t>Música experimental</t>
  </si>
  <si>
    <t>2.314</t>
  </si>
  <si>
    <t>Lemon Pop</t>
  </si>
  <si>
    <t>imaru@tomavistasfestival.com</t>
  </si>
  <si>
    <t>625-661335 (Rafa)        679-833000 (Victor Martínez)</t>
  </si>
  <si>
    <t>https://www.facebook.com/Lemon-Pop-Festival-130265346995692/</t>
  </si>
  <si>
    <t>Varios espacios (Auditorio Parque de Fofó, Terraza de Los Molinos del Río y Sala REM)</t>
  </si>
  <si>
    <t>Promotor: Universalodds S.L</t>
  </si>
  <si>
    <t>Es un festival gratuito, se trata de una de las propuestas festivaleras con más antigüedad en nuestro país y que, año tras año, sigue siendo uno de los referentes pop dentro del colapsado elenco de festivales nacionales</t>
  </si>
  <si>
    <t>10-09-2021
 - 
11-09-2021</t>
  </si>
  <si>
    <t>Lenovo Sounds Different</t>
  </si>
  <si>
    <t>hola@lenovomusica.com // bea.blanco@feelwana.com</t>
  </si>
  <si>
    <t>www.lenovomusica.com</t>
  </si>
  <si>
    <t>FeelWana</t>
  </si>
  <si>
    <t>Festival solidario donde toda la recaudacion se dona a una serie de fundaciones que el mismo comprador selecciona en el momento de la compra. Un festival solidario lleno de música para no parar de disfrutar.</t>
  </si>
  <si>
    <t>Let's Festival</t>
  </si>
  <si>
    <t>david@salamandra.cat
oli@salamandra.cat
paco@salamandra.cat</t>
  </si>
  <si>
    <t>www.letsfestival.cat/</t>
  </si>
  <si>
    <t>Sala Salamandra 1 y 2
Av. Carrilet, 235 y 301 L'Hospitalet - Barcelona</t>
  </si>
  <si>
    <t>Dirección: David Lafuente
Producción: Oli
Gestión: Francisco Manuel Venegas</t>
  </si>
  <si>
    <t>Se celebra todos los fines de semana de Marzo en la Sala Salamandra 1 y después hay un aftershow gratuito para los asistentes en Salamandra 2 con los mejores Dj's.</t>
  </si>
  <si>
    <t>Pop / Electrónica</t>
  </si>
  <si>
    <t>24-01-2020
-
26-01-2020</t>
  </si>
  <si>
    <t>Leyendas del Rock</t>
  </si>
  <si>
    <t>info@leyendasdelrockfestival.com</t>
  </si>
  <si>
    <t>91-4138696                      699-30475</t>
  </si>
  <si>
    <t>www.leyendasdelrockfestival.com/</t>
  </si>
  <si>
    <t xml:space="preserve"> Villena-ALICANTE</t>
  </si>
  <si>
    <t>Run To The Hills, S.L.</t>
  </si>
  <si>
    <t>Festival que reúne a las más influyentes y existosas bandas de Rock de España y del resto del mundo.</t>
  </si>
  <si>
    <t>05-08-2021
-
07-08-2021</t>
  </si>
  <si>
    <t>54.000</t>
  </si>
  <si>
    <t>Life Temptation</t>
  </si>
  <si>
    <t>info@dqualitygroup.com</t>
  </si>
  <si>
    <t>603-789191</t>
  </si>
  <si>
    <t>http://www.lifetemptation.com/</t>
  </si>
  <si>
    <t>Sala multiusos del Auditorio de Zaragoza</t>
  </si>
  <si>
    <t xml:space="preserve">El mayor festival de música electrónica de Aragón </t>
  </si>
  <si>
    <t>Live for Marness Metal Fest</t>
  </si>
  <si>
    <t>liveformadness@gmail.com</t>
  </si>
  <si>
    <t>http://www.liveformadness.com/#</t>
  </si>
  <si>
    <t>Ourence</t>
  </si>
  <si>
    <t>Campo Da Feria</t>
  </si>
  <si>
    <t>Ivan Nieto</t>
  </si>
  <si>
    <t>Festival independiente y de carácter no lucrativo cuyo principal objetivo es la promoción y lanzamiento de bandas de metal españolas así como la potenciación dicho estilo musical en la provincia de Ourense y que ha adquirido un importante componente solidario</t>
  </si>
  <si>
    <t>Locos por el Techno</t>
  </si>
  <si>
    <t>info@locosporeltechno.com</t>
  </si>
  <si>
    <t>949-350139</t>
  </si>
  <si>
    <t>http://www.locosporeltechno.com/</t>
  </si>
  <si>
    <t>Villalba del Rey-Cuenca</t>
  </si>
  <si>
    <t xml:space="preserve">Gerente: Miyoshi Kanazawa            </t>
  </si>
  <si>
    <t>Este festival apoya a todos los djs y productores de música techno de este país.</t>
  </si>
  <si>
    <t>Longodub</t>
  </si>
  <si>
    <t>longodub@gmail.com</t>
  </si>
  <si>
    <t>http://longodub.wixsite.com/longodubfestival</t>
  </si>
  <si>
    <t>Laza - Orense</t>
  </si>
  <si>
    <t>Asociación Longodub (Promotor)</t>
  </si>
  <si>
    <t>Un festival en el que se fusiona música,actividades culturales y deporte urbano.</t>
  </si>
  <si>
    <t>Los 40 Playa Pop</t>
  </si>
  <si>
    <t>Lo Pagán - San Pedro del Pinatar</t>
  </si>
  <si>
    <t>Parking explanada de Lo Pagán</t>
  </si>
  <si>
    <t>23.0</t>
  </si>
  <si>
    <t>Los Álamos Beach Festival</t>
  </si>
  <si>
    <t>info@losalamosbeach.com</t>
  </si>
  <si>
    <t>952-026205             635-630886</t>
  </si>
  <si>
    <t>http://losalamosbeach.com/</t>
  </si>
  <si>
    <t>Playa de Los Álamos</t>
  </si>
  <si>
    <t>Festival de música electrónica.</t>
  </si>
  <si>
    <t>30-07-2021
-
31-07-2021</t>
  </si>
  <si>
    <t>55.000</t>
  </si>
  <si>
    <t>Love Rave</t>
  </si>
  <si>
    <t>94-4154551 (Last Tour)</t>
  </si>
  <si>
    <t>http://www.festivalera.com/love-rave/#info-love-rave</t>
  </si>
  <si>
    <t>Masía de Can Gascons - Llagostera - Girona</t>
  </si>
  <si>
    <t>Basoa (Espacio BBK Live)Era (Festival'era S.L) (Promotores)   Last Tour</t>
  </si>
  <si>
    <t xml:space="preserve">Una experiencia rural de música alternativa y electrónica, en un entorno natural y atractivo. Apostando por la comodidad del espectador.
</t>
  </si>
  <si>
    <t>Love the 90S</t>
  </si>
  <si>
    <t xml:space="preserve">direccion@sharemusic.es
</t>
  </si>
  <si>
    <t>www.lovethe90s.com</t>
  </si>
  <si>
    <t>Madrid. Valencia. Sevilla</t>
  </si>
  <si>
    <t>Sharemusic (Promotor)</t>
  </si>
  <si>
    <t>Tras tres ediciones Love the 90`s se ha convertido en el mayor concierto de los 90 de nuestro país, contado en cada edición con los artistas más destacados de la década y con una producción y diseño espectacular.</t>
  </si>
  <si>
    <t xml:space="preserve">Pop / Rock
</t>
  </si>
  <si>
    <t>12-06-2021</t>
  </si>
  <si>
    <t>24.000</t>
  </si>
  <si>
    <t>Love the 90S Valencia</t>
  </si>
  <si>
    <t>hola@neolabels.com</t>
  </si>
  <si>
    <t>91-5283228</t>
  </si>
  <si>
    <t>http://yosaliadefiestaenlos90.com/valencia/</t>
  </si>
  <si>
    <t>Ciudad de las Artes y las Ciencias. Avda. del Profesor López Piñero 7</t>
  </si>
  <si>
    <t>El festival de los 90 que no pudiste vivir en los 90. Más que un concierto, Love the 90’s es la culminación de un sueño. Un proyecto que surgió hace años enfocado a la música dance de los 90 y a imagen de los festivales dedicados a esa década que ya se celebraban en otros países europeos.</t>
  </si>
  <si>
    <t>Electrónica Dance</t>
  </si>
  <si>
    <t>09-05-2021</t>
  </si>
  <si>
    <t>Love the Tuenti`s Festival</t>
  </si>
  <si>
    <t>www.lovethetuentis.com</t>
  </si>
  <si>
    <t>Love the tuenti`s festival, es el mayor festival en España de música de la primera década de los años 2000, mezclando estilos como en pop, el dance y los hits del verano, y reuniendo a artistas clave de estos géneros.</t>
  </si>
  <si>
    <t>Dance / Música Electrónica / Techno</t>
  </si>
  <si>
    <t>28.600</t>
  </si>
  <si>
    <t>Lovin Ibiza</t>
  </si>
  <si>
    <t>onfo@lovinibizafestival.com</t>
  </si>
  <si>
    <t>96-2568818  696-449444</t>
  </si>
  <si>
    <t>http://www.lovinibizafestival.com/</t>
  </si>
  <si>
    <t>Todo Gira                                              Christian Ruiz (World Tour booking) Sonia Mendivil (Artists booking assistant)</t>
  </si>
  <si>
    <t>Festival con más de 30 artistas diferentes y abarcando géneros desde el house comercial hasta el underground, es un evento que no te puedes perder.</t>
  </si>
  <si>
    <t>02-05-2020</t>
  </si>
  <si>
    <t>Low Festival</t>
  </si>
  <si>
    <t>lowfestival.es</t>
  </si>
  <si>
    <t>Benidorm</t>
  </si>
  <si>
    <t>Benidorm. Alicante</t>
  </si>
  <si>
    <t>Dispone de 4 zonas dedicadas a la música y también se puede disfrutar de zonas verdes y piscina.</t>
  </si>
  <si>
    <t>Indie / Pop / Rock / Música Electrónica / DancePunk</t>
  </si>
  <si>
    <t>76.000</t>
  </si>
  <si>
    <t>LPA Beer&amp;Music Festival</t>
  </si>
  <si>
    <t>administracion@ylang-ylang.es</t>
  </si>
  <si>
    <t>928-278955</t>
  </si>
  <si>
    <t>https://es-es.facebook.com/LPA-Beer-Music-Festival-358230184340890/</t>
  </si>
  <si>
    <t xml:space="preserve">Ylang Ylang Eventos, SLU </t>
  </si>
  <si>
    <t>Festival que enamora: el espíritu de 3 días de música, buena cerveza y sobre todo, un ambiente increible se dan cita cada año en la trasera del Parque de Santa Catalina.</t>
  </si>
  <si>
    <t>Rock / Pop</t>
  </si>
  <si>
    <t>21-05-2021
-
23-05-2021</t>
  </si>
  <si>
    <t>Luanco al Mar</t>
  </si>
  <si>
    <t>984-085714</t>
  </si>
  <si>
    <t>http://www.luancoalmar.com/</t>
  </si>
  <si>
    <t>Luanco</t>
  </si>
  <si>
    <t>Complejo deportivo Balbín</t>
  </si>
  <si>
    <t>Derrame Rock School (Promotor)</t>
  </si>
  <si>
    <t>Lugo Jazz Festival</t>
  </si>
  <si>
    <t>festival@jazzlugo.com</t>
  </si>
  <si>
    <t>http://jazzlugo.com/</t>
  </si>
  <si>
    <t>Varias localizaciones</t>
  </si>
  <si>
    <t>Asociación de Amigos de Jazz Escobijazz (Promotor)</t>
  </si>
  <si>
    <t>01-11-2020
-
15-11-2020</t>
  </si>
  <si>
    <t>Mad Cool Festival</t>
  </si>
  <si>
    <t xml:space="preserve">info@madcool.es / booking@madcool.es                    </t>
  </si>
  <si>
    <t>93-4592362 (Live Nation) 91-2966759 678698638 (Cindy)</t>
  </si>
  <si>
    <t>https://madcoolfestival.es/</t>
  </si>
  <si>
    <t xml:space="preserve">Javi Arnaiz    </t>
  </si>
  <si>
    <t>Es música y arte para todos los públicos.</t>
  </si>
  <si>
    <t>Pop
Rock              Indie</t>
  </si>
  <si>
    <t>07-07-2021
-
10-07-2021</t>
  </si>
  <si>
    <t>60.000</t>
  </si>
  <si>
    <t>Mad Garden Festival</t>
  </si>
  <si>
    <t>info@summummusic.com
carlos@summummusic.com</t>
  </si>
  <si>
    <t>www.madgardenfestival.com/</t>
  </si>
  <si>
    <t>Real Jardín Botánico Alfonso XIII. Universidad Complutense</t>
  </si>
  <si>
    <t>Festival al aire libre que combina los nuevos artistas, con los ya consagrados para así llegar a todos los públicos.</t>
  </si>
  <si>
    <t>91-8554169</t>
  </si>
  <si>
    <t>Mad Urban Festival</t>
  </si>
  <si>
    <t>info@foxfouxgroup.es</t>
  </si>
  <si>
    <t>666-099495</t>
  </si>
  <si>
    <t>https://www.facebook.com/events/153730925129935/</t>
  </si>
  <si>
    <t>Alexis Conde - Elegance Producciones</t>
  </si>
  <si>
    <t>Latino / Reggae / Urbana</t>
  </si>
  <si>
    <t>MadMusic City (Día de la Música Madrid)</t>
  </si>
  <si>
    <t>hola@madridmusiccity.com info@legalmusic.es</t>
  </si>
  <si>
    <t>91-5215160</t>
  </si>
  <si>
    <t>http://madridmusiccity.com/</t>
  </si>
  <si>
    <t>Varios espacios (Matadero de Madrid, etc)</t>
  </si>
  <si>
    <t>Organiza: Legal Music</t>
  </si>
  <si>
    <t>Es un festival con motivo de la celebración del Día de la Música. Múltiples actividades tienen lugar esa semana en todo Madrid: conciertos, cine, música avanzada, exposiciones, actividades familiares y mucho más.</t>
  </si>
  <si>
    <t>91-5215543</t>
  </si>
  <si>
    <t>Madrid es negro</t>
  </si>
  <si>
    <t>antonio@buhomanagement.com</t>
  </si>
  <si>
    <t>629-943226 (Maderfaker)             91-4500055 91-4593117 (Buho)</t>
  </si>
  <si>
    <t>http://www.madridesnegro.com/</t>
  </si>
  <si>
    <t>Varios espacios (Siroco Club, Sala But o Clamores)</t>
  </si>
  <si>
    <t>Organizador: Maderfaker y Enlace Funk Promotor: Buhó Management</t>
  </si>
  <si>
    <t>Se consolida como Festival de música negra itinerante por distintas salas de Madrid, y donde tocan, principalmente las mejores bandas emergentes de la ciudad.</t>
  </si>
  <si>
    <t xml:space="preserve">Urbano     </t>
  </si>
  <si>
    <t>30-01-2020
 - 
29-02-2020</t>
  </si>
  <si>
    <t>Madrid PopFest</t>
  </si>
  <si>
    <t xml:space="preserve">info@madridpopfest.com
</t>
  </si>
  <si>
    <t>https://www.madridpopfest.com/</t>
  </si>
  <si>
    <t>Sala Galileo y Nave de Terneras</t>
  </si>
  <si>
    <t>Promotor: Asociación Madrid Popfest</t>
  </si>
  <si>
    <t>Es un festival indiepop que se celebra por todo el globo, desde Nueva York hasta Roma, organizado por pequeñas células independientes entre sí. Siempre desde una autogestión, sin patrocinadores.</t>
  </si>
  <si>
    <t>Indie / Pop</t>
  </si>
  <si>
    <t xml:space="preserve">Madrid Presenta </t>
  </si>
  <si>
    <t>madridpresenta@madridpresenta.com</t>
  </si>
  <si>
    <t>91-4500055 
91-4593117</t>
  </si>
  <si>
    <t>http://madridpresenta.com/</t>
  </si>
  <si>
    <t>Buho Management - Antonio Peña</t>
  </si>
  <si>
    <t>Ha ido evolucionando adaptándose a la demanda del público y programando de un modo más ecléctico. Artistas de distintas lenguas y comunidades, consagrados y emergentes, se reúnen en este ciclo con un denominador común: la música.</t>
  </si>
  <si>
    <t>Madrid Puro Reggaeton Festival</t>
  </si>
  <si>
    <t>prensa@madridpuroreggaetonfestival.com</t>
  </si>
  <si>
    <t>madridpuroreggaetonfestival.com</t>
  </si>
  <si>
    <t>madrid</t>
  </si>
  <si>
    <t>La Caja Mágica - Madrid</t>
  </si>
  <si>
    <t>Grupo Hermanos
Toro</t>
  </si>
  <si>
    <t>Madrid Puro Reggaeton Festival es el nuevo macro evento de verano para los amantes de la música latina de baile de la capital de España. Congregará en la Caja Mágica a las mayores estrellas
del reggaeton, trap y latin pop el 25 y 26 de julio de 2021.</t>
  </si>
  <si>
    <t>Reggaeton / Trap /
Rap Latino / Pop
Latino</t>
  </si>
  <si>
    <t>Madrid Salvaje</t>
  </si>
  <si>
    <t>info@madridsalvaje.com / t.abril@themusicrepublic.es</t>
  </si>
  <si>
    <t>www.madridsalvaje.com</t>
  </si>
  <si>
    <t>Festival de música urbana más importante del país. En su primera edición ha colgado el cartel de abonos agotados con más de un mes de antelación. Su cartel cuenta con algunos de los nombres más importantes de la música urbana.</t>
  </si>
  <si>
    <t>Música Urbana / Rap /
Reggae / Latina</t>
  </si>
  <si>
    <t>01-10-2021
-
02-10-2021</t>
  </si>
  <si>
    <t>Madtown Days</t>
  </si>
  <si>
    <t xml:space="preserve">efernandezd@planetevents.es
</t>
  </si>
  <si>
    <t xml:space="preserve">91-7810818 91-7817983
</t>
  </si>
  <si>
    <t>http://www.madtowndays.es/</t>
  </si>
  <si>
    <t>Varios espacios (La Riviera, Galileo Galilei, Joy Eslava, Sol, Copérnico)</t>
  </si>
  <si>
    <t>Organizan: Planet Events</t>
  </si>
  <si>
    <t xml:space="preserve">Ciclo de conciertos que tiene lugar en Madrid, en cada estación del año y que abarca distintos estilos musicales.
</t>
  </si>
  <si>
    <t>Rock / Indie / Pop</t>
  </si>
  <si>
    <t>Magdalena en Vivo</t>
  </si>
  <si>
    <t>www.magdalenaenvivo.com</t>
  </si>
  <si>
    <t>Consort Music SL</t>
  </si>
  <si>
    <t>Celebrado en el marco de las fiestas de la Semana Grande de Santander.</t>
  </si>
  <si>
    <t>Varios / Música Internacional</t>
  </si>
  <si>
    <t>Maleducats</t>
  </si>
  <si>
    <t>www.maleducats.com</t>
  </si>
  <si>
    <t>terrassa - Barcelona</t>
  </si>
  <si>
    <t>Exits Management</t>
  </si>
  <si>
    <t>1ª edición retrasada a 2021 debido a las condiciones de la COVID-19, el Maleducats se postula como el primer festival de música urbana de Catalunyacon ambición internacional, promovido por Lildami y con la intención de consolidar el género urbano.</t>
  </si>
  <si>
    <t>Música Urbana /
Trap / Rap / Hip-
Hop / Dance Hall</t>
  </si>
  <si>
    <t>Mallorca "N" Roll</t>
  </si>
  <si>
    <t>https://es-es.facebook.com/mallorcanroll/</t>
  </si>
  <si>
    <t>Cuartel General Luque - Inca (Mallorca)</t>
  </si>
  <si>
    <t xml:space="preserve">Es un nuevo festival punk que se celebrará en el Recinto Ferial del Cuartel General Luque , en la localidad mallorquina de Inca. </t>
  </si>
  <si>
    <t>12-06-2020</t>
  </si>
  <si>
    <t>Mallorca Live Festival</t>
  </si>
  <si>
    <t>info@mallorcafestival.com / booking@mallorcalivefestival.com</t>
  </si>
  <si>
    <t>https://mallorcalivefestival.com/</t>
  </si>
  <si>
    <t>Calviá - Mallorca</t>
  </si>
  <si>
    <t>Calvià. Islas Baleares</t>
  </si>
  <si>
    <t>Cultura Aquí y
Ahora S.L.</t>
  </si>
  <si>
    <t>Un espacio acogedor donde disfrutar de grandes actuaciones, saborear la gastronomia local e internacional y vivir la experiencia de un festival que es mucho mas que música. Una cita inolvidable y una oportunidad única para gozar mallorca.</t>
  </si>
  <si>
    <t>Indie / Rock / Reggae Electrónica / DanceTechno</t>
  </si>
  <si>
    <t>11-10-2021
 - 
12-11-2021</t>
  </si>
  <si>
    <t>33.500</t>
  </si>
  <si>
    <t>Mar Abierto Festival</t>
  </si>
  <si>
    <t>administracion@festivalmarabierto.com info@festivalmarabierto.com</t>
  </si>
  <si>
    <t>922-970648</t>
  </si>
  <si>
    <t>http://festivalmarabierto.com/</t>
  </si>
  <si>
    <t>Gran Canaria y Tenerife</t>
  </si>
  <si>
    <t>Promotor: Artevalle Producciones - Jairo Nuñez (Director)</t>
  </si>
  <si>
    <t>Festival Mar Abierto se ha convertido en el referente musical de Canarias. Tal es así, que en los dos últimos años ha sido nominado a Mejor Festival de Mediano Formato, Mejor Producción y Mejor Campaña de Comunicación dentro de los Premios Fest (único certamen dedicado exclusivamente a premiar los festivales musicales nacionales). Esto ha sido posible, entre otros motivos, a que Festival Mar Abierto es el único certamen musical regional con programación anual.</t>
  </si>
  <si>
    <t>Pop / Rock / Trap / Latino</t>
  </si>
  <si>
    <t>05 al 06-12-2020
-
26 al 28-08-2021</t>
  </si>
  <si>
    <t>Marearock Festival</t>
  </si>
  <si>
    <t>info@marearock.com</t>
  </si>
  <si>
    <t>690 35 10 12</t>
  </si>
  <si>
    <t>http://www.marearockfestival.es/</t>
  </si>
  <si>
    <t>Auditorio IFA</t>
  </si>
  <si>
    <t>Antonio López - Mercedes Ramos</t>
  </si>
  <si>
    <t>Marearock Festival es un festival de música alicantino que lleva en activo desde el 2005, siempre enfocado al rock, punk, ska... estatal. En 2020 al igual que en 2019 estaba previsto realizar dos ediciones en dos ciudades, Murcia y Crevillent.</t>
  </si>
  <si>
    <t>Rock / Punk / Metal / Ska</t>
  </si>
  <si>
    <t>06-03-2021
-
12-06-2021</t>
  </si>
  <si>
    <t>Maremagnum Fest</t>
  </si>
  <si>
    <t>info@unpictured.es</t>
  </si>
  <si>
    <t>www.maremagnum.es</t>
  </si>
  <si>
    <t>Maremagnum</t>
  </si>
  <si>
    <t>Festival gratuito al aire libre junto al puerto de Barcelona.</t>
  </si>
  <si>
    <t>Indie / Pop / Electropop</t>
  </si>
  <si>
    <t>Marenostrum Music Castle Park</t>
  </si>
  <si>
    <t>info@riffmusic.es                  marcos@larock.com.es</t>
  </si>
  <si>
    <t>957 497 501 (Riff Producciones) 91 630 20 67 L.A.Rock</t>
  </si>
  <si>
    <t>http://marenostrumcastlepark.com/</t>
  </si>
  <si>
    <t>Parque del Castillo Sohail</t>
  </si>
  <si>
    <t xml:space="preserve">Riff Producciones /Marcos Calvo - L.A. Rock Entertaiment  </t>
  </si>
  <si>
    <t>Es la apuesta del Ayuntamiento de Fuengirola por la Música en Mayúsculas. De la mano de las principales promotoras del país cuenta con un elenco de artistas del panorama musical mundial y un amplio abanico de estilos.</t>
  </si>
  <si>
    <t>25-06-2021
 -
13-08-2021</t>
  </si>
  <si>
    <t>Marenostrum Music Festival</t>
  </si>
  <si>
    <t>info@marenostrumxperience.com</t>
  </si>
  <si>
    <t>http://www.marenostrumxperience.com/</t>
  </si>
  <si>
    <t>Marina Sur</t>
  </si>
  <si>
    <t>02-07-2021</t>
  </si>
  <si>
    <t>52.500</t>
  </si>
  <si>
    <t>Maspalomas Costa Canarias Soul Festival</t>
  </si>
  <si>
    <t>info@ddcompany.es</t>
  </si>
  <si>
    <t>+34 928 33 76 36</t>
  </si>
  <si>
    <t>http://www.ddcompany.es/</t>
  </si>
  <si>
    <t>San Bartolomé de Tirajana</t>
  </si>
  <si>
    <t>Camino a los Pérez, 21, 35017</t>
  </si>
  <si>
    <t>Promotor: DD&amp;Company Producciones S.L</t>
  </si>
  <si>
    <t>Jazz / Blues / Soul / Funk</t>
  </si>
  <si>
    <t>Maspalomas Music Festival</t>
  </si>
  <si>
    <t>contacto@maspalomasmusicfestival.com</t>
  </si>
  <si>
    <t>686-120294</t>
  </si>
  <si>
    <t>http://maspalomasmusicfestival.com/</t>
  </si>
  <si>
    <t>Maspalomas - Gran Canaria</t>
  </si>
  <si>
    <t>Conexión Canarias Música &amp; Eventos S.L. (Promotor)</t>
  </si>
  <si>
    <t>Festival internacional de música.</t>
  </si>
  <si>
    <t>Por  determinar 2021</t>
  </si>
  <si>
    <t>Mayday Electronic Garden</t>
  </si>
  <si>
    <t>social.mayday@gmail.com</t>
  </si>
  <si>
    <t>680-905645</t>
  </si>
  <si>
    <t>https://es-es.facebook.com/MaydayElectronicGarden/</t>
  </si>
  <si>
    <t>Auditorio Parque de Fofó</t>
  </si>
  <si>
    <t>Nace como un nuevo concepto musical al aire libre orientado a todo tipo de público mayor de edad con inquietudes por el ocio alternativo y la cultura musical en la Región de Murcia.  Festival de música avanzada con una oferta diferente basada en la música electrónica y su cultura en fusión con la primavera murciana.</t>
  </si>
  <si>
    <t>Mayorga Rock Fest</t>
  </si>
  <si>
    <t>miguelangel.martin@amantesdementes.com</t>
  </si>
  <si>
    <t>927-246892
651-518916</t>
  </si>
  <si>
    <t>http://www.mayorgarock.com/</t>
  </si>
  <si>
    <t>Recinto Ferial El Berrocal. C/ Miguel de Unamuno</t>
  </si>
  <si>
    <t>Organiza: Amantes de mentes. Conrado J. Gómez</t>
  </si>
  <si>
    <t>La ciudad extremeña acoge la tercera edición de este festival de rock. Hay dos escenarios: uno amurallado y otro una piscina natural donde se celebrará una matinée. Actúan bandas de rock nacionales e internacionales.</t>
  </si>
  <si>
    <t>Maz Basauri</t>
  </si>
  <si>
    <t>oiac@basauri.net</t>
  </si>
  <si>
    <t>944-406692 (Biba)</t>
  </si>
  <si>
    <t>http://www.mazbasauri.com</t>
  </si>
  <si>
    <t>Basauri-Vizcaya</t>
  </si>
  <si>
    <t>Social Antzokia</t>
  </si>
  <si>
    <t xml:space="preserve">Promotor: Ayuntamiento de Basauri Organiza: Biba </t>
  </si>
  <si>
    <t>Indie / Pop / Rock / Otros estilos</t>
  </si>
  <si>
    <t>13 al 14-03-2021
-
20 al 21-03-2021</t>
  </si>
  <si>
    <t>Mbc Festival</t>
  </si>
  <si>
    <t>http://mbcfest.com/</t>
  </si>
  <si>
    <t xml:space="preserve"> Puerto de Sagunto</t>
  </si>
  <si>
    <t>El festival de música, escénicas, diseño y gastronomía a un precio asequible</t>
  </si>
  <si>
    <t>Rock / Electrónica</t>
  </si>
  <si>
    <t>03-04-2021
-
05-04-2021</t>
  </si>
  <si>
    <t>Medusa Circus Madness Festival</t>
  </si>
  <si>
    <t>produccion@medusasunbeach.com</t>
  </si>
  <si>
    <t>722-151522</t>
  </si>
  <si>
    <t>https://www.medusasunbeach.com/</t>
  </si>
  <si>
    <t>Cullera</t>
  </si>
  <si>
    <t>Playa de Cullera</t>
  </si>
  <si>
    <t>Peromotor:Medusa Son Beach</t>
  </si>
  <si>
    <t>Hay cinco escenarios con la mejor música electrónica y en una de las playas valencianas más populares.</t>
  </si>
  <si>
    <t>06-08-2021
-
08-08-2021</t>
  </si>
  <si>
    <t>Melona Fest</t>
  </si>
  <si>
    <t>melonafest@gmail.com</t>
  </si>
  <si>
    <t>lamelona.es</t>
  </si>
  <si>
    <t>Santiago de Compostela. A Coruña</t>
  </si>
  <si>
    <t>LA MELONA</t>
  </si>
  <si>
    <t>Promueve una linea pragmatica vanguardista, eclectica, urbana, emergente e innovadora y fomenta la interpenetración de disciplinas artísticas, la convivencia armónica y pacífica y el encuentro entre la diversidad cultural y la artística.</t>
  </si>
  <si>
    <t>Folk / Indie / Rock / Alternativa / Música Electrónica</t>
  </si>
  <si>
    <t>28-10-2020
-
01-11-2020</t>
  </si>
  <si>
    <t xml:space="preserve">Mem - Festival Internacional de Arte Experimental </t>
  </si>
  <si>
    <t>txema@musicaexmachina.com</t>
  </si>
  <si>
    <t>http://www.festivalmem.com/</t>
  </si>
  <si>
    <t>Sociedad Cultural RMO</t>
  </si>
  <si>
    <t>Festival de música experimental, arte sonoro, electrónica y arte.</t>
  </si>
  <si>
    <t>Música Experimental / Música electrónica</t>
  </si>
  <si>
    <t>03-11-2021
-
21-11-2020</t>
  </si>
  <si>
    <t>1.600</t>
  </si>
  <si>
    <t>Mercat de Música Viva de Vic (MMVV) (Antes: Mercat de Música Viva de Vic)</t>
  </si>
  <si>
    <t>mmvv@vic.cat</t>
  </si>
  <si>
    <t>93-8833100</t>
  </si>
  <si>
    <t>http://www.mmvv.cat/es/</t>
  </si>
  <si>
    <t>Vic - Barcelona</t>
  </si>
  <si>
    <t>Vic. Barcelona</t>
  </si>
  <si>
    <t>Ayuntamiento de Vic</t>
  </si>
  <si>
    <t>Punto de encuentro de la industria musical. Estrenos de discos y espectáculos en directo. Programadores de festivales, ciclos, salas y auditorios públicos y privados. Actividades para promover la contratación y el intercambio de información.</t>
  </si>
  <si>
    <t>15-09-2021
-
18-09-2021</t>
  </si>
  <si>
    <t>120.000</t>
  </si>
  <si>
    <t>Merendola Fest</t>
  </si>
  <si>
    <t xml:space="preserve">
info@mizakeprod.com
</t>
  </si>
  <si>
    <t>www.mizakeprod.com</t>
  </si>
  <si>
    <t>Sala X. C/ José Díaz 7 - Sevilla</t>
  </si>
  <si>
    <t>Eddie Mizake</t>
  </si>
  <si>
    <t>Cinco Horas. CincoBandas. Una gran merienda.</t>
  </si>
  <si>
    <t>Indie Rock / Rock</t>
  </si>
  <si>
    <t>Mestiza</t>
  </si>
  <si>
    <t xml:space="preserve">
info@festivalmestizaclub.com
</t>
  </si>
  <si>
    <t xml:space="preserve">Eventos MPH: 976-791906
Producciones Animadas: 93-3100062 Sold Out 91-4358478
</t>
  </si>
  <si>
    <t>http://festivalmestizaclub.com/</t>
  </si>
  <si>
    <t xml:space="preserve">Organizadores: Eventos MPH
Producciones Animadas                         Sold Out
</t>
  </si>
  <si>
    <t>El Festival Mestiza Club es una apuesta por la diversidad musical de calidad, una amplia propuesta estilística donde caben sonidos como el hip hop, la rumba, la electrónica, el flamenco, el funk o el rock.</t>
  </si>
  <si>
    <t>Hip Hop / Rumba / Música Electrónica / Flamenco / Reggae / Funk / Rock</t>
  </si>
  <si>
    <t>350.000</t>
  </si>
  <si>
    <t>Mestizao</t>
  </si>
  <si>
    <t>info@rootsound.com // ruben@rootsound.com</t>
  </si>
  <si>
    <t>http://www.mestizao.com/</t>
  </si>
  <si>
    <t>Sala El Tren Granada</t>
  </si>
  <si>
    <t xml:space="preserve"> Granada</t>
  </si>
  <si>
    <t>Promotor: Rotsound Music</t>
  </si>
  <si>
    <t>Un lugar para descubrir artistas y nuevas tendencias de las músicas de raíz, de una forma íntima y festiva a la vez.</t>
  </si>
  <si>
    <t>Nuevas tendencias / Música del mundo</t>
  </si>
  <si>
    <t>26-11-2021
-
27-11-2021</t>
  </si>
  <si>
    <t>Metal Night Fest</t>
  </si>
  <si>
    <t>onfirepromo@gmail.com / info@jbcmusic.es</t>
  </si>
  <si>
    <t>www.facebook.com/AlicanteMetalNightFest</t>
  </si>
  <si>
    <t>On fire</t>
  </si>
  <si>
    <t>Festival de metal que reúne a bandas emergentes del estilo en la ciudad de Alicante. Una ventana para descubrir y lanzar bandas.</t>
  </si>
  <si>
    <t>150</t>
  </si>
  <si>
    <t>Metal Paradise</t>
  </si>
  <si>
    <t>nfo@metalparadise.com / t.abril@themusicrepublic.es</t>
  </si>
  <si>
    <t>www.metalparadisefest.com</t>
  </si>
  <si>
    <t>Metal Paradise viene pisando fuerte y promete convertirse en uno de los
mayores eventos de música metal de nuestro país.</t>
  </si>
  <si>
    <t>Metal / Heavy</t>
  </si>
  <si>
    <t xml:space="preserve">Metrópoli </t>
  </si>
  <si>
    <t>metropoli@metropoligijon.com</t>
  </si>
  <si>
    <t>984 20 50 38</t>
  </si>
  <si>
    <t>http://metropoligijon.com/</t>
  </si>
  <si>
    <t>Marino González Rozas (2 Monkeys)</t>
  </si>
  <si>
    <t>Es un festival de gastronomía y tendencias, música de todos los estilos y cine de ciencia ficción, es para niños y para mayores</t>
  </si>
  <si>
    <t>02-07-2021
-
11-07-2021</t>
  </si>
  <si>
    <t>318.000</t>
  </si>
  <si>
    <t>Metropoli Winter</t>
  </si>
  <si>
    <t>metropoligijon.com/metropoli-winter</t>
  </si>
  <si>
    <t>Festivales Siglo XXI S.L.</t>
  </si>
  <si>
    <t>Metrópoli vuelve a llenar Gijón de música, videojuegos, actividades y exposiciones con una nueva edición de invierno: Metrópoli Winter Edition. Esta vez, el festival celebrará una edición urbana en varios rincones de la ciudad.</t>
  </si>
  <si>
    <t>Pop / Rock / Urbano / Musicales</t>
  </si>
  <si>
    <t>17-12-2021
-
06-01-2022</t>
  </si>
  <si>
    <t>Mi Primer Festival</t>
  </si>
  <si>
    <t>http://m1f.es/</t>
  </si>
  <si>
    <t>Campus de la Universidad Complutense de Madrid</t>
  </si>
  <si>
    <t>Festival dedicado al público infantil, a partir de 2 años, en el que podrán ver a los personajes de series infantiles y otras actividades como talleres, jugar al fútbol o saltar en camas elásticas.</t>
  </si>
  <si>
    <t>Infantil</t>
  </si>
  <si>
    <t>Microsonidos</t>
  </si>
  <si>
    <t>info@silbato.net                            rafa@silbato.net                           victor@silbato.net</t>
  </si>
  <si>
    <t>https://es-es.facebook.com/Microsonidos/</t>
  </si>
  <si>
    <t>Silbato Producciones - Rafa Gómez (Promotor)</t>
  </si>
  <si>
    <t>18-01-2020
-
04-04-2020</t>
  </si>
  <si>
    <t>Mil-Lenni</t>
  </si>
  <si>
    <t xml:space="preserve">93-3632510 </t>
  </si>
  <si>
    <t>http://www.festival-millenni.com/es/</t>
  </si>
  <si>
    <t>Varios espacios (El Casino L'Aliança, Sala Barts o Sala Bikini)</t>
  </si>
  <si>
    <t>Concert Studio (dirige, organiza y produce)  Martin Perez Lombarte (Promotor)</t>
  </si>
  <si>
    <t>Festival en Barcelona, en el que, durante 6 meses se puede disfrutar de los mejores artistas siendo uno de los eventos mas importantes de la ciudad. Diversos estilos de música en lugares diferentes de la ciudad.</t>
  </si>
  <si>
    <t>30-09-2021
-
30-05-2022</t>
  </si>
  <si>
    <t>68.346</t>
  </si>
  <si>
    <t>Millo Verde</t>
  </si>
  <si>
    <t>asociacionmilloverde@gmail.com</t>
  </si>
  <si>
    <t>http://www.milloverde.org/</t>
  </si>
  <si>
    <t>Redondela - Pontevedra</t>
  </si>
  <si>
    <t>Asociación Millo Verde (Promotor)</t>
  </si>
  <si>
    <t>Festival alternativo organizado por la Asociación Millo Verde con el objetivo de promover acciones encaminadas a la defensa, protección y mejora del patrimonio comunal y cultural de Galicia</t>
  </si>
  <si>
    <t>31-05-2020
 - 
06-06-2020</t>
  </si>
  <si>
    <t>Minho Reggae Sunsplash</t>
  </si>
  <si>
    <t>organizacion@minhoreggae.com</t>
  </si>
  <si>
    <t>671-393606</t>
  </si>
  <si>
    <t>http://www.minhoreggae.com</t>
  </si>
  <si>
    <t>Goián - Pontevedra</t>
  </si>
  <si>
    <t>Espacio Fortaleza. Embarcadero de Goián - Tomiño</t>
  </si>
  <si>
    <t>Asociación Cultural Minho Reggae (Promotor)</t>
  </si>
  <si>
    <t xml:space="preserve">Festival de expansión y difusión de diferentes manifestaciones artísticas, en especial la música, para que sea utilizada como un instrumento para el desarrollo de los pueblos, cooperación y solidaridad.
</t>
  </si>
  <si>
    <t>Mini Sant Feliu Fest</t>
  </si>
  <si>
    <t>info@santfeliufest.com</t>
  </si>
  <si>
    <t>http://www.santfeliufest.com/</t>
  </si>
  <si>
    <t>Sant Feliu de Guíxols-Girona</t>
  </si>
  <si>
    <t>Minifestival de Música Independiente</t>
  </si>
  <si>
    <t>www.minifestival.net/</t>
  </si>
  <si>
    <t>Auditori Espai Jove Les Basses
Carrer del Teide, 20</t>
  </si>
  <si>
    <t>Ocasión para disfrutar de interesantes
propuestas procedentes del panorama
pop y rock independiente</t>
  </si>
  <si>
    <t>15-02-2020</t>
  </si>
  <si>
    <t>Mira Festival (Digital Arts Festival)</t>
  </si>
  <si>
    <t>info@mirafestival.com</t>
  </si>
  <si>
    <t>http://www.mirafestival.com/</t>
  </si>
  <si>
    <t>Fabra i Coats y Fábrica de Creació. Barrio de Sant Andreu (Barcelona)</t>
  </si>
  <si>
    <t>Oriol Pastor (Dirección)                            Pere Martí (Music booking)                    Bruno Fábregas (Producción)</t>
  </si>
  <si>
    <t>exhibe las nuevas creaciones en el campo de las artes visuales a nivel internacional, con el objetivo de generar simbiosis únicas, transmisión del conocimiento y oportunidades a través de colaboraciones entre artistas visuales y musicales</t>
  </si>
  <si>
    <t>05-11-2020
-
09-11-2020</t>
  </si>
  <si>
    <t>Miranda Urban Festival</t>
  </si>
  <si>
    <t>943-340061 943-341591</t>
  </si>
  <si>
    <t>https://mirandaurbanfestival.com/</t>
  </si>
  <si>
    <t>La Fábrica de Tornillos - C/ La Rioja, 2, 09200 Miranda de Ebro, Burgos</t>
  </si>
  <si>
    <t>La Agencia (Organizador)</t>
  </si>
  <si>
    <t>De la mano de la  Asociacion Cultural Amigos de Rafael Izquierdo, La Agencia y el Ayto. de Miranda de Ebro, nace un nuevo festival para convertir a la ciudad en un referente nacional de música Urbana. Hip Hop, rock, fusión, reggae, mestizaje... conciertos gratuitos, actividades para niños, acampada gratuita, comida popular...</t>
  </si>
  <si>
    <t>HipHop / Reggae / Rock Urbano / Mestizaje</t>
  </si>
  <si>
    <t>Mixtur</t>
  </si>
  <si>
    <t>info@mixturbcn.com</t>
  </si>
  <si>
    <t>http://mixturbcn.com/es/</t>
  </si>
  <si>
    <t>Carrer San Adriá 20</t>
  </si>
  <si>
    <t>Asociación Colectivo Mixtour</t>
  </si>
  <si>
    <t>El Festival MIXTUR nace en Barcelona con la voluntad de contribuir a la creación, pedagogía y difusión de la música de nuestro tiempo comprometida con la investigación, tanto en relación al fenómeno sonoro en sí, como en interacción con otras disciplinas.</t>
  </si>
  <si>
    <t>Contemporánea</t>
  </si>
  <si>
    <t>Mojácar Spring Break</t>
  </si>
  <si>
    <t>info@mojacarspringbreak.com</t>
  </si>
  <si>
    <t xml:space="preserve">650- 053242 (Mandala) 615-735713 619-271986 </t>
  </si>
  <si>
    <t>https://mojacarspringbreak.com/</t>
  </si>
  <si>
    <t>Mojácar - Almería</t>
  </si>
  <si>
    <t>Un hotel y más de 2000 jóvenes de toda España con un único objetivo, divertirse. Tres días de música y fiestas exclusivas con los mejores artistas.</t>
  </si>
  <si>
    <t>05 al 07-06-2020
 - 
18 al 20-09-2020
 - 
25 al 27-09-2020</t>
  </si>
  <si>
    <t>Mojo Music Festival</t>
  </si>
  <si>
    <t>Mojomusicfestival@gmail.com</t>
  </si>
  <si>
    <t>www.facebook.com/mojomfest</t>
  </si>
  <si>
    <t>Bender 2012 sl</t>
  </si>
  <si>
    <t>Retoma en formato Festival la filosofía de Mojo Club, local de referencia de la noche canaria, directos dj`s, zona de comida, y otras actividades durante dos días de mayo, en plena primavera canaria, con el atlántico de fondo.</t>
  </si>
  <si>
    <t>15-05-2020
-
17-05-2020</t>
  </si>
  <si>
    <t>Monegros Desert Festival</t>
  </si>
  <si>
    <t xml:space="preserve">pr@monegrosfestival.com
</t>
  </si>
  <si>
    <t>https://www.monegrosfestival.com/es/</t>
  </si>
  <si>
    <t>Fraga. Huesca</t>
  </si>
  <si>
    <t>Entretenimiento Musical S.L</t>
  </si>
  <si>
    <t>La rave del desierto oscense con más de 20 horas ininterrumpidas, vuelve a tomar arena fragatina el sábado día 1 de agosto de 2020 para regalar a sus fieles, probablemente, la últma oportunidad de bailar en el desierto.</t>
  </si>
  <si>
    <t>Monkey Week Son Estrella Galicia</t>
  </si>
  <si>
    <t>profesionales@monkeyweek.org lamota@lamotacomunicacion.com</t>
  </si>
  <si>
    <t>856-152236               956-855358 (La Mota Ediciones)</t>
  </si>
  <si>
    <t>http://monkeyweek.org/</t>
  </si>
  <si>
    <t>Alameda de Hércules</t>
  </si>
  <si>
    <t xml:space="preserve">Organizador y Promotor: La Mota Ediciones </t>
  </si>
  <si>
    <t>Monkey Week es un encuentro multidisciplinar, estructurado alrededor de la música, y dirigido tanto a público general como a profesionales de la industria. Nace con la intención de establecer una cita anual entre artistas, discográficas, promotores</t>
  </si>
  <si>
    <t>IndieRock / Rock / Pop / Indie Pop / Electrónica / DanceR&amp;B / Hip-Hop / Rap / Punk / Folk / Reggaeton / Trap</t>
  </si>
  <si>
    <t>17-11-2020
 - 
22-11-2020</t>
  </si>
  <si>
    <t>Monkey Weekend</t>
  </si>
  <si>
    <t>profesionales@monkeyweek.org</t>
  </si>
  <si>
    <t>856 152 236</t>
  </si>
  <si>
    <t>El Puerto de Santamaría - Cádiz</t>
  </si>
  <si>
    <t>Castillo de San Marcos, Hospital de la Divina Providencia y varios espacios más</t>
  </si>
  <si>
    <t>Montgorock Xávea Festival</t>
  </si>
  <si>
    <t>promocion.montgorock@gmail.com</t>
  </si>
  <si>
    <t>965-795461</t>
  </si>
  <si>
    <t>https://www.montgorock.es/</t>
  </si>
  <si>
    <t>Xávea - Alicante</t>
  </si>
  <si>
    <t>La Fontana</t>
  </si>
  <si>
    <t>The Wave Javea SL</t>
  </si>
  <si>
    <t>Más de 20.000 m² de puro Rock, más de 20 conciertos, un Palco Rock, puestos de comida, tiendecitas y diversos servicios y actividades. Y todo esto, sobre un espacio cubierto ...</t>
  </si>
  <si>
    <t>Rock / Pop / Indie Rock</t>
  </si>
  <si>
    <t>Moritz Festival'era</t>
  </si>
  <si>
    <t>http://www.festivalera.com/news-es/cartel-festival-era-2017-es</t>
  </si>
  <si>
    <t>Era (Festival'era S.L)</t>
  </si>
  <si>
    <t>Motor Circus</t>
  </si>
  <si>
    <t>hola@motorcircus.es</t>
  </si>
  <si>
    <t>http://www.motorcircus.es/</t>
  </si>
  <si>
    <t>Av. De Menesteo, 0</t>
  </si>
  <si>
    <t>MR. Cheung Productions AIE</t>
  </si>
  <si>
    <t>El espectáculo de música, motor y experiencias de marca más grande y exclusivo que jamás se haya visto en torno a un gran premio de motociclismo.</t>
  </si>
  <si>
    <t>Rock / Indie / Dj's</t>
  </si>
  <si>
    <t>250.000</t>
  </si>
  <si>
    <t>Motorbeach Festival</t>
  </si>
  <si>
    <t>pau@motorbeach.com</t>
  </si>
  <si>
    <t>985-502244</t>
  </si>
  <si>
    <t>http://www.motorbeach.com/</t>
  </si>
  <si>
    <t>Caravia</t>
  </si>
  <si>
    <t>Playa La Espasa s/n</t>
  </si>
  <si>
    <t>Motorbeach (Promotor)</t>
  </si>
  <si>
    <t>El festival que hace culto a la Beach Life fusionando Cafe racer &amp; Surf, Classic Cars &amp; Music.</t>
  </si>
  <si>
    <t xml:space="preserve">Rock                  </t>
  </si>
  <si>
    <t>30-07-2021
- 
02-08-2021</t>
  </si>
  <si>
    <t>30.000</t>
  </si>
  <si>
    <t>Mugacu Fest</t>
  </si>
  <si>
    <t>mugacufest@gmail.com / hontza@hontza.org</t>
  </si>
  <si>
    <t>945-206348</t>
  </si>
  <si>
    <t>www.mugacufest.com</t>
  </si>
  <si>
    <t>Viana</t>
  </si>
  <si>
    <t>Ruinas de la Iglesia de San Pedro - Viana</t>
  </si>
  <si>
    <t>Asociación Cultural Gazte Berri</t>
  </si>
  <si>
    <t>Música y gastronomía dentro de una antigua iglesia en ruinas, disfruta de las tendencias musicales y culturales en un entorno mágico con un encanto único.
Disfruta de los mejores vinos y pintxos de la zona complementado con visitas teatralizadas y maridaje. Todo ello acompañado de las mejores bandas de la escena independiente y pop rock nacional.</t>
  </si>
  <si>
    <t>Pop / Rock Independiente</t>
  </si>
  <si>
    <t>25-06-2021
 - 
27-06-2021</t>
  </si>
  <si>
    <t>Mugako</t>
  </si>
  <si>
    <t>info@mugakofestival.com</t>
  </si>
  <si>
    <t>http://www.mugakofestival.com/</t>
  </si>
  <si>
    <t xml:space="preserve">C/ Portal de Arriaga </t>
  </si>
  <si>
    <t>Mugako Elkartea</t>
  </si>
  <si>
    <t>Es un festival de música electrónica contemporanea.</t>
  </si>
  <si>
    <t>Electrónica / DanceTechno</t>
  </si>
  <si>
    <t>11-10-2020
-
13-10-2020</t>
  </si>
  <si>
    <t>Mula Fest</t>
  </si>
  <si>
    <t xml:space="preserve">mulafest@ifema.es        </t>
  </si>
  <si>
    <t>655-185318                 91-7223000</t>
  </si>
  <si>
    <t>ifema.es/mulafest</t>
  </si>
  <si>
    <t xml:space="preserve"> Madrid</t>
  </si>
  <si>
    <t xml:space="preserve">Ifema </t>
  </si>
  <si>
    <t>Festival de tendencias urbanas donde se dan cita el tattoo, el motor, el arte urbano, el breakdance, deportes urbanos etc.</t>
  </si>
  <si>
    <t>Indie Rock / Indie Pop / Techno / Hip-Hop / Rap / Ska / Electrónica de sonido Avanzado</t>
  </si>
  <si>
    <t>23-04-2021
-
25-04-2021</t>
  </si>
  <si>
    <t>Mundo Idiota</t>
  </si>
  <si>
    <t>mundoidiota@hotmail.es</t>
  </si>
  <si>
    <t>http://www.festivalmundoidiota.com/web/</t>
  </si>
  <si>
    <t>Murder Fest</t>
  </si>
  <si>
    <t>murderfest.direccion@gmail.com</t>
  </si>
  <si>
    <t>697 20 92 02</t>
  </si>
  <si>
    <t>https://es-es.facebook.com/pg/Murder-Fest</t>
  </si>
  <si>
    <t>Sala Recycle</t>
  </si>
  <si>
    <t>Organizado por: Strain Music</t>
  </si>
  <si>
    <t>Es un festival con mezcla entre Metal y hardcore que pretende dar a conocer nuevas bandas del panorama musical actual así como dar oportunidad de escuchar a bandas de primera linea a los fans residentes en el sur</t>
  </si>
  <si>
    <t>Museg Festival Musical de Segovia</t>
  </si>
  <si>
    <t>fundacion@fundaciondonjuandeborbon.org</t>
  </si>
  <si>
    <t>www.museg.org</t>
  </si>
  <si>
    <t>Fundación Don Juan de Borbón</t>
  </si>
  <si>
    <t>Cuarenta y cuatro años de celebración del Festival de Segovia han convertido
a esta cita en uno de los festivales de artes escénicas más antiguos de España con una amplia proyección nacional e internacional.</t>
  </si>
  <si>
    <t>Jazz / Clásica / Flamenco</t>
  </si>
  <si>
    <t>46.0</t>
  </si>
  <si>
    <t>Music Legends Festival - BBK</t>
  </si>
  <si>
    <t>mlf@dekkerevents.com</t>
  </si>
  <si>
    <t>946-765581</t>
  </si>
  <si>
    <t>http://www.musiclegendsfestival.com/</t>
  </si>
  <si>
    <t>Sondika - Vizcaya</t>
  </si>
  <si>
    <t xml:space="preserve">Sondika. Bizkaia </t>
  </si>
  <si>
    <t>Organizador: Dekker Events</t>
  </si>
  <si>
    <t>Festival con los ritmos más auténticos y enérgicos de grandes leyendas del rock, blues, soul.</t>
  </si>
  <si>
    <t>Rock / R&amp;B / Blues /
Soul / Reggae</t>
  </si>
  <si>
    <t>944-048198</t>
  </si>
  <si>
    <t>Music Port Festival</t>
  </si>
  <si>
    <t>info@musicportfest.com // elcaiman@elcaiman.org</t>
  </si>
  <si>
    <t>www.musicportfest.com</t>
  </si>
  <si>
    <t>Sagunto</t>
  </si>
  <si>
    <t>Sagunto. Valencia</t>
  </si>
  <si>
    <t>El Caimán Producciones</t>
  </si>
  <si>
    <t>Festival único en el entorno de La Nau, la antigua siderurgia valenciana de Altos Hornos del Mediterráneo reconvertido en un espacio cultural de celebración y encuentro.</t>
  </si>
  <si>
    <t>Indie / Pop / Trap / Folk / Música electrónica</t>
  </si>
  <si>
    <t>02-07-2021
-
03-07-2021</t>
  </si>
  <si>
    <t>Music Village Alicante</t>
  </si>
  <si>
    <t>info@musicvillagealicante.com</t>
  </si>
  <si>
    <t>http://musicvillagealicante.com/</t>
  </si>
  <si>
    <t>Puerto de Alicante. Muelle de Levante 20</t>
  </si>
  <si>
    <t>Promotores:                                    Generalitat Valenciana (Puerto de Salidad de la Vuelta al Mundo a vela), Volvo Ocean Race.</t>
  </si>
  <si>
    <t>Una de las mayores competiciones náuticas del mundo; la Vuelta al Mundo a Vela. Un lugar idílico desde donde contemplar las estrellas, una regata o, ¿por qué no? un concierto. Music Village Alicante nos une para que disfrutemos de dos de las cosas que mejor definen nuestra forma de ser; el mar y la música, haciendo de cada una de las 6 noches de conciertos una experiencia inolvidable.</t>
  </si>
  <si>
    <t>Dj's/ Música Electrónica / Indie / Pop / Rap / Fusión</t>
  </si>
  <si>
    <t>Música del Mar</t>
  </si>
  <si>
    <t>hola@nsmfest.com contratacion@nsmfest.com produccion@nsmfest.com</t>
  </si>
  <si>
    <t>http://www.musicadelmarcadiz.es/</t>
  </si>
  <si>
    <t xml:space="preserve">El Muelle </t>
  </si>
  <si>
    <t>NSMFEST S.L</t>
  </si>
  <si>
    <t>Una iniciativa privada, y apoyada por la administración local, que parte de la necesidad de ampliar la oferta cultural para la ciudadanía y los visitantes de Cádiz.</t>
  </si>
  <si>
    <t>09 al 10-07-2021
-
21-08-2021</t>
  </si>
  <si>
    <t>Música Diversa</t>
  </si>
  <si>
    <t>musicadiversasegovia@gmail.com</t>
  </si>
  <si>
    <t>http://festivalmusicadiversa.com/</t>
  </si>
  <si>
    <t>Festival que suma diferentes estilos musicales y, por tanto, abarca distintos segmentos de público: Música clásica, Rock, Pop, Hip-hop, Blues, tradicional… Segovia se convierte en escenario de la música en directo, la mayoría con carácter gratuito, emplazamientos de gran belleza que han sido admirados y celebrados por multitud de músicos visitantes.</t>
  </si>
  <si>
    <t>Música en Grande</t>
  </si>
  <si>
    <t>info@mouroproducciones.com // gvega@mouroproducciones.com</t>
  </si>
  <si>
    <t>www.musicaengrande.es</t>
  </si>
  <si>
    <t>Torrelavega Santander</t>
  </si>
  <si>
    <t>Torrelavega. Cantabria</t>
  </si>
  <si>
    <t>Mouro Producciones.com</t>
  </si>
  <si>
    <t>Festival mainstream con precios populares y facilidades para acudir en autobús. Es el primer festival del verano en Cantabria.</t>
  </si>
  <si>
    <t>01-07-2021
-
04-07-2021</t>
  </si>
  <si>
    <t>Músicos en la Naturaleza</t>
  </si>
  <si>
    <t>comunicacion@musicosenlanaturaleza.es</t>
  </si>
  <si>
    <t xml:space="preserve">943-316911
</t>
  </si>
  <si>
    <t>www.musicosenlanaturaleza.es</t>
  </si>
  <si>
    <t>Hoyos del Espino - Ávila</t>
  </si>
  <si>
    <t>Hoyos del Espino</t>
  </si>
  <si>
    <t xml:space="preserve">Get In/Riff Producciones
</t>
  </si>
  <si>
    <t>Se celebra en plena Sierra de Gredos y actúan verdaderas leyendas de la música.</t>
  </si>
  <si>
    <t xml:space="preserve">Rock </t>
  </si>
  <si>
    <t>08-07-2020 
- 
10-07-2020</t>
  </si>
  <si>
    <t>Musiques Disperses (MUD)</t>
  </si>
  <si>
    <t>mud@musiquesdisperses.com</t>
  </si>
  <si>
    <t>973-725559</t>
  </si>
  <si>
    <t>http://www.lleida.com/esdeveniment/mud18</t>
  </si>
  <si>
    <t>Lleida</t>
  </si>
  <si>
    <t>Guerssen y el Ayuntamiento de Lleida (Organizadores)</t>
  </si>
  <si>
    <t>Un festival de folk moderno, aunque esta modernidad no impide mirar atrás, sino que abre el género a una inacabable variación y proyecta el festival como un mensajero intergeneracional.</t>
  </si>
  <si>
    <t>Folk Moderno</t>
  </si>
  <si>
    <t>Músiques Sensibles</t>
  </si>
  <si>
    <t>http://www.musiquessensibles.com/es/</t>
  </si>
  <si>
    <t>Es un ciclo de conciertos que vincula cultura y música, ambos comprometidos con la responsabilidad social. Un proyecto pionero, innovador y único impulsado por profesionales del mundo de la cultura.</t>
  </si>
  <si>
    <t xml:space="preserve">18-01-2020
-
26-01-2020 </t>
  </si>
  <si>
    <t>2.800</t>
  </si>
  <si>
    <t>Mutek Barcelona</t>
  </si>
  <si>
    <t>bcn@mutek.org</t>
  </si>
  <si>
    <t>barcelona.mutek.org</t>
  </si>
  <si>
    <t>Barcelona y Girona</t>
  </si>
  <si>
    <t>Mutek (Promotor)</t>
  </si>
  <si>
    <t>Tiene como objetivo brindar a la comunidad de Barcelona la posibilidad de disfrutar de debuts, premieres, intercambios transcontinentales, proyectos especiales y encuentros inusuales distribuidos por diferentes espacios de la ciudad.</t>
  </si>
  <si>
    <t>Electrónica / Creatividad digital</t>
  </si>
  <si>
    <t>02-03-2021
-
06-03-2021</t>
  </si>
  <si>
    <t>7.600</t>
  </si>
  <si>
    <t>Muwi la Rioja Fest</t>
  </si>
  <si>
    <t>festival@muwi.es / rbezares@impareventos.com</t>
  </si>
  <si>
    <t>http://muwi.es/</t>
  </si>
  <si>
    <t>Logroño</t>
  </si>
  <si>
    <t>Logroño. La Rioja</t>
  </si>
  <si>
    <t>Impar Eventos (Promotor)</t>
  </si>
  <si>
    <t>Festival único donde la música y el vino se dan la mano. Una experiencia enoturistica y musical en el marco incomparable de los jardines y calados de las bodegas centenarias Franco-españolas</t>
  </si>
  <si>
    <t>Indie Pop / Indie Rock / Electrónica Dance / Soul</t>
  </si>
  <si>
    <t>28-08-2021
-
29-08-2021</t>
  </si>
  <si>
    <t xml:space="preserve">15.000
</t>
  </si>
  <si>
    <t>Navarra Sur Festival</t>
  </si>
  <si>
    <t>navarrasurfestival@gemail.com</t>
  </si>
  <si>
    <t>www.navarrasurfestival.com</t>
  </si>
  <si>
    <t>Tudela</t>
  </si>
  <si>
    <t>Paseo del Prado, 31500</t>
  </si>
  <si>
    <t>Ansel Momo</t>
  </si>
  <si>
    <t>Rock                   Indie/Rock/Pop    Pop</t>
  </si>
  <si>
    <t>Negua (Antiguo Madrid Live)</t>
  </si>
  <si>
    <t>marc@lasttour.net                                         alfonso@lasttour.net</t>
  </si>
  <si>
    <t>www.bilbaobbklive.com</t>
  </si>
  <si>
    <t>Last Tour International (Promotor) Madrid Secreto y Fever (Organizadores)</t>
  </si>
  <si>
    <t>Una bonita noche de conciertos en la capital.</t>
  </si>
  <si>
    <t>Indie                Rock Electrónica</t>
  </si>
  <si>
    <t>27-10-2020</t>
  </si>
  <si>
    <t>94-4157550</t>
  </si>
  <si>
    <t>Neox Rocks</t>
  </si>
  <si>
    <t>contratacion@lasttour.net</t>
  </si>
  <si>
    <t>http://neoxrocks.com/</t>
  </si>
  <si>
    <t>Polideportivo San Isidro</t>
  </si>
  <si>
    <t>Festival joven que nació en 2014 pero que congregó a numerosas bandas populares, durante 6 horas. También existen actuaciones de Dj's</t>
  </si>
  <si>
    <t>Nightfall Festival</t>
  </si>
  <si>
    <t>info@nightfallfestival.net
produccion@nightfallfestival.net</t>
  </si>
  <si>
    <t>www.nightfallfestival.es/</t>
  </si>
  <si>
    <t>IFA. Institución Ferial Alicantina</t>
  </si>
  <si>
    <t>Festival de 15 horas de música electrónica sin parar, que celebra su segunda edición.</t>
  </si>
  <si>
    <t>11-03-2021
-
28-03-2021</t>
  </si>
  <si>
    <t>Nits al Carme</t>
  </si>
  <si>
    <t>laboratoryofmusicdreams@gmail.com</t>
  </si>
  <si>
    <t>www.nitsalcarme.com</t>
  </si>
  <si>
    <t>Bs Entertainment</t>
  </si>
  <si>
    <t>Festival - ciclo de conciertos Intimos y exclusivos en la ciudad de valencia: edición 2020 con artistas como: David Bisbal, IZAL, PABLO LOPEZ, DORIAN, Ara Malikian, LOS SECRETOS, SOFIA ELLAR, Miguel Poveda...</t>
  </si>
  <si>
    <t>Pop / Indie / Flamenco / Clásica</t>
  </si>
  <si>
    <t>Nits al Castell</t>
  </si>
  <si>
    <t>info@pro21cultural.com</t>
  </si>
  <si>
    <t>www.pro21cultural.com</t>
  </si>
  <si>
    <t>Xàtiva - Valencia</t>
  </si>
  <si>
    <t>Pro21cultural - Ajuntament De
Xàtiva</t>
  </si>
  <si>
    <t>El festival Nits al Castell ofrece las actuaciones de las principales voces y grupos del panorama musical, con un equilibrio de estilos donde se da cabida al pop, al rock de autor, al flamenco, al folk y a la fusión en un enclave único.</t>
  </si>
  <si>
    <t>Pop / Jazz / Flamenco / Folk / Fusión</t>
  </si>
  <si>
    <t>26-06-2021
-
24-07-2021</t>
  </si>
  <si>
    <t>No Sin Música Festival</t>
  </si>
  <si>
    <t>prensa@nsmfest.com / contratacion@nsmfest.com</t>
  </si>
  <si>
    <t>956-079004             956-750804                 663-922812</t>
  </si>
  <si>
    <t>www.nosinmusicafestival.es/</t>
  </si>
  <si>
    <t>Puerto de Cádiz. Avda. del Puerto s/n</t>
  </si>
  <si>
    <t>No Sin Música (Promotor)</t>
  </si>
  <si>
    <t>Festival que celebra su segunda edición a la orilla del mar, con música para todos los públicos</t>
  </si>
  <si>
    <t>Indie-Rock / Indie Pop / Rock / Pop / Soul / Funk / Hip-Hop / Punk / Folk</t>
  </si>
  <si>
    <t>23-08-2021
 - 
25-08-2021</t>
  </si>
  <si>
    <t>Noches del Botánico</t>
  </si>
  <si>
    <t>info@sfmusic.es</t>
  </si>
  <si>
    <t xml:space="preserve">Planet 91-7810818
91-7817983
</t>
  </si>
  <si>
    <t>http://nochesdelbotanico.com</t>
  </si>
  <si>
    <t>Serious Fan Music, Planet Events, Icon Music</t>
  </si>
  <si>
    <t>Un entorno mágico, naturaleza, gastronomía y una programacion musical ecléctica y de indudable calidad, convierten este festival en una experiencia inolvidable, siendo el epicentro cultural de una ciudad abierta y cosmopolita como Madrid.</t>
  </si>
  <si>
    <t>Jazz / Pop / Rock
Músicas del Mundo / Techno / Reggae / Soul / Clasica / Funk / R&amp;B / Latino</t>
  </si>
  <si>
    <t>Por determinar Junio y Julio 2021</t>
  </si>
  <si>
    <t>Noches en San Benito</t>
  </si>
  <si>
    <t>info@divergentes.es
infoetnosonido@gmail.com</t>
  </si>
  <si>
    <t>Producciones Divergentes:  983-264842
616-683752
Etno Sonido:  983-180100
 619-314573</t>
  </si>
  <si>
    <t>http://nochesensanbenito.bididolid.es/default.html</t>
  </si>
  <si>
    <t>Patio de la Hospederia de San Benito</t>
  </si>
  <si>
    <t>Producciones Divergentes y 
Etno Sonido Producciones</t>
  </si>
  <si>
    <t>Festival de verano, celebrado al aire libre varias noches de Junio y Julio, en el que actúan los grupos más conocidos del panorama musical. También se puede disfrutar de espectáculos de danza y humor</t>
  </si>
  <si>
    <t>Nocturama</t>
  </si>
  <si>
    <t>info@nocturamasevilla.es / david@enlasuite.com</t>
  </si>
  <si>
    <t>La Suite Showbusiness. Maria Gil Cantos 616-797170 David Linde 670-619493</t>
  </si>
  <si>
    <t>http://nocturamasevilla.es/</t>
  </si>
  <si>
    <t xml:space="preserve">Organiza: La Suite </t>
  </si>
  <si>
    <t>Porque es el mejor sitio, en el que pasar las noches veraniegas en Sevilla, viendo buenos conciertos, con buena calidad de sonido, sin agobios, sin colas y rodeado de amigos.</t>
  </si>
  <si>
    <t>27-08-2021
-
29-08-2021</t>
  </si>
  <si>
    <t>Nordestazo Rock</t>
  </si>
  <si>
    <t>nordestazorock@gmail.com info@artmusicagency.es contratacion@artmusicagency.es produccion@artmusicagency.es</t>
  </si>
  <si>
    <t>http://nordestazorock.com/</t>
  </si>
  <si>
    <t>Malpica de Bergantiños - A Coruña</t>
  </si>
  <si>
    <t>Playa de Canido</t>
  </si>
  <si>
    <t>Art Music Agency (Promotor)</t>
  </si>
  <si>
    <t>Festival gratuito</t>
  </si>
  <si>
    <t>Por determinar Agosto-2021</t>
  </si>
  <si>
    <t>Noroeste Pop Rock Estrella Galicia Festival</t>
  </si>
  <si>
    <t>noroeste@coruna.es</t>
  </si>
  <si>
    <t>981-184200 (Ayuntamiento)</t>
  </si>
  <si>
    <t>https://festivalnoroeste.com/</t>
  </si>
  <si>
    <t>Varias localizaciones (Praza das Bárbaras, Praza de San Nicolas, Praia de Riazor y Praia de San Antón)</t>
  </si>
  <si>
    <t>Ayuntamiento de A Coruña y Estrella Galicia (Promotores)</t>
  </si>
  <si>
    <t>Festival de música urbano, gratuíto y de vanguardia.</t>
  </si>
  <si>
    <t>07-08-2020
-
09-08-2020</t>
  </si>
  <si>
    <t>90.000</t>
  </si>
  <si>
    <t>34.0</t>
  </si>
  <si>
    <t>November Live Fest</t>
  </si>
  <si>
    <t>www.novemberlivefest.com</t>
  </si>
  <si>
    <t>MOURO PRODUCCIONES SLU</t>
  </si>
  <si>
    <t>Festival de invierno con zona de food trucks de calidad.</t>
  </si>
  <si>
    <t>12-11-2021
 - 
13-11-2021</t>
  </si>
  <si>
    <t>Nowa Reggae Festival</t>
  </si>
  <si>
    <t>jordi@nowareggae.com</t>
  </si>
  <si>
    <t>637-101557</t>
  </si>
  <si>
    <t>http://nowareggae.com/</t>
  </si>
  <si>
    <t>Vilanova I La Geltrú - Barcelona</t>
  </si>
  <si>
    <t>Jordi Conejero</t>
  </si>
  <si>
    <t xml:space="preserve">Es un festival de música jamaicana y actividades culturales y deportivas. </t>
  </si>
  <si>
    <t>Reggae / Ska</t>
  </si>
  <si>
    <t>16-07-2021
 - 
17-07-2021</t>
  </si>
  <si>
    <t>O Marisquiño</t>
  </si>
  <si>
    <t>info@omarisquino.com</t>
  </si>
  <si>
    <t>http://www.omarisquio.com</t>
  </si>
  <si>
    <t>Vigo- Pontevedra</t>
  </si>
  <si>
    <t>Rúa as Avenidas</t>
  </si>
  <si>
    <t>Ulises Proyects (Promotor)</t>
  </si>
  <si>
    <t>O Marisquiño es un evento de cultura urbana y deportes extremos que se celebra en Vigo (Pontevedra) cada Agosto.</t>
  </si>
  <si>
    <t>Rock / Indie Rock / Pop / Música Electrónica / Dance / Hip-Hop / Rap / Punk / Hard Core</t>
  </si>
  <si>
    <t>Por determinar verano del 2021</t>
  </si>
  <si>
    <t>160.000</t>
  </si>
  <si>
    <t>O Son do Camiño</t>
  </si>
  <si>
    <t>contacto@osondocamino.es</t>
  </si>
  <si>
    <t>http://www.osondocamino.es/</t>
  </si>
  <si>
    <t>Ute Esmerarte &amp; Old Navy</t>
  </si>
  <si>
    <t>Cualquier excusa es buena para "peregrinar" a Galicia. Recorrer las calles empedradas de Santiago, perderse entre vinos y tapas, gozar de las vistas panorámicas y acabar en O Monte do Gozo disfrutando del festival es toda una experiencia turística.</t>
  </si>
  <si>
    <t>Rock / Indie Rock / Pop / Música Electrónica / Dance / Techno / Hip-Hop / Rap / Trap / Latino</t>
  </si>
  <si>
    <t>17-07-2021
-
19-07-2021</t>
  </si>
  <si>
    <t>96.000</t>
  </si>
  <si>
    <t>Oba Festival</t>
  </si>
  <si>
    <t>info@obafestival.com</t>
  </si>
  <si>
    <t>www.obafestival.com/</t>
  </si>
  <si>
    <t xml:space="preserve">Cangas de Onís </t>
  </si>
  <si>
    <t>Arriondas</t>
  </si>
  <si>
    <t>Un nuevo festival que nace en las tierras asturianas y que coincide con el Descenso Internacional de las Piraguas del Río Sella</t>
  </si>
  <si>
    <t>Pop / Rock
Música Electrónica</t>
  </si>
  <si>
    <t>13-02-2021</t>
  </si>
  <si>
    <t>Observatorio Festival</t>
  </si>
  <si>
    <t>info@observatoriofestival.com</t>
  </si>
  <si>
    <t>www.observatoriofestival.com</t>
  </si>
  <si>
    <t>El Bierzo, León</t>
  </si>
  <si>
    <t>Balboa. León</t>
  </si>
  <si>
    <t>Asociación Observatorio de Música, Arte y Ciencia</t>
  </si>
  <si>
    <t>Es una experiencia humana, sin colas ni agobios, en la que disfrutar durante un fin de semana en plena naturaleza de algunas de las propuestas más interesantes de la música y el arte independiente nacional.</t>
  </si>
  <si>
    <t>Música electrónica / Indie / Garage / Pop / Urbana</t>
  </si>
  <si>
    <t>25-08-2021
-
27-08-2021</t>
  </si>
  <si>
    <t>Ojeando Festival</t>
  </si>
  <si>
    <t>comunicacion@ojeando-festival.es / hola@ojeando-festival.es</t>
  </si>
  <si>
    <t>952-881003</t>
  </si>
  <si>
    <t>http://ojeando-festival.es/</t>
  </si>
  <si>
    <t>Ojén - Málaga</t>
  </si>
  <si>
    <t>Camino de Marbella, 3</t>
  </si>
  <si>
    <t>Ayuntamiento de Ojén - Producciones
Baltimore</t>
  </si>
  <si>
    <t>Es uno de los eventos referentes de Málaga: tres escenarios repartidos, un espacio, todo dentro del casco urbano de la villa. Algunas actuaciones son gratuitas. Se celebra el primer fin de semana de Julio.</t>
  </si>
  <si>
    <t>Opening Summer Festival</t>
  </si>
  <si>
    <t>ajuvenilmusiclive@gmail.com</t>
  </si>
  <si>
    <t>628-073864</t>
  </si>
  <si>
    <t>https://www.facebook.com/openingsummerfestival/</t>
  </si>
  <si>
    <t>Torreperogil - Jaén</t>
  </si>
  <si>
    <t>Torreperogil. Jaén</t>
  </si>
  <si>
    <t>Asocciación Junil Music Live</t>
  </si>
  <si>
    <t>Un festival hecho por y para la gente joven,creado por una asociación juvenil sin ánimo de lucro, con precios totalmente populares en un pequeño pueblo de Jaén que por una vez al año se convierte en el epicentro de la música elcetrónica de Andalucía oriental.</t>
  </si>
  <si>
    <t>24-06-2021</t>
  </si>
  <si>
    <t>Origen Fest</t>
  </si>
  <si>
    <t>info@origenfest.com</t>
  </si>
  <si>
    <t>www.origenfest.com</t>
  </si>
  <si>
    <t>Palma. Islas Baleares</t>
  </si>
  <si>
    <t>Contemporánea Music, Trui,
Danzu</t>
  </si>
  <si>
    <t>Un festival pensado para disfrutar a los mejores artistas en un horario diurno y en formato open air, todo ello bajo el manto de una ambientación, decoración y show con el que te transportaremos a lugares mágicos.</t>
  </si>
  <si>
    <t>Techno / Música Electrónica</t>
  </si>
  <si>
    <t>06-06-2021
-
05-09-2021</t>
  </si>
  <si>
    <t>Oro Viejo Festival</t>
  </si>
  <si>
    <t xml:space="preserve">info@disorderevents.com
comunicacion@disorderevents.com </t>
  </si>
  <si>
    <t>https://es-es.facebook.com/oroviejofestival/</t>
  </si>
  <si>
    <t>IFEMA</t>
  </si>
  <si>
    <t>Disorder Events (Promotor)</t>
  </si>
  <si>
    <t>El mayor tributo a la música de baile. Más de 12h del mejor Remember de tu vida.</t>
  </si>
  <si>
    <t>Pop / Rock / Música Electrónica / Remember</t>
  </si>
  <si>
    <t>14 y 21-12-2020</t>
  </si>
  <si>
    <t>Osa do Mar</t>
  </si>
  <si>
    <t>info@osadomar.com booking@osadomar.com fantofantinicomunicacion@gmail.com</t>
  </si>
  <si>
    <t>www.osadomar.com/</t>
  </si>
  <si>
    <t>Burela - Lugo</t>
  </si>
  <si>
    <t>Playa de La Marosa</t>
  </si>
  <si>
    <t>Asociación Cultural Fanto Fantini (Promotor)</t>
  </si>
  <si>
    <t>Se celebra en fin de semana y, además de música, con la opción de realizar otras actividades deportivas y culturales</t>
  </si>
  <si>
    <t>Rock / Pop /Hip-Hop</t>
  </si>
  <si>
    <t>Ossa Summer Fest</t>
  </si>
  <si>
    <t>https://es-es.facebook.com/ossasummerfestival/</t>
  </si>
  <si>
    <t>Ossa de Montiel - Albacete</t>
  </si>
  <si>
    <t>Recinto Las Escuelas</t>
  </si>
  <si>
    <t>Otero Brutal Fest</t>
  </si>
  <si>
    <t>oterobrutalfest@gmail.com comunicación@oterobrutalfest.com</t>
  </si>
  <si>
    <t>647-402021</t>
  </si>
  <si>
    <t>www.oterobrutalfest.com</t>
  </si>
  <si>
    <t>Parque del Oeste y Plaza de Italia</t>
  </si>
  <si>
    <t>Promotor: Otero Crew (Asociación Cultural)</t>
  </si>
  <si>
    <t>Otero Brutal Fest es un festival sin ánimo de lucro organizado por la asociación cultural Otero Crew. Esto quiere decir que ni la organización del festival ni los voluntarios que lo hacen posible reciben más compensación que la de celebrar un fantástico evento para todos los aficionados a este tipo de música.</t>
  </si>
  <si>
    <t>Metal / Hardcore</t>
  </si>
  <si>
    <t>Ourenserock Sound</t>
  </si>
  <si>
    <t>contratacion@ourenrocksound.com</t>
  </si>
  <si>
    <t>http://ourenrocksound.com/</t>
  </si>
  <si>
    <t>Bemposta-Ourence</t>
  </si>
  <si>
    <t>Promotor: Ourenrocksound Porducciones S.L.</t>
  </si>
  <si>
    <t>Lugar emblemático como es la ciudad de los muchachos-Bemposta, con zona de acampada bajo robles, a 10 minutos zona termal.</t>
  </si>
  <si>
    <t>Rock / Hip-Hop / Rap / Punk / Ska</t>
  </si>
  <si>
    <t>27-05-2021
-
29-05-2021</t>
  </si>
  <si>
    <t>Oviclip Festival</t>
  </si>
  <si>
    <t>oviclipfestival@gmail.com // sergiopantiga@hotmail.com</t>
  </si>
  <si>
    <t>www.oviclipfestival.com</t>
  </si>
  <si>
    <t>Oviedo. Asturias</t>
  </si>
  <si>
    <t>Asociación Cultural Proyecta 3</t>
  </si>
  <si>
    <t>Festival urbano en la ciudad de Oviedo que compagina proyecciones, charlas y conferencias en torno al videoclip y conciertos en salas y teatros.</t>
  </si>
  <si>
    <t>Rock / Indie Rock / Metal / Pop / Indie Pop / Música Electrónica / Dance / Techno / Electo Disgustin / Reggae / Jazz / Blues / Soul / Clásica Funk / R&amp;B / Hip-Hop /Rap / Punk / Ska / Folk / Reaggeaton / Trap / Latino / Country / k-Pop</t>
  </si>
  <si>
    <t>2.758</t>
  </si>
  <si>
    <t>Own Spirit Festival</t>
  </si>
  <si>
    <t>http://www.ownspiritfestival.org/es</t>
  </si>
  <si>
    <t>Manresa - Barcelona</t>
  </si>
  <si>
    <t>Es el nuevo paraíso, una nueva tierra para la tribu donde la imaginación, creación y pasión serán presentes en cada esquina. Se celebra el solsticio 
para limpiar y expandir las almas comprometidas con el cambio que quieren ver en el mundo. La música, las artes y las creaciones inundan el festival.</t>
  </si>
  <si>
    <t>14-07-2021
-
19-07-2021</t>
  </si>
  <si>
    <t>Pal Mundo Festival</t>
  </si>
  <si>
    <t>info@palmundo.es</t>
  </si>
  <si>
    <t>http://www.palmundospain.com/</t>
  </si>
  <si>
    <t>Madrid / Málaga / Valencia</t>
  </si>
  <si>
    <t>Comunidad de Madrid / Andalucía / Comunidad Valenciana</t>
  </si>
  <si>
    <t>Madrid: Palacio Vistalegre
Málaga: Auditorio Municipal de Málaga
Valencia: PS Feria de Valencia</t>
  </si>
  <si>
    <t xml:space="preserve">Produtora Pal mundo </t>
  </si>
  <si>
    <t>Ofrece un programa completo y variado que contribuya a la creacción de una atmósfera ideal para bailar y difrutar de la mejor musica latina y caribeña con la familia, amigos o en pareja</t>
  </si>
  <si>
    <t>Pop / Reggaeton</t>
  </si>
  <si>
    <t>Palacio Metal Fest</t>
  </si>
  <si>
    <t>Palaciometalfest@gmail.com</t>
  </si>
  <si>
    <t>www.facebook.com/PalacioMetalFest</t>
  </si>
  <si>
    <t>Los Palacios y Villafranca. Sevilla</t>
  </si>
  <si>
    <t>Por el buen ambiente entre bandas organización y público, todo el que prueba no se pierde otra edición, precios de barra asequibles a todos los bolsillos y gran nivel musical por las bandas, bandas internacionales y nacionales.</t>
  </si>
  <si>
    <t>Metal / Heavy Metal / Thrashcore / Metalcore</t>
  </si>
  <si>
    <t>Palencia En Negro</t>
  </si>
  <si>
    <t>eventos@universonoro.com</t>
  </si>
  <si>
    <t>https://es-es.facebook.com/palenciaennegro</t>
  </si>
  <si>
    <t>Palencia</t>
  </si>
  <si>
    <t>La Mano Negra</t>
  </si>
  <si>
    <t>Música negra de calidad y artistas internacionales.</t>
  </si>
  <si>
    <t>Soul / Funk / R&amp;B / Blues / Latin</t>
  </si>
  <si>
    <t>02-09-2021
-
05-09-2021</t>
  </si>
  <si>
    <t>Palencia Sonora</t>
  </si>
  <si>
    <t>contacto@universonoro.com</t>
  </si>
  <si>
    <t>979-100207 Universo Sonoro</t>
  </si>
  <si>
    <t>www.palenciasonora.com/</t>
  </si>
  <si>
    <t>La Mano Negra Producciones (Promotor)</t>
  </si>
  <si>
    <t>Festival cómodo, accesible y en un entorno espectacular con una programación y producción muy cuidada.</t>
  </si>
  <si>
    <t>11-09-2021
-
12-09-2021</t>
  </si>
  <si>
    <t>Palmfest</t>
  </si>
  <si>
    <t>info@palmfest.es</t>
  </si>
  <si>
    <t>www.palmfest.es/</t>
  </si>
  <si>
    <t>PO Box, 25
43890 Hospitalet de l'Infant - Tarragona</t>
  </si>
  <si>
    <t>Festival de música independiente en plena Costa Dorada</t>
  </si>
  <si>
    <t>Palo Punk</t>
  </si>
  <si>
    <t>palopunkmarinaleda@gmail.com ajsonidosur@gmail.com</t>
  </si>
  <si>
    <t>661-426676</t>
  </si>
  <si>
    <t>https://es-es.facebook.com/festivalpalopunk/</t>
  </si>
  <si>
    <t>Marinaleda - Sevilla</t>
  </si>
  <si>
    <t>Avda. Libertad 15b</t>
  </si>
  <si>
    <t>Palo punk nace con una intención de continuidad anual , en apoyo al panorama Punk Rock y la cultura en general en Andalucía , para demostrar al sistema y a todo el que tenga dudas que la música es cultura y que van juntas de la mano , presentándose en una misma forma , como siempre ha sido , queriendo reunir en un mismo evento, bandas referentes de dicho estilo musical , tanto andaluzas como fuera de nuestra tierra , con conciertos por la noche y jornadas culturales por el día.</t>
  </si>
  <si>
    <t>Punk</t>
  </si>
  <si>
    <t>Paraiso</t>
  </si>
  <si>
    <t>alverto.sanchez@paraisofestival.com</t>
  </si>
  <si>
    <t>www.paraisofestival.com</t>
  </si>
  <si>
    <t>Paraiso Sonoro</t>
  </si>
  <si>
    <t>Dos días para descubrir un cartel con la electrónica como hilo conductor en un espacio al aire libre y con el cuidado de cada detalle de la experiencia.</t>
  </si>
  <si>
    <t>Música electrónica</t>
  </si>
  <si>
    <t>Paraíso Festival</t>
  </si>
  <si>
    <t>hola@paraisofestival.com / ana.sanabia@paraisofestival.com</t>
  </si>
  <si>
    <t>https://paraisofestival.com/</t>
  </si>
  <si>
    <t>Campus de la UCM</t>
  </si>
  <si>
    <t>Paraíso Sonoro S.L.</t>
  </si>
  <si>
    <t>Un viaje hacia los nuevos territorios de la electrónica y su confluencia con otros géneros y expresiones artísticas, en un espacio verde muy próximo al centro de la ciudad.</t>
  </si>
  <si>
    <t xml:space="preserve">Electrónica / Dance </t>
  </si>
  <si>
    <t>Paral-lel Fest</t>
  </si>
  <si>
    <t>media@parallelfestivalcom</t>
  </si>
  <si>
    <t>www.parallelfestival.com</t>
  </si>
  <si>
    <t>Guardiola de Berguela - Barcelona</t>
  </si>
  <si>
    <t>Guardiola de Berguedà. Barcelona</t>
  </si>
  <si>
    <t>Parallel Events, SL</t>
  </si>
  <si>
    <t>Un entorno inspirador, una selección musical precisa y la comodidad de nuestros asistentes, son los tres ejes centrales de la organización. Una experiencia única y genuina con una programación distinta y decidida.</t>
  </si>
  <si>
    <t>Techno / Música electrónica</t>
  </si>
  <si>
    <t>Paupaterres Festival</t>
  </si>
  <si>
    <t xml:space="preserve">info@paupaterres.cat </t>
  </si>
  <si>
    <t>973-311608 (Ayuntamiento)</t>
  </si>
  <si>
    <t>www.paupaterres.cat</t>
  </si>
  <si>
    <t>Tárrega, Lérida</t>
  </si>
  <si>
    <t>Tárrega. Lleida</t>
  </si>
  <si>
    <t>Associació Paupaterre, Ayuntamiento de Tárrega y Trrg Cultura</t>
  </si>
  <si>
    <t>Es un festival pensado y creado para todos los públicos, sin limite de edad, sin condición social, donde puedes combinar la gastronomía con diferentes tipos de estilos de música eclécticos que van des del fol al trap, pasando por el ska, rumba, etc.</t>
  </si>
  <si>
    <t>Pop / Reggae / Jazz / Ska / Folk / Rumba</t>
  </si>
  <si>
    <t>08-07-2021
11-07-2021</t>
  </si>
  <si>
    <t>42.380</t>
  </si>
  <si>
    <t>Periferias</t>
  </si>
  <si>
    <t>illes@huesca.es</t>
  </si>
  <si>
    <t>http://www.periferias.org</t>
  </si>
  <si>
    <t>Organiza: El ayuntamiento de Huesca</t>
  </si>
  <si>
    <t>es un festival multidisciplinar, temático y transgenérico, que propone una visión absolutamente diferente del concepto de festival al uso, derribando fronteras entre disciplinas artísticas e integrando diversas manifestaciones culturales.</t>
  </si>
  <si>
    <t>Por determinar Marzo del 2021</t>
  </si>
  <si>
    <t>10.500</t>
  </si>
  <si>
    <t>Petits Camaleons</t>
  </si>
  <si>
    <t>info@petitscamaleons.com / nosonores@gmail.com</t>
  </si>
  <si>
    <t>http://www.petitscamaleons.com</t>
  </si>
  <si>
    <t>Sant Cugat del Vallés - Barcelona</t>
  </si>
  <si>
    <t>San Cugat, Barcelona.</t>
  </si>
  <si>
    <t>No Sonores</t>
  </si>
  <si>
    <t>Un gran festival con 9 escenarios pensado para toda la familia. El festival ideal para iniciar a los más pequeños en el apasionante mundo de los festivales. Somos los auténticos creadores de nuevos públicos, de los futuros usuarios.</t>
  </si>
  <si>
    <t>Rock / Pop / Reggae / Soul / R&amp;B / Folk / Country /  Metizaje</t>
  </si>
  <si>
    <t>02-10-2021
-
04-10-2021</t>
  </si>
  <si>
    <t>Phe Festival</t>
  </si>
  <si>
    <t>info@phefestival.com / booking@phefestival.com</t>
  </si>
  <si>
    <t>www.phefestival.com</t>
  </si>
  <si>
    <t>Puerto de la Cruz - Santa Cruz de Tenerife</t>
  </si>
  <si>
    <t>Puerto de la Cruz. Santa Cruz de Tenerife</t>
  </si>
  <si>
    <t>Phe Team S.L (Promotor)</t>
  </si>
  <si>
    <t>Festival de verano en Tenerife, música y tendencias, con carácter para inspirar a un público inspirado y actual. Con el afán de descubrir propuestas frescas y singulares, representamos todos los estereotipos imaginables de un plan perfecto de vacaciones en Canarias.</t>
  </si>
  <si>
    <t>Indie / Pop / Rock /
Urban / Dance</t>
  </si>
  <si>
    <t>760</t>
  </si>
  <si>
    <t>Pintor Rock</t>
  </si>
  <si>
    <t>info@pintorrock.com info@boomboomproducccions.com contractacio@produccionssubmarines.com albert@produccionssubmarines.com pitu@produccionssubmarines.com</t>
  </si>
  <si>
    <t>615-459523 (David)</t>
  </si>
  <si>
    <t>http://www.pintorrock.com/</t>
  </si>
  <si>
    <t>El Morell - Tarragona</t>
  </si>
  <si>
    <t>"La Granja de Frares" Lloc hospitals 310 - El Morell</t>
  </si>
  <si>
    <t>Producción:                                          Boom Produccions Boom - David Producciones Submarines - Víctor Bladé Sabaté (contratación) - Albert Salvat López (contratación internacional) - Josep María Paixá Matas (técnico)</t>
  </si>
  <si>
    <t>Festival de rock</t>
  </si>
  <si>
    <t>Pinut Fest</t>
  </si>
  <si>
    <t>636-968086                   600-230 198</t>
  </si>
  <si>
    <t>https://www.facebook.com/pinupfest/info/?tab=page_info</t>
  </si>
  <si>
    <t>Playa de Oliva</t>
  </si>
  <si>
    <t>Música Electrónica / Rock</t>
  </si>
  <si>
    <t>Pirata Rock</t>
  </si>
  <si>
    <t>info@piratarock.com</t>
  </si>
  <si>
    <t>http://www.piratarock.com/</t>
  </si>
  <si>
    <t>Polígono Beniedo de Gandía</t>
  </si>
  <si>
    <t>Duke Avegonzar (Promotor)</t>
  </si>
  <si>
    <t>Festival de música Rock, Rap, Mestizaje y Fusión.</t>
  </si>
  <si>
    <t>Rock / Rap / Mestizaje / Fusión</t>
  </si>
  <si>
    <t>15-07-2021
-
18-07-2021</t>
  </si>
  <si>
    <t>Pirineos Sur</t>
  </si>
  <si>
    <t>isabel@sonde3.com</t>
  </si>
  <si>
    <t>974-294151</t>
  </si>
  <si>
    <t>http://www.pirineos-sur.es/</t>
  </si>
  <si>
    <t>Sallent de Gállego - Huesca</t>
  </si>
  <si>
    <t>Auditorio Natural de Lanuza y escenario Sallent de Gállego, Huesca</t>
  </si>
  <si>
    <t>Sonde3
Producciones</t>
  </si>
  <si>
    <t>Nació hace 27 años un punto de encuentro entre países, culturas y sonidos. Festival que ha dado la vuelta al mundo en el que han actuado músicos de los 5 continentes.</t>
  </si>
  <si>
    <t>Varios / Folk / Hip-Hop / Roots / Flamenco / Música Electrónica</t>
  </si>
  <si>
    <t>09-07-2021
-
31-07-2021</t>
  </si>
  <si>
    <t>974-294150</t>
  </si>
  <si>
    <t>29.0</t>
  </si>
  <si>
    <t>Planeta Demos</t>
  </si>
  <si>
    <t>festival@festivalplanetademos.com angelroman@festivalplanetademos.com mar@festivalplanetademos.com</t>
  </si>
  <si>
    <t>699-404795</t>
  </si>
  <si>
    <t>http://festivalplanetademos.com/</t>
  </si>
  <si>
    <t>Mengíbar- Jaén</t>
  </si>
  <si>
    <t>Parque Carpe Diem</t>
  </si>
  <si>
    <t>Ángel Roman (Contratación)                   Mar (Prensa)</t>
  </si>
  <si>
    <t xml:space="preserve">
Es un peuqeño festival  en el que se crea tal ambiente que hace que la gente empatice rapidamente y se sienta participe de todo, se puede compartir con toda la familia , es un día entero de musica, para ello siempre cuentan con bandas de máximo nivel de indie español .</t>
  </si>
  <si>
    <t>Pop / Indie Independiente</t>
  </si>
  <si>
    <t>Planeta Sound</t>
  </si>
  <si>
    <t>contacta@planetasound.com</t>
  </si>
  <si>
    <t>www.planetasound.com</t>
  </si>
  <si>
    <t>Ponferrada - León</t>
  </si>
  <si>
    <t>Castilla Leon</t>
  </si>
  <si>
    <t>León</t>
  </si>
  <si>
    <t>Planeta Sound SL</t>
  </si>
  <si>
    <t>Planeta Sound se formó en 2019 desde el polvo estelar que rodea la constelación de El Bierzo como el primer gran festival de música de Ponferrada por el que pasaron bandas como Izal o Miss Caffeina Planeta Sound será el evento cósmico del 2021.</t>
  </si>
  <si>
    <t>Indie / Rock / Urbana</t>
  </si>
  <si>
    <t>12.900</t>
  </si>
  <si>
    <t>Plastic Festival</t>
  </si>
  <si>
    <t>hola@tackgang.com</t>
  </si>
  <si>
    <t>www.plasticfestival.com/</t>
  </si>
  <si>
    <t>El Ejido - Almería</t>
  </si>
  <si>
    <t>El Ejido. Almeria</t>
  </si>
  <si>
    <t>T.A.C.K Gang (Organizador y productor)</t>
  </si>
  <si>
    <t>Su eclético cartel unido a su carácter diferenciador y la cuidada decoración.</t>
  </si>
  <si>
    <t>18-07-2021</t>
  </si>
  <si>
    <t>Poborina Folk</t>
  </si>
  <si>
    <t>correo@poborinafolk.es</t>
  </si>
  <si>
    <t>http://www.poborinafolk.es/</t>
  </si>
  <si>
    <t>El Pobo de la Sierra - Teruel</t>
  </si>
  <si>
    <t>C/ En medio s/n</t>
  </si>
  <si>
    <t xml:space="preserve">Festival Internacional de Músicas con raíz. Se celebra el fin de semana más cercano a la noche de San Juan.
De la palabra aragonesa borina (fiesta) y el nombre de El Pobo nació el nombre de Poborina, y de las tradicionales Albadas nace este festival que crece año tras año derrochando un ambiente mágico en el solsticio de verano. </t>
  </si>
  <si>
    <t>Por determinar  finales de Junio de 2021</t>
  </si>
  <si>
    <t>Polar Live Weekend</t>
  </si>
  <si>
    <t>contratacionpolar@gmail.com</t>
  </si>
  <si>
    <t>www.polarrecords.es</t>
  </si>
  <si>
    <t>Madrid, Barcelona, Zaragoza,
Valencia, Lleida, Bilbao</t>
  </si>
  <si>
    <t>Comunidad de Madrid, Cataluña, Aragón, Comunidad Valenciana, Euskadi</t>
  </si>
  <si>
    <t>Varias</t>
  </si>
  <si>
    <t>Festival itinerante que pasa por distintas ciudades, una oportunidad para
ver la enorme calidad del roster de Polar y de las bandas invitadas que les aconpañan.</t>
  </si>
  <si>
    <t>Indie Rock</t>
  </si>
  <si>
    <t>29 y 30-01-2021 (Barcelona)
-
05 y 06-02-2021 (Madrid)
-
05 y 06-03-2021 (Zaragoza)
-
16 y 17-04-2021 (Lleida)</t>
  </si>
  <si>
    <t>Polar Sound</t>
  </si>
  <si>
    <t>hola@feverup.com // pipo.gonzalez@feverup.com</t>
  </si>
  <si>
    <t>www.polarsound.es</t>
  </si>
  <si>
    <t>Baqueira Beret</t>
  </si>
  <si>
    <t>Andorra</t>
  </si>
  <si>
    <t>Baquerira Beret - Vall de Aran</t>
  </si>
  <si>
    <t>Fever Originals</t>
  </si>
  <si>
    <t>Te propone esta nueva actividad after-ski, un fin de semana donde podras realizar tus deportes favoritos de nieve, y al acabar, poder asistir a un recinto a pie de pista con las bandas mas punteras del panorama musical indy-pop.</t>
  </si>
  <si>
    <t>Polifonik Sound</t>
  </si>
  <si>
    <t>info@polifoniksound.com // info@lastexitmanagement.com</t>
  </si>
  <si>
    <t>www.polifoniksound.com/</t>
  </si>
  <si>
    <t>Barbastro - Huesca</t>
  </si>
  <si>
    <t>Asociación Cultural Polifonik Sound  (Promotores)</t>
  </si>
  <si>
    <t>Es lo que los grandes festivales ya no te pueden ofrecer, un cartel hecho con cabeza, sin grandes derroches económicos y un gran esfuerzo organizativo que garantice la comodidad durante las dos jornadas! Experiencia única!</t>
  </si>
  <si>
    <t xml:space="preserve">Indie Rock / Indie Pop / Pop             </t>
  </si>
  <si>
    <t>25-06-2021</t>
  </si>
  <si>
    <t>Poma Rock</t>
  </si>
  <si>
    <t xml:space="preserve">
pomarock2.0@gmail.com</t>
  </si>
  <si>
    <t>https://www.facebook.com/POMA-ROCK-298137983644475/info/?tab=page_info</t>
  </si>
  <si>
    <t>Agrés-Valencia</t>
  </si>
  <si>
    <t xml:space="preserve">C/ Jaime Miquel Cal
</t>
  </si>
  <si>
    <t>Este tiene el encato de la cercanía, se crea tal ambiente que hace que el público empatice rápidamente y se seinta partice de todo lo que ocurre en este día. Gracias a la gente que van se mantienen el la brecha intentado que no se apague la llama que se predió en 2010.</t>
  </si>
  <si>
    <t>Pops Maritims</t>
  </si>
  <si>
    <t>963-107018</t>
  </si>
  <si>
    <t>pro21cultural.com</t>
  </si>
  <si>
    <t>Pro21cultural / Miquel Marin Argente</t>
  </si>
  <si>
    <t>Un festival de pequeño formato que pretende complementar la programación de la ciudad, y en concreto la de los Poblados Marítimos, con propuestas musicales de alta calidad para todos los públicos. ¿Por qué acudir? Por bienestar.</t>
  </si>
  <si>
    <t>Pop / Indie Rock / Contemporánea / Indie Pop / Música Electrónica / DanceTechno / Jazz / Punk / Folk / Reggaeton / Trap</t>
  </si>
  <si>
    <t>963-107315</t>
  </si>
  <si>
    <t>Porta Ferrada</t>
  </si>
  <si>
    <t>www.portaferrada.cat</t>
  </si>
  <si>
    <t>Gerona</t>
  </si>
  <si>
    <t>Sant Feliu de Guíxols. Girona</t>
  </si>
  <si>
    <t>The Project Music Company</t>
  </si>
  <si>
    <t>El festival con solera del verano y artistas indiscutibles.</t>
  </si>
  <si>
    <t>10-07-2021
 - 
14-08-2021</t>
  </si>
  <si>
    <t>58.0</t>
  </si>
  <si>
    <t>Porta Ferrada Festival</t>
  </si>
  <si>
    <t>theproject@theproject.es / artistas@theproject.es</t>
  </si>
  <si>
    <t>http://www.festivalportaferrada.cat/</t>
  </si>
  <si>
    <t>Sant Feliu de Guíxols - Girona</t>
  </si>
  <si>
    <t>Sant Feliu de Guíxols</t>
  </si>
  <si>
    <t>Organizadores: The Project</t>
  </si>
  <si>
    <t>Es el festival de verano con más tradición de Cataluña. Único en la Costa Brava por su propuesta abierta a todas las disciplinas artísticas, cuenta con la participación de nombres consolidados y talentos emergentes de la escena internacional y nacional.</t>
  </si>
  <si>
    <t xml:space="preserve">Pop / Rock / Indie Pop / Jazz / Blues / Soul / Clásica / Funk / R&amp;B / Latino                     </t>
  </si>
  <si>
    <t>Julio-Agosto de 2021</t>
  </si>
  <si>
    <t>Port Adriano Music Festival</t>
  </si>
  <si>
    <t>info@portadrianomusic.com</t>
  </si>
  <si>
    <t>portadrianomusic.com</t>
  </si>
  <si>
    <t>Calvia</t>
  </si>
  <si>
    <t>Disfrutar de grandes artistas en la increíble marina diseñada por Philippe
Starck sintiendo la brisa del mar mediterráneo. Una experiencia única en un entorno incomparable.</t>
  </si>
  <si>
    <t>21-07-2021
-
29-08-2021</t>
  </si>
  <si>
    <t>4.900</t>
  </si>
  <si>
    <t>Portal Blau</t>
  </si>
  <si>
    <t xml:space="preserve">info@portalblau.cat (Ayuntamiento) info@linkproduccions.com </t>
  </si>
  <si>
    <t>972-774848 (Ayuntamiento)            695-494926 (Link Produccions)</t>
  </si>
  <si>
    <t>http://portalblau.cat/</t>
  </si>
  <si>
    <t>L'Escala - Empuries - Girona</t>
  </si>
  <si>
    <t>Ayuntamiento de L'Escala-Empuries (Organizador)                                            Link Produccions (Dirección y Producción)</t>
  </si>
  <si>
    <t>Festival de música y las artes de la Costa Mediterránea.</t>
  </si>
  <si>
    <t>Mediterránea</t>
  </si>
  <si>
    <t>972-774284 (Ayuntamiento)</t>
  </si>
  <si>
    <t>Portamérica</t>
  </si>
  <si>
    <t>info@portamerica.es / 
kin@esmerarte.com</t>
  </si>
  <si>
    <t>www.portamerica.es</t>
  </si>
  <si>
    <t>Caldas de Reis - Pontevedra</t>
  </si>
  <si>
    <t>Caldas de Reis. Pontevedra</t>
  </si>
  <si>
    <t xml:space="preserve">Promotor: Esmerarte Industrias Creativas
</t>
  </si>
  <si>
    <t>Es nuevo modelo de festival que se distingue por ofrecer una propuesta musical que tiende lazos de unión entre Europa y Latinoamérica y por inducir a una experiencia que aúna música, naturaleza y gastronomía gallega.</t>
  </si>
  <si>
    <t>Indie Rock / Pop / Rock / Indie Pop / Música Electrónica / DanceLatino</t>
  </si>
  <si>
    <t>986-135642</t>
  </si>
  <si>
    <t>Premios Rock Villa de Madrid</t>
  </si>
  <si>
    <t>info@universimad.org</t>
  </si>
  <si>
    <t>http://premiosrockvillademadrid.universimad.org/</t>
  </si>
  <si>
    <t>Paseo de la Ermita del Santo</t>
  </si>
  <si>
    <t>El Area de las Artes del Ayuntamiento
de Madrid convoca desde hace más de
20 años</t>
  </si>
  <si>
    <t>Preparados, Listos Jazz!</t>
  </si>
  <si>
    <t>www.preparadoslistosjazz.com</t>
  </si>
  <si>
    <t>Mano Negra Producciones</t>
  </si>
  <si>
    <t>Festival de Jazz de primavera con cartel excelente y ubicación inmejorable.</t>
  </si>
  <si>
    <t>Jazz / Latin Jazz / Flamenco</t>
  </si>
  <si>
    <t>Marzo del 2021</t>
  </si>
  <si>
    <t>Pretoso Fest</t>
  </si>
  <si>
    <t>info@prestosofest.com// contratacion@prestosofest.com</t>
  </si>
  <si>
    <t>985 81 33 33</t>
  </si>
  <si>
    <t>https://prestosofest.com/</t>
  </si>
  <si>
    <t xml:space="preserve">Xédre - Cangas de Narcea </t>
  </si>
  <si>
    <t>Xedré (Cangas del Narcea)</t>
  </si>
  <si>
    <t>Promotor:Prestosas Producciones sc</t>
  </si>
  <si>
    <t>Un festival en pleno Parque Natural de las Fuentes del Narcea. Música, naturaleza y gastronomía en el paraíso natural asturiano. Un festival paradisfrutar sin prisas.</t>
  </si>
  <si>
    <t>Rock / Indie Rock / Indie Pop / Pop</t>
  </si>
  <si>
    <t>Primavera Campus</t>
  </si>
  <si>
    <t>primaveracampus2013@gmail.com</t>
  </si>
  <si>
    <t>667-327324</t>
  </si>
  <si>
    <t>https://es-es.facebook.com/primaveracampusfestival/</t>
  </si>
  <si>
    <t>Castillo Sohail</t>
  </si>
  <si>
    <t>Primavera Campus es un referente nacional en cuanto a festivales y conciertos de música latina, electrónica y comercial que se celebran en nuestro país.</t>
  </si>
  <si>
    <t>Música Electrónica / Trap / Latina</t>
  </si>
  <si>
    <t>Primavera Club</t>
  </si>
  <si>
    <t>info@primaverasound.com</t>
  </si>
  <si>
    <t>93-3010090 (Primavera Sound)</t>
  </si>
  <si>
    <t>https://www.primaveraclub.com/</t>
  </si>
  <si>
    <t>Madrid / Barcelona</t>
  </si>
  <si>
    <t>Comunidad de Madrid / Cataluña</t>
  </si>
  <si>
    <t>Varios espacios:          Madrid (Joy Eslava, Teatro Barceló, El Cielo de Barceló y Taboó) Barcelona (Sala Apolo, La (2) Apolo y Centro Cultural Albareda)</t>
  </si>
  <si>
    <t>Organiza: Primavera Sound y Baba Stiltz</t>
  </si>
  <si>
    <t xml:space="preserve">Festival donde los cabezas de cartel se crean en vivo, sobre el escenario y ante el público abierto de oídos. En total serán 39 artistas unidos en una programación diversa y exhaustiva donde todas las apuestas están abiertas. </t>
  </si>
  <si>
    <t>Independiente Internacional</t>
  </si>
  <si>
    <t>Primavera Sound - Primavera Pro</t>
  </si>
  <si>
    <t>93-3010090</t>
  </si>
  <si>
    <t>www.primaverasound.es</t>
  </si>
  <si>
    <t>Primavera Sound S.L (Promotor)</t>
  </si>
  <si>
    <t>Por su combinación entre artistas del momento, referentes de otras épocas y promesas de futuro de escenas musicales muy distintas.</t>
  </si>
  <si>
    <t>Indie / Rock alternativo / Metal / Pop / Indie Pop / Techno / Electro Disgusting / Jazz / Blues / Clásica / Funk / R&amp;B / Reggaeton / Trap / Latino / Folk / Country / K-Pop</t>
  </si>
  <si>
    <t>02-06-2021
-
06-06-2021</t>
  </si>
  <si>
    <t>2.200.000</t>
  </si>
  <si>
    <t>Primavera Trompetera Festival</t>
  </si>
  <si>
    <t>info@primaveratrompeterafestival.com contratacion@primaveratrompetera.com</t>
  </si>
  <si>
    <t>667-736122</t>
  </si>
  <si>
    <t>http://www.primaveratrompeterafestival.com/</t>
  </si>
  <si>
    <t>Jerez de la Frontera. Cádiz</t>
  </si>
  <si>
    <t>No hay mejor manera que recibir la llegada del buen tiempo y "despedirse del abrigo" en el Primavera Trompetera junto tus artistas favoritos en un enclave privilegiado y mítico como es el Circuito de Jerez. Nos vemos del 2 al 4 abril en Jerez!</t>
  </si>
  <si>
    <t>Rap / Rock / Mestizaje / Hip-Hop / Trap / Fusión</t>
  </si>
  <si>
    <t>26-03-2021
-
27-03-2021</t>
  </si>
  <si>
    <t>35.000</t>
  </si>
  <si>
    <t>Primera Persona</t>
  </si>
  <si>
    <t>info@cccb.org</t>
  </si>
  <si>
    <t>933 064 100</t>
  </si>
  <si>
    <t>http://primerapersonabcn.blogspot.com.es/</t>
  </si>
  <si>
    <t>Sala teatre</t>
  </si>
  <si>
    <t>Organiza:Centre de Cultura Comteporània de Barcelona</t>
  </si>
  <si>
    <t>Es un festival que presenta ronda de relatos de vida en el Teatro CCCB: monólogos, conciertos, lecturas y espectáculos de lo más variado</t>
  </si>
  <si>
    <t>Pulpop Festival</t>
  </si>
  <si>
    <t xml:space="preserve">info@pulpop.es </t>
  </si>
  <si>
    <t xml:space="preserve">950-338593                 </t>
  </si>
  <si>
    <t>www.pulpop.es/</t>
  </si>
  <si>
    <t xml:space="preserve">
Roquetas del Mar. Almería</t>
  </si>
  <si>
    <t>Organiza: Ayuntamiento de Roquetas De Mar</t>
  </si>
  <si>
    <t>Por disfrutar de un fin de semana de música, playa y buen tiempo.</t>
  </si>
  <si>
    <t>Indie Rock / Indie Rock / Pop</t>
  </si>
  <si>
    <t>03-07-2020
-
04-07-2020</t>
  </si>
  <si>
    <t>Punta de Estrellas Festival</t>
  </si>
  <si>
    <t>http://www.festivalpuntadeestrellas.com/</t>
  </si>
  <si>
    <t>Punta Umbría - Huelva</t>
  </si>
  <si>
    <t>Polideportivo Antonio Gil Hernández - Punta Umbría</t>
  </si>
  <si>
    <t>Es un ciclo de conciertos que se celebra en agosto en el municipio costero y turístico.</t>
  </si>
  <si>
    <t>01-10-2020</t>
  </si>
  <si>
    <t>Puro Latino Fest</t>
  </si>
  <si>
    <t>hola@purolatino.es / contratacion@purolatino.es</t>
  </si>
  <si>
    <t>purolatino.es</t>
  </si>
  <si>
    <t>El Puerto de Santamaría</t>
  </si>
  <si>
    <t>Puro Latino Festival S.L.</t>
  </si>
  <si>
    <t>Puro Latino Fest es la cita indispensable en nuestro país con el reggaeton y los ritmos tropicales más actuales. Tras consolidar su éxito en El Puerto de Santa María, Puro Latino Fest sumará también en 2021 dos entregas más en Sevilla y Córdoba.</t>
  </si>
  <si>
    <t>Reggaeton / Trap /
Rap / Urban Music</t>
  </si>
  <si>
    <t>29-07-2021
-
31-07-2021</t>
  </si>
  <si>
    <t>29.000</t>
  </si>
  <si>
    <t>Purple Weekend</t>
  </si>
  <si>
    <t>asociacion@leoncentrogotico.com</t>
  </si>
  <si>
    <t>http://www.purpleweekend.com/</t>
  </si>
  <si>
    <t>Centro León Gótico</t>
  </si>
  <si>
    <t>Pop / Sould / R&amp;B / Power Pop / Beat / Surf</t>
  </si>
  <si>
    <t>Qfestival</t>
  </si>
  <si>
    <t>qfestivalspain@gmail.com</t>
  </si>
  <si>
    <t>www.qfestival.es/</t>
  </si>
  <si>
    <t>Alzira - Valencia</t>
  </si>
  <si>
    <t>Cines Colón</t>
  </si>
  <si>
    <t>Festival que ofrece la posibilidad de que los asistentes aporten alimentos para las familias de la localidad, mas desfavorecidas. Durante los dos días se podrá disfrutar de Pop de los años 90</t>
  </si>
  <si>
    <t>Quasimoto Surf´s Up Invitational Burriforma</t>
  </si>
  <si>
    <t>quasimotoburrifornia@gmail.com</t>
  </si>
  <si>
    <t>https://www.quasimotoburrifornia.com/</t>
  </si>
  <si>
    <t>Plya Arenal, 313, 35 KM 12530 Burriana</t>
  </si>
  <si>
    <t>Promotor: Quasimoto Burrofornia</t>
  </si>
  <si>
    <t>Concentración de tabloneros amantes del surf classic de los 50s, 60s y la nueva logging generation</t>
  </si>
  <si>
    <t>Surf Instrumental</t>
  </si>
  <si>
    <t>Qurtubajazz</t>
  </si>
  <si>
    <t>http://cultura.cordoba.es/qurtubajazz/</t>
  </si>
  <si>
    <t>Sala y Jardines Orive, Conservatorio de Música Rafael Orozco, Jazz Café, Sala Modo, Teatro Góngora, Sala Hangar, Sala Golden, Filmoteca</t>
  </si>
  <si>
    <t>Festival de música Jazz que se celebra en diferentes lugares de la ciudad de Córdoba y en el que, se programan diversos conciertos, congresos, mesas redondas, foros y merdado.
Un evento en el que participan músicos, programadores, asociaciones, sellos discográficos, profesionales del sector...</t>
  </si>
  <si>
    <t>01-11-2020
-
07-11-2020</t>
  </si>
  <si>
    <t>Rabolagartija Festival</t>
  </si>
  <si>
    <t>info@rabolagartija.com</t>
  </si>
  <si>
    <t>http://www.rabolagartija.com/</t>
  </si>
  <si>
    <t>Run To The Hills S.L.</t>
  </si>
  <si>
    <t>Eclecticismo,variedad y diversión en un evento apto para todos los públicos y que apuesta por artistas de primera fila, por la música hecha por mujeres y por potenciar a las bandas de la zona.</t>
  </si>
  <si>
    <t>Reggae / Funk / Hip-Hop / Ska / Rock / Mestizaje</t>
  </si>
  <si>
    <t>12-08-2021
-
14-08-2021</t>
  </si>
  <si>
    <t>Rayo</t>
  </si>
  <si>
    <t>pportellano@gmail.com</t>
  </si>
  <si>
    <t>www.cinetecamadrid.com/secciones/
rayo-festival-de-artes-visuales-
expandidas</t>
  </si>
  <si>
    <t>Plan B</t>
  </si>
  <si>
    <t>RAYO es un festival que transita entre los campos de lo visual y lo sonoro, y sus múltiples intersecciones.</t>
  </si>
  <si>
    <t>Diferentes estilos y combinaciones con artistas visuales</t>
  </si>
  <si>
    <t>01-10-2021
-
05-10-2021</t>
  </si>
  <si>
    <t>Rebujas Rock</t>
  </si>
  <si>
    <t>http://www.rebujasrock.com/</t>
  </si>
  <si>
    <t>Organiza: Sociedad Cultural y Deportiva de Rebujas</t>
  </si>
  <si>
    <t>Rebujas Rock es  donde actuaban grupos locales de rock mezclados con grupos de música tradicional y al que ya acudían unas 600 personas. Desde entonces ha pasado a ser un festival de referencia a nivel nacional al que acuden más de 12.000 personas y que mantiene la identidad de los inicios y con ella la entrada es gratuita y acampada libre.</t>
  </si>
  <si>
    <t>Reggaeton Beach Festival Barcelona</t>
  </si>
  <si>
    <t>info@reggaetonbeachfestival.com info@dqualitygroup.com</t>
  </si>
  <si>
    <t>678-261754                   603-789191</t>
  </si>
  <si>
    <t>www.reggaetonbeachfestival.com</t>
  </si>
  <si>
    <t>Badalona - Barcelona</t>
  </si>
  <si>
    <t>Cylop 2014 S.L.</t>
  </si>
  <si>
    <t>Nos encanta conocer mundo, somos multiculturales pero nos gusta comprometernos con la ciudad y con el pueblo al que visitamos. Amamos la tolerancia por encima de todo y la música, ¡ por eso somos RFB!</t>
  </si>
  <si>
    <t>Reggaeton</t>
  </si>
  <si>
    <t>24-07-2021
-
25-07-2021</t>
  </si>
  <si>
    <t>Reload Fest</t>
  </si>
  <si>
    <t>indiesproposito@outlook.es</t>
  </si>
  <si>
    <t>www.facebook.com/reloadfestmadrid</t>
  </si>
  <si>
    <t xml:space="preserve"> Café La Palma </t>
  </si>
  <si>
    <t xml:space="preserve"> Indiespropósito </t>
  </si>
  <si>
    <t>Se presenta como el patito feo de los festivales. Frente al crecimiento abrumador de festivales en el panorama nacional, Reload quiere recuperar la esencia de la música, la intimidad músico-público, la sencillez y la humildad.</t>
  </si>
  <si>
    <t>Reperkusión</t>
  </si>
  <si>
    <t xml:space="preserve"> comunicacion@reperkusion.com  artistas@reperkusion.com</t>
  </si>
  <si>
    <t>http://www.reperkusion.com/index.php/es/</t>
  </si>
  <si>
    <t>Organiza: Fankani producions</t>
  </si>
  <si>
    <t>Festival Reperkusión,  dos días seguidos de música ininterrumpida y cargados de mestizaje, con grupos de todos los estilos y orígenes , el festival lo que busca es ser original, haciendo cosas que no existan en ninguno otro festival.</t>
  </si>
  <si>
    <t>Resurrection Fest Estrella Galicia</t>
  </si>
  <si>
    <t>contact@resurrectionfest.es</t>
  </si>
  <si>
    <t>www.resurrectionfest.es/</t>
  </si>
  <si>
    <t>Viveiro - Lugo</t>
  </si>
  <si>
    <t>Viveiro - Lugro</t>
  </si>
  <si>
    <t>Promotor: Bring The Noise</t>
  </si>
  <si>
    <t>Mayor festival de Hardcore/Punk y Metal de toda la península. Mantiene una de las mejores relaciones calidad/precio entre todos los festivales europeos. Desde 2010 dura 3 días. Porque más que un festival es una experiencia.</t>
  </si>
  <si>
    <t>Metal / Punk / Rock / Ska / Folk</t>
  </si>
  <si>
    <t>02-07-2021
-
05-07-2021</t>
  </si>
  <si>
    <t>102.500</t>
  </si>
  <si>
    <t>Revenidas</t>
  </si>
  <si>
    <t xml:space="preserve">info@revenidas.com </t>
  </si>
  <si>
    <t>645-842160</t>
  </si>
  <si>
    <t>http://www.revenidas.com/</t>
  </si>
  <si>
    <t>Vilaxoan de Arousa</t>
  </si>
  <si>
    <t>Xoan Quintáns</t>
  </si>
  <si>
    <t>Es un evento único, vinculado a las tradiciones y a la cultura marinera de la zona en la que se celebra que  combina a la perfeccion actividades pensadas para todos lod públicos, conciertos marítimos, programación musical internacional…</t>
  </si>
  <si>
    <t>Rock / Reggae / Hip-Hop / Punk / Ska / Rap</t>
  </si>
  <si>
    <t>10-09-2021
-
12-09-2021</t>
  </si>
  <si>
    <t>9.500</t>
  </si>
  <si>
    <t>Rias Baixas Fest</t>
  </si>
  <si>
    <t>30-07-2020
 - 
01-08-2020</t>
  </si>
  <si>
    <t>Ribeira Sacra</t>
  </si>
  <si>
    <t>615-098921</t>
  </si>
  <si>
    <t>https://17ribeirasacra.com/es/home-2/</t>
  </si>
  <si>
    <t>Sober y Monforte de Lemos - Lugo</t>
  </si>
  <si>
    <t>Varios espacios de La Ribeira Sacra</t>
  </si>
  <si>
    <t>Organiza: I-radia crea</t>
  </si>
  <si>
    <t>Un evento donde además de poder escuchar música en directo, también se podrá disfrutar del vino, la gastronomía local y, en definitiva, del patrimonio natural de la zona . Esos son los cuatro ejes de un festival que propone una experiencia alrededor de la música en directo, del vino, en una zona de excelencia vitivinícola, y del patrimonio natural y cultural de la Ribeira Sacra.</t>
  </si>
  <si>
    <t>30-07-2020
-
02-08-2020</t>
  </si>
  <si>
    <t>Ribera Sound</t>
  </si>
  <si>
    <t>soporte@burcor.net</t>
  </si>
  <si>
    <t>www.riberasound.com</t>
  </si>
  <si>
    <t>Ribera Sound nace como un proyecto que pretende acercar a la población al panorama musical, artistas de primer nivel harán disfrutar tanto a jóvenes como a mayores en un festival sin precedentes
que pretende ser algo rompedor en Navarra.</t>
  </si>
  <si>
    <t>Pop Rock / Indie Rock</t>
  </si>
  <si>
    <t>Río Babel Festival</t>
  </si>
  <si>
    <t>isabel@sonde3.com / hola@festeivalriobabel.com</t>
  </si>
  <si>
    <t>91-0145480 649-112324 (Germán) 658-759814 (Isabel-contratacion) 609-457414 (Daniel-produccion)</t>
  </si>
  <si>
    <t>http://festivalriobabel.com/</t>
  </si>
  <si>
    <t>IFEMA Madrid</t>
  </si>
  <si>
    <t>Sonde3 Producciones - Germán Quimasó Sevillano(Promotor)</t>
  </si>
  <si>
    <t>Festival muy divertido y eléctrico que refrescará las noches de Madrid</t>
  </si>
  <si>
    <t>Melting Pot</t>
  </si>
  <si>
    <t>01-07-2021
 - 
03-07-2021</t>
  </si>
  <si>
    <t>Rivas Rock Festival</t>
  </si>
  <si>
    <t>cristobal@bolanueve.com</t>
  </si>
  <si>
    <t>91-4771080</t>
  </si>
  <si>
    <t>www.rivasrock.com</t>
  </si>
  <si>
    <t>Auditorio Miguel Rios. Rivas Vaciamadrid</t>
  </si>
  <si>
    <t>Bola 9</t>
  </si>
  <si>
    <t>Se celebra dentro de las fiestas patronales de la localidad madrileña en el que participan diversos grupos importantes de rock</t>
  </si>
  <si>
    <t>Hard Rock / Rock / Heavy Metal</t>
  </si>
  <si>
    <t>16-05-2020</t>
  </si>
  <si>
    <t>River Sound Festival</t>
  </si>
  <si>
    <t>info@riversoundfestival.com info@feriaslanzuela.com</t>
  </si>
  <si>
    <t>976-311691                 976-402511                 616-466246</t>
  </si>
  <si>
    <t>www.reloadfest.com</t>
  </si>
  <si>
    <t>Poeta Luciano Gracia. Parking Norte - Zaragoza</t>
  </si>
  <si>
    <t>Festival de diez días de duración, que tendrá lugar en las Fiestas del Pilar.</t>
  </si>
  <si>
    <t>Pop / Canción de autor / Rock / Indie / Rumba</t>
  </si>
  <si>
    <t>Riverland</t>
  </si>
  <si>
    <t>riverlandfestivaloficial@gmail.com</t>
  </si>
  <si>
    <t>www.riverlandfestival.es</t>
  </si>
  <si>
    <t>Arriondas. Asturias</t>
  </si>
  <si>
    <t>El protagonista eres tú. El festival combina actividades de todo tipo y conciertos de primer nivel en música urbana, pop, rock, espectáculos que se pueden ver desde un globo aerostático o una noria.</t>
  </si>
  <si>
    <t>Rock en la Bodega</t>
  </si>
  <si>
    <t>info@farashaproducciones.net</t>
  </si>
  <si>
    <t>www.facebook,com/bodega-rockfest</t>
  </si>
  <si>
    <t>Moriles-Córdoba</t>
  </si>
  <si>
    <t>Promotor: Farasha Producciones</t>
  </si>
  <si>
    <t>Rock en la Feria</t>
  </si>
  <si>
    <t>gvega@mouroproducciones.com</t>
  </si>
  <si>
    <t>http://rockenlaferia.com/</t>
  </si>
  <si>
    <t xml:space="preserve">Festival de música con los principales representantes del rock nacional.
</t>
  </si>
  <si>
    <t>Rock Fest Barcelona</t>
  </si>
  <si>
    <t>info@rockfestbarcelona.com
info@rocknrock.com
ramonskyline@hotmail.com</t>
  </si>
  <si>
    <t>Ramón: 91-6925343, 659-870704</t>
  </si>
  <si>
    <t>www.rockfestbarcelona.com/</t>
  </si>
  <si>
    <t>Santa Coloma de Gramanet - Barcelona</t>
  </si>
  <si>
    <t>El Parc de Can Zam, Santa Coloma de Garamet</t>
  </si>
  <si>
    <t>Bussiness Music
Ramón del Precinto</t>
  </si>
  <si>
    <t>Festival de Rock y Heavy Metal que se celebra en el Parc de Can Zam, muy cerca del centro de Barcelona.</t>
  </si>
  <si>
    <t>Rock in Río Tea</t>
  </si>
  <si>
    <t>info@ponteareas.es</t>
  </si>
  <si>
    <t>986-640000 986-640001 (Concello)</t>
  </si>
  <si>
    <t>http://www.rockinriotea.com/</t>
  </si>
  <si>
    <t>Ponteareas - Pontevedra</t>
  </si>
  <si>
    <t>Parque da Feira Vella. C/ Benavides</t>
  </si>
  <si>
    <t>Asociación Falcón y Concello de Ponteareas (Organizadores)</t>
  </si>
  <si>
    <t>El Rock in Río Tea es ya unos de los festivales de rock and roll de referencia en la comunidad gallega y eso exige traer bandas ya consagradas.</t>
  </si>
  <si>
    <t>Rock &amp; Roll</t>
  </si>
  <si>
    <t>Rock The Coast</t>
  </si>
  <si>
    <t>info@rockthecoastfestival.es</t>
  </si>
  <si>
    <t>www.rockthecoastfestival.es</t>
  </si>
  <si>
    <t>Fuengirola. Málaga</t>
  </si>
  <si>
    <t>MADNESS Live S.L.U.</t>
  </si>
  <si>
    <t>Playa a escasos metros del recinto, sol y ambiente agradable. Formato cómodo para los asistentes, gradas.</t>
  </si>
  <si>
    <t>26-06-2020
-
27-06-2020</t>
  </si>
  <si>
    <t>Rockafalles</t>
  </si>
  <si>
    <t>info@meskerock.com</t>
  </si>
  <si>
    <t>660-063039</t>
  </si>
  <si>
    <t>http://2018.festivalraf.com/</t>
  </si>
  <si>
    <t>Paterna</t>
  </si>
  <si>
    <t>Parque Central</t>
  </si>
  <si>
    <t>Meskerock Cultural</t>
  </si>
  <si>
    <t>Rockefort Festival</t>
  </si>
  <si>
    <t>angelvallekas@avallekasproducciones.com</t>
  </si>
  <si>
    <t>https://es-es.facebook.com/rockefortfestival/</t>
  </si>
  <si>
    <t>Nuevo festival de Rock, que tiene lugar en el corazón de Extremadura</t>
  </si>
  <si>
    <t>Rockin' Carballo Festival</t>
  </si>
  <si>
    <t>www.carballo.org</t>
  </si>
  <si>
    <t>Festival gratuito por el que pasan las caras B de los festivales penínsulares con buenas propuestas tanto nacionales como internacionales ligadas al Rock' N' Roll en todas sus vertientes.</t>
  </si>
  <si>
    <t>Por determinar Junio 2021</t>
  </si>
  <si>
    <t>Rockin'Race Jamboree</t>
  </si>
  <si>
    <t>guille@rockinrace.com</t>
  </si>
  <si>
    <t>952-218603</t>
  </si>
  <si>
    <t>www.rockinrace.com/</t>
  </si>
  <si>
    <t>Torremolinos</t>
  </si>
  <si>
    <t>Palacio de Congresos de Torremolinos. Apartamentos Buensol
Málaga</t>
  </si>
  <si>
    <t>Sleazy Records. Guillermo</t>
  </si>
  <si>
    <t>La Rockin'Race Jamboree es un
evento que se caracteriza por su estilo,
dedicado a los 50's Rockabilly</t>
  </si>
  <si>
    <t xml:space="preserve">04-02-2021
-
07-02-2021 </t>
  </si>
  <si>
    <t>Rockland El Naturalista fest</t>
  </si>
  <si>
    <t>sergio@promocionesiregua.es</t>
  </si>
  <si>
    <t>www.rocklandfest.es</t>
  </si>
  <si>
    <t>Santo Domingo de la Calzada</t>
  </si>
  <si>
    <t>Promociones Musicales Iregua</t>
  </si>
  <si>
    <t>RockLand El Naturalista Fest, Festival de música y vanguardia en Santo Domingo de la Calzada. 16, 17 y 18 de Julio de 2021.</t>
  </si>
  <si>
    <t>Rock / Pop Rock</t>
  </si>
  <si>
    <t>Rockossa Festival</t>
  </si>
  <si>
    <t>rockossafestival@gmail.com</t>
  </si>
  <si>
    <t>https://es-es.facebook.com/RockOssaFestival/</t>
  </si>
  <si>
    <t>Recinto de "Las Escuelas"            Av Príncipe de Asturias, 25
02611 Ossa de Montiel</t>
  </si>
  <si>
    <t>Asociación músico cultural Festival Altermativo</t>
  </si>
  <si>
    <t>RockOssa nace para posicionar a Ossa de Montiel como destino turístico, con el festival como unas de las principales atracciones. El festival se consolida así como un escaparate para las bandas nacionales y un punto de encuentro para todos los aficionados a la música rock. Se pretende también dar a conocer este bello municipio enclavado en el parque natural de las Lagunas de Ruidera, en plena Ruta del Quijote.</t>
  </si>
  <si>
    <t xml:space="preserve">Rock / Metal / Punk / Hip-Hop / Rap / Ska            </t>
  </si>
  <si>
    <t>Romo Regae Festival</t>
  </si>
  <si>
    <t>romoreaggaefestival@gmail.com</t>
  </si>
  <si>
    <t>www.facebook.com/ RomoReggaeFestival</t>
  </si>
  <si>
    <t>Getxo - Bizkaia</t>
  </si>
  <si>
    <t>Romo (Gexto). Bizakaia</t>
  </si>
  <si>
    <t>Erromo Jai Batzordea</t>
  </si>
  <si>
    <t>Festival de acceso gratuito con buen ambiente, bien comunicado y con un elenco de artistas dentro del género no muy habituales en la zona.</t>
  </si>
  <si>
    <t>Roots Reggae / 
Ska / Dancehall /
Dub / Nuh Roots /
Jungle</t>
  </si>
  <si>
    <t>Ron Barceló Desalia</t>
  </si>
  <si>
    <t>Crucero durante una semana por Málaga / Alicante / Mallorca e Ibiza</t>
  </si>
  <si>
    <t>Andalucía / Comunidad Valenciana / Islas Baleares</t>
  </si>
  <si>
    <t>Crucero por la costa</t>
  </si>
  <si>
    <t>Room Music Festival</t>
  </si>
  <si>
    <t xml:space="preserve">
info@clippersmusic.org </t>
  </si>
  <si>
    <t>http://roomfestival.com/</t>
  </si>
  <si>
    <t>Sala Razzmatazz (Barcelona)                   Sala La Riviera (Madrid)</t>
  </si>
  <si>
    <t>Es un ciclo de conciertos con una programación musical estable en la mítica sala barcelonesa Razzmatazz y La Riviera en Madrid.</t>
  </si>
  <si>
    <t>93-2400521</t>
  </si>
  <si>
    <t>Rototom Sunsplash</t>
  </si>
  <si>
    <t>rototom@rototom.com / booking@rototom.com</t>
  </si>
  <si>
    <t>964-305220</t>
  </si>
  <si>
    <t>https://rototomsunsplash.com</t>
  </si>
  <si>
    <t>Benicassim - Castellón</t>
  </si>
  <si>
    <t>C/ Mossen Elises, 14 
12560 Benicassim - Castellón</t>
  </si>
  <si>
    <t>Rototom S.L.</t>
  </si>
  <si>
    <t>Uno de los festivales más grandes del mundo de música Reggae. Conjuga la música y sus contenidos culturales aunando en los espectáculos en vivo.</t>
  </si>
  <si>
    <t xml:space="preserve">Reggae / Dub /
Dance Hall / Ska /
Afro        </t>
  </si>
  <si>
    <t>16-08-2021
-
22-08-2021</t>
  </si>
  <si>
    <t>204.000</t>
  </si>
  <si>
    <t>964-780120</t>
  </si>
  <si>
    <t>Royal Summer Festival</t>
  </si>
  <si>
    <t>info@royalsummerfestival.es // franciscovf@valenzuelaevents.es</t>
  </si>
  <si>
    <t>www.royalsummerfestival.es</t>
  </si>
  <si>
    <t>Arcos de la Frontera. Cádiz</t>
  </si>
  <si>
    <t>Francisco Javier Valenzuela Fernández</t>
  </si>
  <si>
    <t>Somos un festival único en la Sierra de Cádiz, creado por un grupo de amigos de 20 años, que tenemos la intención de crecer organizando los mejores festivales.</t>
  </si>
  <si>
    <t>Música Urbana / Música electrónica</t>
  </si>
  <si>
    <t>Ruidismo</t>
  </si>
  <si>
    <t xml:space="preserve"> info@ruidismo.com</t>
  </si>
  <si>
    <t>http://www.ruidismo.com/</t>
  </si>
  <si>
    <t>Bullas-Murcia</t>
  </si>
  <si>
    <t xml:space="preserve">Bullas,
Murcia </t>
  </si>
  <si>
    <t>Promotor: Bullas Noise Pop</t>
  </si>
  <si>
    <t>Festival familiar que se celebra el día central de las fiestas patronales de nuestra localidad, los 5 escenarios en puntos distintos del pueblo y en un radio de 500 m.</t>
  </si>
  <si>
    <t>Indie Rock / Indie Pop / Pop / Electrónico / Dance</t>
  </si>
  <si>
    <t>Salinas Longboard Festival</t>
  </si>
  <si>
    <t>roalba@telecable.es</t>
  </si>
  <si>
    <t>www.festivalsalinascompeticion.com</t>
  </si>
  <si>
    <t>Salinas</t>
  </si>
  <si>
    <t>Pepe Hevia (Promotor)</t>
  </si>
  <si>
    <t xml:space="preserve">Un proyecto que reune dos partes diferenciadas pero absolutamente compatibles: la deportiva, con el campeonato de longboard, y la musical, compuesta por conciertos y diversas actividades de ocio. </t>
  </si>
  <si>
    <t>22-06-2020
 -
26-06-2020</t>
  </si>
  <si>
    <t>SanSan Festival</t>
  </si>
  <si>
    <t>hola@sansanfestival.com // german@sonde3.com</t>
  </si>
  <si>
    <t>91-1735812</t>
  </si>
  <si>
    <t>http://www.sansanfestival.com/</t>
  </si>
  <si>
    <t xml:space="preserve"> Benicàssim, Castelló.</t>
  </si>
  <si>
    <t>Promotor: Sonde3 Producciones</t>
  </si>
  <si>
    <t>¿Por qué acudir? Porque serán las mejores vacaciones de Semana Santa de tu vida.</t>
  </si>
  <si>
    <t xml:space="preserve">Indie Rock / Indie Pop          </t>
  </si>
  <si>
    <t>Semana Santa del 2021</t>
  </si>
  <si>
    <t>24.866</t>
  </si>
  <si>
    <t>Santander Music</t>
  </si>
  <si>
    <t>administracion@santandermusic.es</t>
  </si>
  <si>
    <t>622-050245</t>
  </si>
  <si>
    <t>www.santandermusic.es</t>
  </si>
  <si>
    <t>Organiza: Santander Live Producciones</t>
  </si>
  <si>
    <t>Es uno de los festivales de referencia en el norte de España. Santander Music es mucho más que un encuentro musical, paulatinamente se ha ido convirtiendo en un agente percusor de la industria cultural en la ciudad de Santander. Ademá de un generador de sinergias y activador ecómico de la ciudad.</t>
  </si>
  <si>
    <t>Pop / Rock / Indie Rock / Pop / Electrónica / DanceHip-Hop / Rap / Trap</t>
  </si>
  <si>
    <t>06-08-2020
-
08-08-2020</t>
  </si>
  <si>
    <t xml:space="preserve">Santaspascuas </t>
  </si>
  <si>
    <t>info@santaspascuas.com</t>
  </si>
  <si>
    <t>948-077397 (Gradual Event)</t>
  </si>
  <si>
    <t>http://www.santaspascuas.com/</t>
  </si>
  <si>
    <t xml:space="preserve">Organiza: Asociación Santas Pascuas </t>
  </si>
  <si>
    <t>Un festival de música que transcurre dentro del marco de la Navidad entre las fechas del 25 de dicembre y el 6 de enero en diferentes salas, bares y auditorios de la ciudad.</t>
  </si>
  <si>
    <t>24-10-2020</t>
  </si>
  <si>
    <t>Say it Loud Barcelona</t>
  </si>
  <si>
    <t>info@sayitloud.cat</t>
  </si>
  <si>
    <t>Quesoni Cooperativa: 626-824345              667-338594</t>
  </si>
  <si>
    <t>http://www.sayitloud.cat/</t>
  </si>
  <si>
    <t>Quesoni Cooperativa (Promotor)</t>
  </si>
  <si>
    <t>El lema del Festival, la música como misión no competición.</t>
  </si>
  <si>
    <t>20-11-2020
-
22-11-2020</t>
  </si>
  <si>
    <t>500 - 600</t>
  </si>
  <si>
    <t>Screamin Festival</t>
  </si>
  <si>
    <t>screaminsummer@gmail.com</t>
  </si>
  <si>
    <t>93-7629849</t>
  </si>
  <si>
    <t>http://www.screaminfestival.com/</t>
  </si>
  <si>
    <t>Calella - Barcelona</t>
  </si>
  <si>
    <t>Screamin’ Festival                           BOX 220                                        Pineda 08397</t>
  </si>
  <si>
    <t xml:space="preserve">
Carlos Diaz -
El Toro Records</t>
  </si>
  <si>
    <t>Festival de música Rockabilly que se celebra hace más de 20 años cerca de Barcelona</t>
  </si>
  <si>
    <t>Rock / Blues / Soul / Country / Rockabilly</t>
  </si>
  <si>
    <t>09-06-2021
-
13-06-2021</t>
  </si>
  <si>
    <t>Sea Sons Festival</t>
  </si>
  <si>
    <t>info@seasonfestival.es</t>
  </si>
  <si>
    <t>www.seasonsfestival.es</t>
  </si>
  <si>
    <t> Buljarica Beach, Montenegro</t>
  </si>
  <si>
    <t>Promotor: Asociación Cultural Tres Por Cuatro</t>
  </si>
  <si>
    <t>Eclético</t>
  </si>
  <si>
    <t>Senderos de Música</t>
  </si>
  <si>
    <t>www.musicaesamor.com</t>
  </si>
  <si>
    <t>Higuera de la Sierra - Huelva</t>
  </si>
  <si>
    <t>Sierra de Aracena y Picos de Aroche</t>
  </si>
  <si>
    <t>Música y naturaleza en la Sierra de Aracena y los Picos de Aroche.</t>
  </si>
  <si>
    <t>Serie Z Festival</t>
  </si>
  <si>
    <t>retornoalaescenadelcrimen@gmail.com</t>
  </si>
  <si>
    <t>https://www.facebook.com/SerieZFestival/timeline?ref=page_internal</t>
  </si>
  <si>
    <t>Setembro</t>
  </si>
  <si>
    <t>info@udra.gal</t>
  </si>
  <si>
    <t>www.facebook.com/setembrofest</t>
  </si>
  <si>
    <t>Ferrol - Vigo</t>
  </si>
  <si>
    <t>Parque Reina Sofía - Ferrol</t>
  </si>
  <si>
    <t>Ayuntamiento de Mocidade y Universidad del Ayuntamiento de Ferrol (Promotores)                                                 Ferror Records (Organizador)                      Wanna Management (Producción)</t>
  </si>
  <si>
    <t>Festival de grupos dentro de los estilos de música indie, pop y rock . El acceso es totalmente gratuito. Este es el cierre de las fiestas de la comarca.</t>
  </si>
  <si>
    <t>Indie / Rock / Música Electrónica</t>
  </si>
  <si>
    <t>Sevilla Urbano</t>
  </si>
  <si>
    <t>angelvallekas@avallekasproducciones.com francis@musicaesamor.com</t>
  </si>
  <si>
    <t>607-292925 (Ángel)  95-4421996              630-027939 (Francis)</t>
  </si>
  <si>
    <t>https://www.juntadeandalucia.es/cultura/agendaandaluciatucultura/evento/sevilla-urbano-festival</t>
  </si>
  <si>
    <t>Patio del Ombú del Centro Andaluz de Arte Contemporáneo (Avda. Américo Vespucio 2)</t>
  </si>
  <si>
    <t>A Vallekas Producciones Musicales. Ángel Romero (Promotor)                      Música es Amor - Francis Cuberos (Comunicación)</t>
  </si>
  <si>
    <t xml:space="preserve">Festival musical en homenaje exclusivo a los movimientos pioneros del rock que se surgieron en nuestro país entre 1975 y 1985. Artistas que siguen estando en candelero y que son  reconocidos como patriarcas de gran parte de los estilos alternativos de la música joven actual.. 
Se trata, pues, de un gran tributo a tres movimientos originarios del rock urbano español: el rock andaluz, el rock con compromiso social y el rock clásico interpretado en español.
</t>
  </si>
  <si>
    <t>Share Festival</t>
  </si>
  <si>
    <t>www.sharefestival.org</t>
  </si>
  <si>
    <t>Evento Xtra</t>
  </si>
  <si>
    <t>Festival urbano que se caracteriza por la solidaridad y las acciones para ayudar a ONGs como ACNUR, OpenArms, Médicos sin Fronteras...</t>
  </si>
  <si>
    <t>Urbano / Pop</t>
  </si>
  <si>
    <t>She's the Fest</t>
  </si>
  <si>
    <t>info@shesthefest.com info@absolutebeginners.es</t>
  </si>
  <si>
    <t>http://shesthefest.com/</t>
  </si>
  <si>
    <t>Centro Cultural La Rambleta</t>
  </si>
  <si>
    <t>Absolute Beginners (Promotor)</t>
  </si>
  <si>
    <t>es un festival de música y creación artística que potencia y divulga el talento femenino en la escena musical nacional e internacional contemporánea así como en otras disciplinas artísticas.</t>
  </si>
  <si>
    <t>Shikillo Festival</t>
  </si>
  <si>
    <t>infoshikillo@gmail.com</t>
  </si>
  <si>
    <t>616-261199</t>
  </si>
  <si>
    <t>http://shikillofestival.com</t>
  </si>
  <si>
    <t xml:space="preserve">Candeleda (Sierra de Gredos) - Ávila </t>
  </si>
  <si>
    <t>Campo de Fútbol Municipal "El Llano" - Candeleda</t>
  </si>
  <si>
    <t>Sonmusic (Organizador)</t>
  </si>
  <si>
    <t>Festival con la Sierra de Gredos como paisaje de fondo y con las actuaciones de los grupos mas conocidos</t>
  </si>
  <si>
    <t>31-07-2020
-
01-08-2020</t>
  </si>
  <si>
    <t>Sierra Nevada por todo lo alto</t>
  </si>
  <si>
    <t>958 70 80 90 </t>
  </si>
  <si>
    <t>www.sierranevada.es</t>
  </si>
  <si>
    <t>Sierra Nevada - Granada</t>
  </si>
  <si>
    <t>Pradollano - Sierra Nevada</t>
  </si>
  <si>
    <t>Promotor: Cetursa-Sierra Nevada</t>
  </si>
  <si>
    <t>Festival de pop rock Sierra Nevada por todo lo alto. Durante 2 noches conciertos gratuitos a 2.100 metros de altitud, en la plaza de Andalucía de Pradollano.</t>
  </si>
  <si>
    <t>Inde Rock/ Rock</t>
  </si>
  <si>
    <t>Sihiro Music Fest</t>
  </si>
  <si>
    <t>sihiromusicfest@gmail.com</t>
  </si>
  <si>
    <t>Vigo - Pontevedra</t>
  </si>
  <si>
    <t>Vigo</t>
  </si>
  <si>
    <t>Sihiro Music</t>
  </si>
  <si>
    <t>Festival de música y otras ramas artísticas. En 2021 enfocado a la música urbana.</t>
  </si>
  <si>
    <t>Transición de
Metal a Música
Urbana</t>
  </si>
  <si>
    <t>Marzo de 2021</t>
  </si>
  <si>
    <t>Silfest Valdeorras</t>
  </si>
  <si>
    <t>info@silfestvaldeorras.com / comunicacion@silfestvaldeorras.com</t>
  </si>
  <si>
    <t>www.silfestvaldeorras.com</t>
  </si>
  <si>
    <t>O Barco de Valdeorras</t>
  </si>
  <si>
    <t>Asociación Cultural SilFest</t>
  </si>
  <si>
    <t>Es un festival multicultural en un entorno espectacular en el que fusionamos música, vino, gastronomía, poesía, cine y actividades en la naturaleza.</t>
  </si>
  <si>
    <t>Rock / Indie Rock / Pop / Mestizaje</t>
  </si>
  <si>
    <t>22-07-2021
-
24-07-2021</t>
  </si>
  <si>
    <t>Sinsal Son Estrella Galicia Festival</t>
  </si>
  <si>
    <t>info@sinsalaudio.es</t>
  </si>
  <si>
    <t xml:space="preserve">Luis: 695-799592
Julio: 619-637211 </t>
  </si>
  <si>
    <t>http://festival.sins.al/es/</t>
  </si>
  <si>
    <t>Isla de San Simón - Pontevedra Redondela - Ría de Vigo</t>
  </si>
  <si>
    <t>Isla de San Simón</t>
  </si>
  <si>
    <t>Sinsalaudio</t>
  </si>
  <si>
    <t>Festival que se celebra en la isla gallega y al que solo se puede acceder a través de los barcos proporcionados por la organización. La capacidad es muy limitada, por lo que solo unos privilegiados pueden disfrutar de este evento. El cartel de artistas es secreto y solo se revela una vez llegado a la isla.</t>
  </si>
  <si>
    <t>Rock / Indie Rock / Pop / Indie Pop / Electrónica / DanceJazz / Blues / Soul / Clásica / Funk / R&amp;B / Hip- Hop /Rap / Folk / Wold Music</t>
  </si>
  <si>
    <t>Slap Festival</t>
  </si>
  <si>
    <t>victor@desafinadoproducciones.com</t>
  </si>
  <si>
    <t>657-864427</t>
  </si>
  <si>
    <t>http://www.slapfestival.com/</t>
  </si>
  <si>
    <t>Víctor Domínguez - Desafinado Producciones</t>
  </si>
  <si>
    <t>Todos lo géneros y subgéneros de la música negra mezclados en una inquietante y vibrante coctelera.</t>
  </si>
  <si>
    <t>Música Negra</t>
  </si>
  <si>
    <t>3.600</t>
  </si>
  <si>
    <t>Smooth Hot Jazz Festival</t>
  </si>
  <si>
    <t>hello@smoothhotjazzfest.com hola@smoothhotjazzfest.com</t>
  </si>
  <si>
    <t>http://smoothhotjazzfest.com/es/</t>
  </si>
  <si>
    <t>Teatro de la Luz Philips (Gran Vía 66)</t>
  </si>
  <si>
    <t>Promotor: Trisque S.L</t>
  </si>
  <si>
    <t>Una música brillante, emocionante, armónica y rítmica. Aquí podrás ver algunos de los artistas más significantes y relevantes del momento actual. Aprovecha además para pasarlo bien con otras grandes cosas que Madrid ofrece, lugares, rincones espectaculares, etc.</t>
  </si>
  <si>
    <t>Somos Estrellas Festival</t>
  </si>
  <si>
    <t>festivalsomosestrellas@gmail.com</t>
  </si>
  <si>
    <t>http://somosestrellas.es/</t>
  </si>
  <si>
    <t>Cumbre del Monte San Lorenzo</t>
  </si>
  <si>
    <t>Un proyecto que trata de impulsar el valor de nuestro territorio y de llevar la cultura a espacios no convencionales y privilegiados, teniendo además como eje principal el respeto y cuidado medioambiental. Música en directo combinada con la naturaleza, un momento único en el que disfrutar de un concierto mientras podemos ver la lluvia de estrellas.</t>
  </si>
  <si>
    <t>Son Estrella Galicia Posidonia</t>
  </si>
  <si>
    <t>info@sinsalaudio.org</t>
  </si>
  <si>
    <t>https://estrellagalicia.es/son/festivales/posidonia/</t>
  </si>
  <si>
    <t>Formentera</t>
  </si>
  <si>
    <t>Varias salas</t>
  </si>
  <si>
    <t>Sinsalaudio S.L</t>
  </si>
  <si>
    <t>Es una apuesta por la música independiente en la que encajan diversos estilos siempre vistos desde una perspectiva de vanguardia aunque con un respeto total por los clásicos que han ido dando nombre a este género.</t>
  </si>
  <si>
    <t xml:space="preserve">
09-10-2020
 - 
11-10-2020</t>
  </si>
  <si>
    <t>Sónar. Festival Internacional de Música 
Avanzada y Arte Multimedia de Bcn</t>
  </si>
  <si>
    <t>sonar@sonar.es</t>
  </si>
  <si>
    <t>93-3208163</t>
  </si>
  <si>
    <t>www.sonar.es</t>
  </si>
  <si>
    <t>Sónar de día: Fira Montjuic (dentro Parque Montjuic).
Sóna de noche: Fira Gran Vía - L'Hospitalet de Llobregat</t>
  </si>
  <si>
    <t>Avanced Music S.L (Promotor)</t>
  </si>
  <si>
    <t>Festival pionero y único en su formato: combina lo lúdico con los artístico. 
Tres días de música avanzada y arte
multimedia de Barcelona</t>
  </si>
  <si>
    <t>Electrónica / Dance / Techno / Hip-Hop / Rap</t>
  </si>
  <si>
    <t>126.000</t>
  </si>
  <si>
    <t>Sonidos líquidos</t>
  </si>
  <si>
    <t>info@sonidosliquidos.com // booking@sonidosliquidos.com</t>
  </si>
  <si>
    <t>928-521048</t>
  </si>
  <si>
    <t>http://www.sonidosliquidos.com/</t>
  </si>
  <si>
    <t>Lanzarote</t>
  </si>
  <si>
    <t>Lanzarote. Las Palmas</t>
  </si>
  <si>
    <t>Promotor: Arenao C&amp;M</t>
  </si>
  <si>
    <t>Un festival que se desarrolla en bodegas centenarias en medio de los volcanes de Lanzarote en un entorno único en el mundo (La Geria, considerada como una obra de arte por el MOMA de Nueva York), y con la sostenibilidad y medio ambiente como bandera.</t>
  </si>
  <si>
    <t>Rock / Indie Rock / Indie Pop / Pop / Soul / Funk</t>
  </si>
  <si>
    <t>Sonorama Ribera</t>
  </si>
  <si>
    <t>juancarlos@planetasonoro.es</t>
  </si>
  <si>
    <t xml:space="preserve">947-513619              (Art de Troya)                          </t>
  </si>
  <si>
    <t>https://sonorama-aranda.com</t>
  </si>
  <si>
    <t>Aranda del Duero- Burgos</t>
  </si>
  <si>
    <t xml:space="preserve"> Aranda de Duero, Burgos</t>
  </si>
  <si>
    <t xml:space="preserve">Organiza: Art de Troya / Sonorama
Producciones                 </t>
  </si>
  <si>
    <t>Posee un encanto único ya que parte importante de su agenda se realiza en la villa. Sus calles se convierten en escenarios llenas de música. La gastronomía de productos típicos y el vino adquieren un papel protagonista en el festival.</t>
  </si>
  <si>
    <t>Indie Rock / Indie Pop / Pop / Rock / Funk</t>
  </si>
  <si>
    <t>11-08-2021
-
16-08-2021</t>
  </si>
  <si>
    <t>110.000</t>
  </si>
  <si>
    <t>Sonrías Baixas</t>
  </si>
  <si>
    <t>festival@sonriasbaixas.info</t>
  </si>
  <si>
    <t>www.sonriasbaixas.info</t>
  </si>
  <si>
    <t>Bueu - Pontevedra</t>
  </si>
  <si>
    <t>Bueu. Pontevedra</t>
  </si>
  <si>
    <t xml:space="preserve">  Promotor: Play plan</t>
  </si>
  <si>
    <t>¿Por qué acudir? Por la playa, la gastronomía, el buen rollo y la música, pero sobre todo por las Rias Baixas, verdadero cabeza del cartel del SonRías.</t>
  </si>
  <si>
    <t>Punk / Rock / Hip-Hop / Ska / Rap</t>
  </si>
  <si>
    <t>05-08-2021
-
08-08-2021</t>
  </si>
  <si>
    <t>22.086</t>
  </si>
  <si>
    <t>A.R.T.E</t>
  </si>
  <si>
    <t>Sons al Botánic</t>
  </si>
  <si>
    <t>info@andsons.es                      manu@andsons.es                     santi@andsons.es                       espores@uv.es</t>
  </si>
  <si>
    <t>96-3156800 (Jardín Botánico)</t>
  </si>
  <si>
    <t>www.jardibotanic.org</t>
  </si>
  <si>
    <t>Jardín Botánico de la Universidad de Valencia</t>
  </si>
  <si>
    <t xml:space="preserve">Promotora: Andsons Producciones -Manu y Santi (Representantes) </t>
  </si>
  <si>
    <t>Es un ciclo de conciertos que se realizan en plena naturaleza, en un espacio íntimo y exclusivo. La idea del Jardín Botànico es unir música y naturaleza con conciertos acústicos, para crear espacios más cercanos entre el artista y el espectador, y un mayor disfrute por las características del entorno.</t>
  </si>
  <si>
    <t>02-04-2021
-
28-06-2021</t>
  </si>
  <si>
    <t>Sons Solers</t>
  </si>
  <si>
    <t>massolers@fincamasolerers.com</t>
  </si>
  <si>
    <t> 93 893 39 12</t>
  </si>
  <si>
    <t>www.sonsolers.cat</t>
  </si>
  <si>
    <t>Sant Pere de Ribes-Barcelona</t>
  </si>
  <si>
    <t>Finca Mas Solers, Antiguo Gran Casino de Barcelona 08810 - Sant Pere de Ribes</t>
  </si>
  <si>
    <t>Promotor: Marcal Lladó</t>
  </si>
  <si>
    <t>9/7/2021</t>
  </si>
  <si>
    <t>93 893 36 66</t>
  </si>
  <si>
    <t>Sopela Kosta Fest</t>
  </si>
  <si>
    <t>kultura@sopela.eus</t>
  </si>
  <si>
    <t>944-065500                 944-065505</t>
  </si>
  <si>
    <t>http://sopelakostafest.com/es/</t>
  </si>
  <si>
    <t>Sopelana - Vizcaya</t>
  </si>
  <si>
    <t>Herria Gara Sopela (Sopelako Udala)</t>
  </si>
  <si>
    <t xml:space="preserve">Un festival que a finales de septiembre te ofrecerá un amplio abanico de actividades en torno al surf, la música y el turismo activo.
</t>
  </si>
  <si>
    <t>Multidisiplinar</t>
  </si>
  <si>
    <t>07-09-2020
-
17-09-2020</t>
  </si>
  <si>
    <t>Sos 4.8 Estrella Levante</t>
  </si>
  <si>
    <t>info@legalmusic.es</t>
  </si>
  <si>
    <t>www.sos48.com/</t>
  </si>
  <si>
    <t>Recinto Ferial La Fica de Murcia</t>
  </si>
  <si>
    <t>El festival que por séptimo año consecutivo llenará de música, arte y reflexión el Recinto de La Fica.</t>
  </si>
  <si>
    <t>Soulville</t>
  </si>
  <si>
    <t>info@lovesupreme.es // contratacion@lovesupreme.es
info@rocknrollaproducciones.com</t>
  </si>
  <si>
    <t>www.facebook.com/SoulvilleFestival</t>
  </si>
  <si>
    <t>Juan Baeza</t>
  </si>
  <si>
    <t>El únicp evento de música negra de Sevilla.</t>
  </si>
  <si>
    <t>Soul / Rock</t>
  </si>
  <si>
    <t>Sound Isidro</t>
  </si>
  <si>
    <t xml:space="preserve">info@soundisidro.es </t>
  </si>
  <si>
    <t>630-942211 (Cancho-programación y producción)            676-537575 (José García)                          619-240272 (Ambite)</t>
  </si>
  <si>
    <t>http://www.soundisidro.es/</t>
  </si>
  <si>
    <t>Varios espacios/salas (El Sol, Teatro Barceló, Moby Dick o La Riviera)</t>
  </si>
  <si>
    <t>Ciclo de conciertos a partir del mes de mayo por las distintas salas de Madrid.</t>
  </si>
  <si>
    <t>03-06-2020</t>
  </si>
  <si>
    <t>South Pop Isla Cristina</t>
  </si>
  <si>
    <t>logistica@greenufos.com
promo@greenufos.com</t>
  </si>
  <si>
    <t>95-5087656</t>
  </si>
  <si>
    <t>www.southpopfestival.com/index.php</t>
  </si>
  <si>
    <t>Auditorio del Parque</t>
  </si>
  <si>
    <t>Green Ufos</t>
  </si>
  <si>
    <t>Festival de música independiente que se celebra al aire libre y a escasos metros de la playa y en un anfiteatro.</t>
  </si>
  <si>
    <t>Indie / Rock Nacional</t>
  </si>
  <si>
    <t>South Side</t>
  </si>
  <si>
    <t>honeydripperproducciones@hotmail.com</t>
  </si>
  <si>
    <t>https://es-es.facebook.com/South-Side-Festival-753545714682666/</t>
  </si>
  <si>
    <t>Teatro Egaleo</t>
  </si>
  <si>
    <t>Pedro Sen y Jose Antonio Fernández (Honeydripper Producciones)</t>
  </si>
  <si>
    <t>La gran fiesta del blues en Madrid.</t>
  </si>
  <si>
    <t>Blues / Soul</t>
  </si>
  <si>
    <t>19-06-2020
-
21-06-2020</t>
  </si>
  <si>
    <t>Southpop Sevilla</t>
  </si>
  <si>
    <t>sevillaespop@gmail.com</t>
  </si>
  <si>
    <t>95 5087655/ 95 5087656</t>
  </si>
  <si>
    <t>http://www.southpopfestival.com/sevilla/index.php</t>
  </si>
  <si>
    <t>Teatro de Alameda</t>
  </si>
  <si>
    <t>Organizado por : Green Ufos</t>
  </si>
  <si>
    <t>El South Pop es un festival donde se dan a conocer las mejores y más innovadoras propuestas de la música independiente nacional e internacional, dando gran relevancia contenido artístico y a otros aspectos para que la experiencia de ver música en directo sea lo más satisfactoria posible.Es un festival de carácter urbano y cosmopolita.</t>
  </si>
  <si>
    <t>Spring Festival</t>
  </si>
  <si>
    <t>info@springfestivalelx.es</t>
  </si>
  <si>
    <t>https://springfestivalelx.es/</t>
  </si>
  <si>
    <t xml:space="preserve">Promotor: Producciones Baltimore   </t>
  </si>
  <si>
    <t>A lo largo de los 10 años ha conseguido posicionarse como el festival de referencia en la provincia de Alicante. Producciones Baltimore asume la organización total del renovado festival, convirtiéndose así en la versión primaveral de Low Festival.</t>
  </si>
  <si>
    <t>Indie / Indie Pop / Música Electrónica / Dance</t>
  </si>
  <si>
    <t>28-05-2021
-
29-05-2021</t>
  </si>
  <si>
    <t>Starlite Catalana Occidente</t>
  </si>
  <si>
    <t>info@avory.net // booking@avory.net</t>
  </si>
  <si>
    <t>91-4484 777
93-4762999</t>
  </si>
  <si>
    <t>www.starlitefestival.com/</t>
  </si>
  <si>
    <t>Marbella - Málaga</t>
  </si>
  <si>
    <t>Marbella. Málaga</t>
  </si>
  <si>
    <t>Promotor: Sandra García- Sanjuán (Avory)</t>
  </si>
  <si>
    <t>¿Por qué acudir? Reune durante más de 50 días a artistas nacionales e internacionales en conciertos íntimos y cercanos. En una cantera rodeada de naturaleza y con una acústica extraordinaria, la audiencia vive una experiencia única con las estrellas.</t>
  </si>
  <si>
    <t>Pop / Rock / Música Electrónica / DanceTechno / Clásica / Reggaeton / Trap / Latino</t>
  </si>
  <si>
    <t>17-06-2021
-
28-08-2021</t>
  </si>
  <si>
    <t>Stone and Music Festival</t>
  </si>
  <si>
    <t>direccion@stoneandmisicfestival.com</t>
  </si>
  <si>
    <t>http://stoneandmusicfestival.com/#artistas</t>
  </si>
  <si>
    <t>Mérida - Badajaz</t>
  </si>
  <si>
    <t>Plaza Margarita Xirgu. Teatro Romano(187,22 km)
6800 Mérida</t>
  </si>
  <si>
    <t>Promotor: Producciones de Grandes Eventos S.L</t>
  </si>
  <si>
    <t xml:space="preserve">Es el evento musical más importante del Suroeste español. Un evento que une música con patrimonio arqueológico.
</t>
  </si>
  <si>
    <t>Rock / Pop / Música Electrónica / Dance / Clásica / Folk / Latino / Flamenco</t>
  </si>
  <si>
    <t>47.800</t>
  </si>
  <si>
    <t>Strenes</t>
  </si>
  <si>
    <t>xavi@promoartsmusic.com (Xavi Pascual, dirección y contratación) contratacion@promoartsmusic.com produccion@promoartsmusic.com (Xavi Monfort)</t>
  </si>
  <si>
    <t>972-676011</t>
  </si>
  <si>
    <t>http://www.festivalstrenes.cat/</t>
  </si>
  <si>
    <t>Girona</t>
  </si>
  <si>
    <t>Teatro Municipal de Girona</t>
  </si>
  <si>
    <t>Pascual Arts Music SLU(Promotor)</t>
  </si>
  <si>
    <t>Festival de referencia de los artistas catalanes donde pueden estrenar sus discos, proyectos o giras. Es una cita obligatoria para artistas de trayectoria reconocida o artistas del momento como plataforma de difusión .</t>
  </si>
  <si>
    <t>04-07-2020
-
19-07-2020</t>
  </si>
  <si>
    <t>32.325</t>
  </si>
  <si>
    <t>972-676012</t>
  </si>
  <si>
    <t>Suberock</t>
  </si>
  <si>
    <t>suberrockfestival@gmail.com</t>
  </si>
  <si>
    <t>http://suberock.com/</t>
  </si>
  <si>
    <t>San Vicente de Alcántara - Badajoz</t>
  </si>
  <si>
    <t>San Vicente de Alcántara. Badajoz</t>
  </si>
  <si>
    <t xml:space="preserve">Extremasound, Ayto. San Vicente de A. </t>
  </si>
  <si>
    <t>Se trata de un festival y concurso internacional. Todas las fases del concurso pueden seguirse a través de su web. ¿Por qué acudir? Gratis y a la sombra.</t>
  </si>
  <si>
    <t>Blues / Rock / Soul / Funk / R&amp;B / Country</t>
  </si>
  <si>
    <t xml:space="preserve">Sueños de Libertad Ibiza </t>
  </si>
  <si>
    <t>info@sdl-ibizafestival.com // info@wildwolfibiza.com</t>
  </si>
  <si>
    <t>http://www.sdl-ibizafestival.com/</t>
  </si>
  <si>
    <t>Ibiza. Islas Baleares</t>
  </si>
  <si>
    <t xml:space="preserve">Adrián Rodriguez (Promotor)                    </t>
  </si>
  <si>
    <t>Es el único festival que se celebra en Ibiza, por que llevamos luchando muchos años. Desde 2012 organizando conciertos, más de 70 bandas han pasado por ibiza gracias a nuestra locura, y esa locura no debe parar.</t>
  </si>
  <si>
    <t>Rock / Reggae / Blues / Soul / Funk / Hip-Hop / Rap / Latino</t>
  </si>
  <si>
    <t>Por determinar Junio de 2021</t>
  </si>
  <si>
    <t>Suite Festival</t>
  </si>
  <si>
    <t>info@suitefestival.com // juliojr@clippersmusic.org//ncardil@clippersmusic.org</t>
  </si>
  <si>
    <t>www.suitefestival.com</t>
  </si>
  <si>
    <t>¿Por qué acudir? Disfrutar de un concierto único dentro del Gran Teatro del Liceo.</t>
  </si>
  <si>
    <t>Suma Flamenca, Festival Flamenco de la
Comunidad Madrid</t>
  </si>
  <si>
    <t>sumaflamencaprensa@gmail.com</t>
  </si>
  <si>
    <t>652-511520</t>
  </si>
  <si>
    <t>www.madrid.org/sumaflamenca</t>
  </si>
  <si>
    <t>Distintos municipios de la 
Comunidad de Madrid</t>
  </si>
  <si>
    <t>Silvia Espallargas (prensa)</t>
  </si>
  <si>
    <t>Cada año, en los tablaos madrileños se dan cita las representaciones de grandes maestros del cante, del baile junto a los nuevos talentos.</t>
  </si>
  <si>
    <t>Summer Fun Laredo</t>
  </si>
  <si>
    <t>http://www.summerfunlaredo.es/</t>
  </si>
  <si>
    <t xml:space="preserve">Laredo </t>
  </si>
  <si>
    <t>Fun Club Records (Promotor)</t>
  </si>
  <si>
    <t>Festival anual de música electrónica que se celebra en verano en Laredo (Cantabria).</t>
  </si>
  <si>
    <t>Sun and Snow Festival</t>
  </si>
  <si>
    <t>rrss@sunandsnowfestival.es</t>
  </si>
  <si>
    <t>https://www.facebook.com/sunandsnowfest/</t>
  </si>
  <si>
    <t>Festival en Sierra Nevada que combina la mejor música y los deportes de nieve en un entorno único.</t>
  </si>
  <si>
    <t>04-12-2020
-
05-12-2020</t>
  </si>
  <si>
    <t>Sunshine Suances</t>
  </si>
  <si>
    <t>info@sunshinesuances.com</t>
  </si>
  <si>
    <t>http://www.sunshinesuances.com/</t>
  </si>
  <si>
    <t xml:space="preserve">Suances </t>
  </si>
  <si>
    <t>Auditorium Parque del Espadañal</t>
  </si>
  <si>
    <t>Un evento familiar diseñado con un único objetivo, que los invitados puedan disfrutar de un numeroso conjunto de experiencias alrededor de la música. Una cuidada oferta que mezcla lo lúdico con lo artístico, donde además se podrán disfrutar de variados platos en numerosos foodtrucks al aire libre amenizado por música de los grupos más reconocidas del panorama indie-rock.</t>
  </si>
  <si>
    <t>Super Bock Under Sessions</t>
  </si>
  <si>
    <t>http://www.esmerarte.com/super-bock-under-sessions-vigo-2017/</t>
  </si>
  <si>
    <t>Esmerarte Industrias Creativas (Productor)
Comunicación: Cristina García</t>
  </si>
  <si>
    <t>Festival que acerca grandes apuestas musicales nacionales e internacionales.</t>
  </si>
  <si>
    <t>Por confirmar Noviembre-2021</t>
  </si>
  <si>
    <t>Surfing The Lerez</t>
  </si>
  <si>
    <t>https://es-es.facebook.com/SurfingTheLerezFestival/</t>
  </si>
  <si>
    <t>Illa das Esculturas - Pontevedra</t>
  </si>
  <si>
    <t>Marcos Rivas (Promotor)</t>
  </si>
  <si>
    <t>Festival consolidado, que cuenta con un público fiel, gracias a la excelente ubicación en la Illa das Esculturas de Pontevedra, un cartel donde prima el rock festivo y musculado, y, también es importante, su carácter gratuito.</t>
  </si>
  <si>
    <t>Sziget Festival</t>
  </si>
  <si>
    <t>info.es@szigetfestival.com</t>
  </si>
  <si>
    <t>www.szigetfestival.com/es</t>
  </si>
  <si>
    <t>Budapest. Hungría</t>
  </si>
  <si>
    <t>Budapest.Hungría</t>
  </si>
  <si>
    <t>Promotor: Inti Pérez Minaya</t>
  </si>
  <si>
    <t>Cada año, en la isla de la Libertad se presentan más de 1000 artistas y actividades que abarcan todas las disciplinas artisticas, haciendo de Sziget Festival una cita multicultural imprescindible cada verano.</t>
  </si>
  <si>
    <t>500.000</t>
  </si>
  <si>
    <t>Tag Music Festival</t>
  </si>
  <si>
    <t>info@tagmusicfest.com                  stop@stop-producciones.com       info@intromusica.com maximo@intromusica.com dgarcia@intromusica.com contratacion@intromusica.com</t>
  </si>
  <si>
    <t>619-010293 (Máximo)     976-299638 (Stop Producciones)</t>
  </si>
  <si>
    <t>https://es-es.facebook.com/tagmusicfestival/</t>
  </si>
  <si>
    <t xml:space="preserve">Festival que se alimenta de la música urbana contemporánea, enraizada en el hip hop, que usa bases electrónicas y lírica afilada. </t>
  </si>
  <si>
    <t>Trap</t>
  </si>
  <si>
    <t>Tarifeando Fest</t>
  </si>
  <si>
    <t>info@tarifeando.com info@edificarte.es</t>
  </si>
  <si>
    <t>956-079004              956-750804                 663-922812</t>
  </si>
  <si>
    <t>http://tarifeando.com/</t>
  </si>
  <si>
    <t>Tarifa - Cádiz</t>
  </si>
  <si>
    <t>Campo de Futbol de Tarifa</t>
  </si>
  <si>
    <t>Edificarte Eventos</t>
  </si>
  <si>
    <t>Tarifear es mucho más que ir a ver conciertos: es disfrutar, en buena compañía, de todo lo que Tarifa ofrece: gastronomía, deporte, música, playa, ocio, y cultura.</t>
  </si>
  <si>
    <t>Urbano / Flamenco / Pop / Artistas Nacionales</t>
  </si>
  <si>
    <t>Telecogresca</t>
  </si>
  <si>
    <t>info@telecogresca.com engrescat@telecogresca.com musica@telecogresca.com</t>
  </si>
  <si>
    <t>93-4137662</t>
  </si>
  <si>
    <t>https://www.telecogresca.com/es</t>
  </si>
  <si>
    <t xml:space="preserve">Forum </t>
  </si>
  <si>
    <t>Associació Cultural TGK (Promotor)</t>
  </si>
  <si>
    <t xml:space="preserve">Festival promovido por una organitzación formada por estudiantes sin ánimo de lucro. </t>
  </si>
  <si>
    <t>42.0</t>
  </si>
  <si>
    <t>Tendencias Festival</t>
  </si>
  <si>
    <t> enka@wildpunk.com</t>
  </si>
  <si>
    <t>958 61 06 30</t>
  </si>
  <si>
    <t>www.tendenciasfestival.com</t>
  </si>
  <si>
    <t>Salobreña</t>
  </si>
  <si>
    <t>Casa de la Cultura, Salobreña </t>
  </si>
  <si>
    <t xml:space="preserve">Ayuntamiento de Salobreña y Diputación de Granada </t>
  </si>
  <si>
    <t>El Festival Tendencias de Salobreña es uno de los eventos más longevos de Andalucía. Con una trayectoria muy marcada se rige por una estructura fiel hacia las nuevas tendencias musicales con actividades paralelas de cine y exposiciones.</t>
  </si>
  <si>
    <t>Rock / Indie Rock / Indie Pop / New Age-experimental</t>
  </si>
  <si>
    <t>Tentacle Summer Festival</t>
  </si>
  <si>
    <t>650-621305</t>
  </si>
  <si>
    <t>http://tentacle.es/</t>
  </si>
  <si>
    <t>Foz - Lugo</t>
  </si>
  <si>
    <t>Festival que se celebraba en invierno, pero los organizadores decidieron trasladarlo a la época estival. Está íntegramente dedicado a los amantes de la música House. También habrá ponencias de productores y Dj's sobre música.</t>
  </si>
  <si>
    <t>Terras Sem Sombra</t>
  </si>
  <si>
    <t>terrassemsombra_press@sapo.pt</t>
  </si>
  <si>
    <t>351  962 414 521
351  917 502 842</t>
  </si>
  <si>
    <t>www.terrassemsombra.pt</t>
  </si>
  <si>
    <t>Beja. Alentejo</t>
  </si>
  <si>
    <t>Associaciaçao Pedra Angular</t>
  </si>
  <si>
    <t>Porque el Alentejo tiene una banda sonora, una presencia sonoplástica, una herencia de sonidos, se convierte en un escenario inigualable para la gran aventura de la música.</t>
  </si>
  <si>
    <t>Música Clásica / Varios</t>
  </si>
  <si>
    <t>Terrassa Jazz Festival</t>
  </si>
  <si>
    <t>info@jazzterrassa.org</t>
  </si>
  <si>
    <t>93-7862709</t>
  </si>
  <si>
    <t>www.jazzterrassa.org/</t>
  </si>
  <si>
    <t>Terrasa</t>
  </si>
  <si>
    <t>Organiza: Club de Jazz</t>
  </si>
  <si>
    <t>Reúne a más de 250 artistas, desde jóvenes figuras emergentes hasta grandes del jazz internacional. Hace más de 30 años de su nacimiento. Durante su celebración, también se organizan bailes, talleres, exposiciones, cine, conferencias y homenajes.</t>
  </si>
  <si>
    <t>11-03-2020
-
29-03-2020</t>
  </si>
  <si>
    <t>The End of The World</t>
  </si>
  <si>
    <t>info@endworldfestival.com</t>
  </si>
  <si>
    <t>http://www.endworldfestival.com/</t>
  </si>
  <si>
    <t>Es un evento musical que albergará a más de 70 djs nacionales e internacionales con más de 19 horas de música</t>
  </si>
  <si>
    <t>The Juergas Rock Festival</t>
  </si>
  <si>
    <t>produccion@berrintxe.es</t>
  </si>
  <si>
    <t>http://thejuergasrockfestival.com/</t>
  </si>
  <si>
    <t>Adra - Almería</t>
  </si>
  <si>
    <t>Camino Ingenio San Nicolás</t>
  </si>
  <si>
    <t>Promotor: Berrintxe S.L.</t>
  </si>
  <si>
    <t>Se celebra en un recinto junto a la playa, con camping gratuito, aparcamiento, activiadades, mercadillo… Se trata de un nuevo festival que este año convoca su segunda edición</t>
  </si>
  <si>
    <t>Rock / Metal / Reggae / Punk / Ska</t>
  </si>
  <si>
    <t>05-08-2021
 - 
07-08-2021</t>
  </si>
  <si>
    <t>The Lemon Day</t>
  </si>
  <si>
    <t>thelemonday@gmail.com</t>
  </si>
  <si>
    <t>http://thelemonday.net/THE_LEMON_DAY/inici.html</t>
  </si>
  <si>
    <t>Capellades-Barcelona</t>
  </si>
  <si>
    <t xml:space="preserve">Parc de la Font Cuitora </t>
  </si>
  <si>
    <t>Asociación de Amigos del Rock'n'Roll y Una Mica de Pop de Capellades</t>
  </si>
  <si>
    <t>Es un fetival de música alternativa gratuito que se celebra en el Parque de la Fuente Cuitora, un espacio al aire libre, bajo la sombra de los plataneros</t>
  </si>
  <si>
    <t>Tibidabo Live Festival</t>
  </si>
  <si>
    <t>http://www.tibidabolivefestival.com/</t>
  </si>
  <si>
    <t>Parque de Atracciones Tibidado</t>
  </si>
  <si>
    <t>Se trata de un festival único, en el que durante dos noches se verá como anochece en Barcelona disfrutando de las atracciones de un parque mítico, con actuaciones de dos grupos internaiconales. Festival para todos los públicos</t>
  </si>
  <si>
    <t>Tio Pepe Festival</t>
  </si>
  <si>
    <t>tiopepefestival@gonzalezbyass.es</t>
  </si>
  <si>
    <t>95-6357096</t>
  </si>
  <si>
    <t>http://www.tiopepefestival.com/es/</t>
  </si>
  <si>
    <t>Jardines de Villa Victorina y Patio de la Tonelería</t>
  </si>
  <si>
    <t>Promotor: Gonzalez Byass (Bodega)</t>
  </si>
  <si>
    <t xml:space="preserve">Las Bodegas González Byass reafirman su apuesta por este evento estival singular y exclusivo, concebido con los más altos estándares de calidad y pensado para todas aquellas personas que, más allá de la mera asistencia a un espectáculo, buscan una experiencia única y sensorial múltiple. Fruto de esta apuesta es el TIO PEPE FESTIVAL, que tiene lugar todos los años en el mes de Agosto, en distintos espacios y jardines del recinto bodeguero. </t>
  </si>
  <si>
    <t>30-07-2021
-
11-08-2021</t>
  </si>
  <si>
    <t>Tomavistas Festival</t>
  </si>
  <si>
    <t>info@tomavistasfestival.com</t>
  </si>
  <si>
    <t>https://www.tomavistasfestival.com/</t>
  </si>
  <si>
    <t>Parque Enrique Tierno Galván</t>
  </si>
  <si>
    <t>Promotor: Tomavistas Música S.L y Festival Tomavistas AIE</t>
  </si>
  <si>
    <t>Todo esto lo vas a poder vivir en un pueblo rodeado de plena naturaleza y en el que puedes disfrutar de las fiestas que se celebran durante la semana en la que se realiza la fiesta de La Tomatina.</t>
  </si>
  <si>
    <t>Rock / Indie Rock / Indie Pop / Pop / Electrónica / DanceFolk / Trap</t>
  </si>
  <si>
    <t>Tomorrowland Barcelona</t>
  </si>
  <si>
    <t>info@tomorrowland.com</t>
  </si>
  <si>
    <t>https://es-es.facebook.com/tomorrowlandbarcelona/</t>
  </si>
  <si>
    <t>Parque de Can Zam</t>
  </si>
  <si>
    <t>Unite Barcelona (Organizadores)</t>
  </si>
  <si>
    <t>Por determinar Julio-2021</t>
  </si>
  <si>
    <t>Toribio Rock</t>
  </si>
  <si>
    <t>ezdokpub@gmail.com / davidcarballo77@gmail.com</t>
  </si>
  <si>
    <t>Eibar - Guipuzkoa</t>
  </si>
  <si>
    <t>Eibar</t>
  </si>
  <si>
    <t>Ezdok (Promotor)</t>
  </si>
  <si>
    <t>Festival gratuito en una de las principales calles de Eibar, donde se sitúa el bar EZDOK. La idea es sacar durante un fin de semana, parte de la programación de la temporada y alguna que otra sorpresa. Festival para todos los públicos.</t>
  </si>
  <si>
    <t>Rock / Punk /
Alternative</t>
  </si>
  <si>
    <t>Torrelavega Soundcity</t>
  </si>
  <si>
    <t>http://www.torrelavegasoundcity.com/</t>
  </si>
  <si>
    <t>Plaza de la Llama</t>
  </si>
  <si>
    <t>Promotor: Fun Club Records</t>
  </si>
  <si>
    <t>El festival alternativo de música joven Torrelavega Soundcity surge de la evidente necesidad de incluir en la programación lúdico-cultural de las fiestas de la Virgen Grande de Torrelavega una propuesta de música menos comercial que gran parte de los vecinos de la capital del Besaya venían demandando desde hace tiempo.</t>
  </si>
  <si>
    <t>Música Alternativa</t>
  </si>
  <si>
    <t>Transtropicalia</t>
  </si>
  <si>
    <t>Transtropicaliafest@gmail.com</t>
  </si>
  <si>
    <t>https://transtropicalia.wordpress.com/</t>
  </si>
  <si>
    <t>Isla de Tabarca-Alicante</t>
  </si>
  <si>
    <t>Transtropicalia Isla de Tabarca es una fiesta campestre para disfrutar de la vida</t>
  </si>
  <si>
    <t>Tres Acordes Fest</t>
  </si>
  <si>
    <t>info@tresacordesfest.com</t>
  </si>
  <si>
    <t>923-279112 923-279186 Cultura Ayuntamiento</t>
  </si>
  <si>
    <t>www.tresacordesfest.com</t>
  </si>
  <si>
    <t>Promotor: Ayuntamiento de Salamanca (Cultura)</t>
  </si>
  <si>
    <t xml:space="preserve">Festival que surge desde el activismo musical para dar lustre a las bandas de Salamanca. Un festival incluido en el ciclo “Plazas y Patios” de la Fundación Salamanca Ciudad de Cultura y Saberes, que acoge a formaciones representativas de los estilos y movimientos integrados en el underground charro. </t>
  </si>
  <si>
    <t>Hip-Hop / Rock</t>
  </si>
  <si>
    <t>20-06-2020</t>
  </si>
  <si>
    <t>Tribu Festival</t>
  </si>
  <si>
    <t xml:space="preserve">info@festivaltribu.com </t>
  </si>
  <si>
    <t>www.festivaltribu.com</t>
  </si>
  <si>
    <t>Burgos. Burgos</t>
  </si>
  <si>
    <t>Asociación Colectivo Tribu</t>
  </si>
  <si>
    <t>En una clara apuesta por la inclusión de todos los burgaleses y visitantes, se pretende que Tribu sea el espejo de una sociedad que avanza hacia la diversidad, la igualdad y el respeto, a través de la cultura. Mediante conciertos, talleres, exposiciones, catas, intervenciones artísticas... se potencia el poder transformador que la cultura tiene sobre las personas y sobre la imagen de la ciudad.</t>
  </si>
  <si>
    <t>Rock / Indie Rock / Pop / Indie Pop / Electrónica / DanceJazz / Blues / Soul / Clásica / Funk / R&amp;B / Hip- Hop / Rap / Folk / Wold Music</t>
  </si>
  <si>
    <t>La Fira Valenciana de la Música Trovam! - Pro Weekend</t>
  </si>
  <si>
    <t>trovampro@firatrovam.com</t>
  </si>
  <si>
    <t>www.firatrovam.com</t>
  </si>
  <si>
    <t>Castellón</t>
  </si>
  <si>
    <t>Castelló</t>
  </si>
  <si>
    <t>Valencian Music
Association -Generalitat - Ayto Cs - Diputación Cs</t>
  </si>
  <si>
    <t>Es el lugar de encuentro profesional de referencia de la industria musical valenciana. Ofrece showcases, conciertos en diversos lugares de la ciudad, debates, conferencias y una amplia y diversa presencia de profesionales del sector.</t>
  </si>
  <si>
    <t>Pop / Indie / Canción de Autor</t>
  </si>
  <si>
    <t>11-11-2021
-
14-11-2021</t>
  </si>
  <si>
    <t>Truenorayo Fest</t>
  </si>
  <si>
    <t xml:space="preserve"> hitswithtits@gmail.com</t>
  </si>
  <si>
    <t>963 53 12 72</t>
  </si>
  <si>
    <t>http://www.truenorayofest.com/</t>
  </si>
  <si>
    <t>Puerto de Sagunto - Valencia</t>
  </si>
  <si>
    <t>Promotor: Hitswithtits</t>
  </si>
  <si>
    <t>Organizado :Hits With Tits</t>
  </si>
  <si>
    <t>este evento es la de difundir la música en general y promocionar a los sellos discográficos independientes y la autoedición, ya que queda más que demostrado el esfuerzo creativo y económico que supone para el gran número de artistas y bandas que luchan por sacar adelante sus proyectos</t>
  </si>
  <si>
    <t>Punk Rock / Rock independiente</t>
  </si>
  <si>
    <t xml:space="preserve"> </t>
  </si>
  <si>
    <t>Tsunami Xixón</t>
  </si>
  <si>
    <t>contacto@tesunamixixón.com</t>
  </si>
  <si>
    <t>628-535578</t>
  </si>
  <si>
    <t>http://www.tsunamixixon.com/</t>
  </si>
  <si>
    <t>Varias localizaciones (Plaza del Ayuntamiento, Laboral Ciudad de la Cultura y Skatepark Cimadevilla)</t>
  </si>
  <si>
    <t>Bring The Noise &amp; Grupo 360</t>
  </si>
  <si>
    <t>Tsunami Xixón es un festival de música de reciente creación realizado en Gijón, Asturias, una de las ciudades más bonitas del norte de la Península Ibérica.</t>
  </si>
  <si>
    <t xml:space="preserve">Rock                   Indie Rock           Electrónica/Danc Funk                   Punk                   Ska  </t>
  </si>
  <si>
    <t>Tupa Tupa Fest</t>
  </si>
  <si>
    <t>fuckyou@tupatupafest.org</t>
  </si>
  <si>
    <t>www.tupatupafest.com/indice.html</t>
  </si>
  <si>
    <t>Vilafranca del Penedés - Barcelona</t>
  </si>
  <si>
    <t>Zona Deportiva.</t>
  </si>
  <si>
    <t>Festival de nueve horas música consecutiva en dos escenarios que, destina sus beneficios a la investigación de la atrofia muscular espinal.</t>
  </si>
  <si>
    <t>Turmalina Fest</t>
  </si>
  <si>
    <t>info@turmalinafest.com // azamarbide@inoutproducciones.com</t>
  </si>
  <si>
    <t>www.turmalinafest.com</t>
  </si>
  <si>
    <t>In&amp;Out</t>
  </si>
  <si>
    <t>Porque se trata de una propuesta novedosa: una jornada de 12 horas de música, vino y gastronomía en un entorno inigualable como la Ciudadela de Pamplona. El primer festival entorno al vino de Navarra.</t>
  </si>
  <si>
    <t>Pop / Indie / Rock</t>
  </si>
  <si>
    <t>Junio del 2021</t>
  </si>
  <si>
    <t>Twinpalm</t>
  </si>
  <si>
    <t>http://www.palmfest.es/</t>
  </si>
  <si>
    <t xml:space="preserve"> Auditorio de l'Hospitalet de l'Infant.</t>
  </si>
  <si>
    <t>Organizado por Palm Fest</t>
  </si>
  <si>
    <t>Es un festival indoor de pequeño formato que odrece una gran variedad de actividades culturales, entre los que no faltará la música en directo en el magnífico auditorio de l'Hospitalet de l'Infant.</t>
  </si>
  <si>
    <t>10-10-2020</t>
  </si>
  <si>
    <t>Two Shots Festival</t>
  </si>
  <si>
    <t>tomarrebato@hotmail.com</t>
  </si>
  <si>
    <t>https://es-es.facebook.com/2shotsfestival/</t>
  </si>
  <si>
    <t>Centro Cívico Delicias                      Av. Navarra, 54
50010 Zaragoza</t>
  </si>
  <si>
    <t>Promotor: Tomás Gómez Perry</t>
  </si>
  <si>
    <t xml:space="preserve">Two Shots Festival, no es un festival al uso, en él solo participan bandas compuestas únicamente por 2 músicos. Se aceptan todos los estilos, todos los instrumentos, pero sólo 2 ante el peligro. </t>
  </si>
  <si>
    <t>Rock / Metal / Punk / Indie Rock / Metal / Pop / Blues / Soul / Funk / R&amp;B / Country</t>
  </si>
  <si>
    <t>100</t>
  </si>
  <si>
    <t>Txapel Reggae Armintza</t>
  </si>
  <si>
    <t>txapelreggae.com/es</t>
  </si>
  <si>
    <t>Armintza - Bizkaia</t>
  </si>
  <si>
    <t>En 1990 empieza la andadura del Txapel Reggae desde el puerto pesquero de Armintza. 30 años después con la colaboración de todo el pueblo se sigue ofreciendo una velada musical gratuita y libre gracias a un proyecto autogestionado por AJB.</t>
  </si>
  <si>
    <t>17-07-2021</t>
  </si>
  <si>
    <t>2.600</t>
  </si>
  <si>
    <t>Un Mar de Canciones</t>
  </si>
  <si>
    <t>info@unmardecanciones.com // rosilosoluciones@gmail.com</t>
  </si>
  <si>
    <t>953-776755</t>
  </si>
  <si>
    <t>www.unmardecanciones.com/</t>
  </si>
  <si>
    <t>Pomotor: El Crujido de la Barra</t>
  </si>
  <si>
    <t>Conciertos, literatura, humor, arte, cuenta cuentos, magia y mucha solidaridad...Festival de canción de autor en el que la palagra es la protragonista y apuesta por los creadores jienenses. ¿Por qué acudir? Por ser uno de los festivales con más encanto de Andalucía.</t>
  </si>
  <si>
    <t>Uni Sound Bilbao</t>
  </si>
  <si>
    <t>hello@galapan.com// jhervastrancho@gmail.com</t>
  </si>
  <si>
    <t>www.bilbaogazte.bilbao.eus/es/servicio/uni-sound-bilbao</t>
  </si>
  <si>
    <t>Bilbao.Bizkaia</t>
  </si>
  <si>
    <t>Area de juventud y deporte del ayuntamiento de Bilbao</t>
  </si>
  <si>
    <t>Es un festival de entrada completamente gratuita en el que poder descubrir bandas en lugares poco habituales además de espacios en losque sí estamos acostumbrados a ver conciertos.</t>
  </si>
  <si>
    <t>Universal Music Festival</t>
  </si>
  <si>
    <t>liliana.garcia@gtstalent.com</t>
  </si>
  <si>
    <t>91-7445500 (Universal) 91-5160600 (Teatro)</t>
  </si>
  <si>
    <t>http://universalmusicfestival.es/</t>
  </si>
  <si>
    <t xml:space="preserve">Promotor: Universal Music Spain - Liliana García           </t>
  </si>
  <si>
    <t>Se ha convertido en el nuevo evento de referencia en Madrid, ofreciendo espectáculos musicales exclusivos dentro de un espacio íntimo y cercano como es el Teatro Real.</t>
  </si>
  <si>
    <t>Rock / Pop / Jazz / Clásica / Flamenco</t>
  </si>
  <si>
    <t>Unleash Festival</t>
  </si>
  <si>
    <t>unleash@wearetrivu.com</t>
  </si>
  <si>
    <t>www.weunleash.com</t>
  </si>
  <si>
    <t>Sandra Alonso</t>
  </si>
  <si>
    <t>Es el festival de talento más grande y loco del mundo, dónde se apoya a los artistas emergentes más disruptivos.</t>
  </si>
  <si>
    <t>Música Internacional</t>
  </si>
  <si>
    <t>Utopía</t>
  </si>
  <si>
    <t>booking@glaciarmusic.com</t>
  </si>
  <si>
    <t>http://www.festivalutopia.com/</t>
  </si>
  <si>
    <t>Ciudad Universitaria</t>
  </si>
  <si>
    <t>Glaciar</t>
  </si>
  <si>
    <t>Festival madrileño que celebra su primera edición con los mejores Dj's</t>
  </si>
  <si>
    <t>22-01-2021
 - 
24-01-2021</t>
  </si>
  <si>
    <t>V de Valarés</t>
  </si>
  <si>
    <t>info@goldlab.es                       david@heartofgold.es cristina@heartofgold.es produccion@heartofgold.es</t>
  </si>
  <si>
    <t>91-3650086</t>
  </si>
  <si>
    <t>http://www.vdevalares.es/</t>
  </si>
  <si>
    <t>Ponteceso - A Coruña</t>
  </si>
  <si>
    <t>Playa de Balarés - Ponteceso</t>
  </si>
  <si>
    <t>Promotores:                                                  Heart of Gold - David y Cristina                  Gold Lab</t>
  </si>
  <si>
    <t>Un pequeño gran festival de música independiente que año tras año nos sorprende con su cartel sólido y coherente de nombres reconocidos.</t>
  </si>
  <si>
    <t>Por determinar Agosto del 2021</t>
  </si>
  <si>
    <t>Vagos Metal Fest</t>
  </si>
  <si>
    <t>info@vagosmetalfest.com // amazingvanillaevents@gmail.com</t>
  </si>
  <si>
    <t>www.vagosmetalfest.com</t>
  </si>
  <si>
    <t>Vagos. Aveiro (Portugal)</t>
  </si>
  <si>
    <t>Amazing Events</t>
  </si>
  <si>
    <t>Buena localización cerca de la playa y el bosque, comida y bebida barata, variedad en el line up y camping gratis.</t>
  </si>
  <si>
    <t>Metal / Hard Rock</t>
  </si>
  <si>
    <t>Valencia Beach Festival</t>
  </si>
  <si>
    <t>info@mundosenti2.com
jota@tranquilomusica.com
neus@tranquilomusica.com</t>
  </si>
  <si>
    <t>Mundo Senti2: 96-3530802
Tranquilo Música Juan Léon: 687-986366
Neus Aulló: 630-587598</t>
  </si>
  <si>
    <t>http://www.valenciabeachfestival.com/</t>
  </si>
  <si>
    <t>Marina Real Juan Carlos I</t>
  </si>
  <si>
    <t>Mundo Senti2
Tranquilo Música</t>
  </si>
  <si>
    <t>Festival que nace este año y que se celebra en el puerto de la ciudad, en el que reina la diversidad y la buena música</t>
  </si>
  <si>
    <t>Pop / Rock / Funk</t>
  </si>
  <si>
    <t>Valencia Jazz Festival</t>
  </si>
  <si>
    <t>info@palauvalencia.com</t>
  </si>
  <si>
    <t>96 337 50 20</t>
  </si>
  <si>
    <t>http://festivaljazzvalencia.com/</t>
  </si>
  <si>
    <t>Palau de la Música Palau de la Música
Passeig de l'Albereda, 30</t>
  </si>
  <si>
    <t>Por determinar Julio del 2021</t>
  </si>
  <si>
    <t>Valencia Music Experience</t>
  </si>
  <si>
    <t>info@valenciamusicexperience.com info@prodjcv.org</t>
  </si>
  <si>
    <t>615-447763</t>
  </si>
  <si>
    <t>http://www.valenciamusicexperience.es/</t>
  </si>
  <si>
    <t>La Marina</t>
  </si>
  <si>
    <t>Auditorio Marina Sur</t>
  </si>
  <si>
    <t>Prodj Comunidad Valenciana (Asociación de productores y dj's)</t>
  </si>
  <si>
    <t>Un espectáculo piromusical en La Marina Sur, en la zona donde mejor visibilidad tenga para todos los asistentes. Un homenaje a la ruta de los 90, etc. Se combinar música, pólvora y puesta en escena.</t>
  </si>
  <si>
    <t>Urbana / Remember 90's / Pop</t>
  </si>
  <si>
    <t>Valladolindie (El Festival más largo del mundo)</t>
  </si>
  <si>
    <t>robterne@gmail.com</t>
  </si>
  <si>
    <t>654 95 38 89</t>
  </si>
  <si>
    <t>http://www.robertoterneproducciones.com/</t>
  </si>
  <si>
    <t>Lava - Valladolid</t>
  </si>
  <si>
    <t>RT Producciones</t>
  </si>
  <si>
    <t>Roberto Terne</t>
  </si>
  <si>
    <t>Música popular Grunge / Hip-Hop / Rock &amp; Roll / Indie / Fusión / Revival / Garage</t>
  </si>
  <si>
    <t>Veranillo Festival</t>
  </si>
  <si>
    <t>https://www.wegow.com/es-es/festivales/veranillo-2019</t>
  </si>
  <si>
    <t>Nace un nuevo festival de Pop/Rock en Cáceres</t>
  </si>
  <si>
    <t>Veranos de la Villa</t>
  </si>
  <si>
    <t>veranosdelavilla@veranosdelavilla.es</t>
  </si>
  <si>
    <t>91-7589250 
ext. 2411</t>
  </si>
  <si>
    <t>http://veranosdelavilla.esmadrid.com/</t>
  </si>
  <si>
    <t>C/ Montalbán, 1 - 7ª planta. 28014</t>
  </si>
  <si>
    <t>Durante Julio y Agosto el Ayuntamiento ofrece una programación que abarca los principales espacios culturales de la ciudad.</t>
  </si>
  <si>
    <t>91-7589278</t>
  </si>
  <si>
    <t>Verasummer</t>
  </si>
  <si>
    <t>info@verasummerfestival.com info@biparock-producciones.com</t>
  </si>
  <si>
    <t>http://verasummerfestival.com/</t>
  </si>
  <si>
    <t>Losar de la Vera - Cáceres</t>
  </si>
  <si>
    <t>Promotor: Asosiación VeraSummer</t>
  </si>
  <si>
    <t>Se trata de un festival que mezcla grupos de estilos diferentes creando un mestizaje y fusión musical con bandas de de jazz, Rock, hip hop, Pop, Reggae, Ska, Flamenco y  Electrónica</t>
  </si>
  <si>
    <t>Hip Hop / Rap / Reggae / Pop / Rock / Ska / Electrónica</t>
  </si>
  <si>
    <t>Vértigo Estival</t>
  </si>
  <si>
    <t>hola@acvertigo.es</t>
  </si>
  <si>
    <t>www.acvertigo.es/</t>
  </si>
  <si>
    <t>Martos - Jaén</t>
  </si>
  <si>
    <t>Promotor: Asociación Cultural Vértigo</t>
  </si>
  <si>
    <t xml:space="preserve">Existe equilibrio entre grupos consagrados y bandas con menos repercusión. </t>
  </si>
  <si>
    <t>30-07-2021
 - 
01-08-2021</t>
  </si>
  <si>
    <t>2.100</t>
  </si>
  <si>
    <t>Vesu (Vetusta Suena)</t>
  </si>
  <si>
    <t>direccion@vesuoviedo.com / booking@vesuoviedo.com</t>
  </si>
  <si>
    <t>www.vesuoviedo.com</t>
  </si>
  <si>
    <t>Promotor: Music &amp; Monsters</t>
  </si>
  <si>
    <t>Desde hace décadas los aficionados a la música llevan demandando un festival que acerque a Oviedo a bandas nacionales e internacionales. Con esa premisa nace el VeSu. Un festival de vanguardia, con propuestas de calidad y una personalidad propia.</t>
  </si>
  <si>
    <t>Música
Contemporánea /
Independiente</t>
  </si>
  <si>
    <t>02-07-2021
-
04-07-2021</t>
  </si>
  <si>
    <t>Victoria Rock Festival</t>
  </si>
  <si>
    <t>lecirquemusic@gmail.com</t>
  </si>
  <si>
    <t>www.facebook.com/Victoria-Rock-Festival-
1475217122736347</t>
  </si>
  <si>
    <t>Promotor: Le Cirque Music</t>
  </si>
  <si>
    <t>Victoria Rock Festival, es un proyecto que surgió del amor por la buena música y las ganas de un cambio poniendo el foco principal en el apoyo a las bandas emergentes del país y creando una experiencia diferente para el público.</t>
  </si>
  <si>
    <t>Indie / Rock / Folk</t>
  </si>
  <si>
    <t>04-09-2021
-
05-09-2021</t>
  </si>
  <si>
    <t>Vida Festival</t>
  </si>
  <si>
    <t>info@vidafestival.com       info@sitbackpro.com</t>
  </si>
  <si>
    <t>https://www.vidafestival.com/</t>
  </si>
  <si>
    <t>Villanova i la Geltrú - Barcelona</t>
  </si>
  <si>
    <t>Masia d'en Cabanyes, La Daurada Beach Club, Molí del Mar</t>
  </si>
  <si>
    <t>Sitback Produccions S.L (Promotor)</t>
  </si>
  <si>
    <t>Festival para todos los públicos en un entorno inmejorable, que pretende englobar en un único evento diferentes disciplinas artísticas, con la música como nexo de unión.</t>
  </si>
  <si>
    <t>32.000</t>
  </si>
  <si>
    <t>Villamanuela Festival</t>
  </si>
  <si>
    <t>info@villamanuela.es</t>
  </si>
  <si>
    <t>https://es-es.facebook.com/villamanuelafestival/</t>
  </si>
  <si>
    <t>Giradiscos</t>
  </si>
  <si>
    <t>Festival con vocación de sacar a relucir la personalidad y vitalidad de los madrileños barrios de Malasaña y Conde-Duque , que integra en un mismo evento lo mejor de la música, el artey la gastronomía ¿Por qué acudir? El festival urbano original de Madrid.</t>
  </si>
  <si>
    <t>Rock Psicodélico / Música Electrónica</t>
  </si>
  <si>
    <t>Víncula Rock</t>
  </si>
  <si>
    <t>vincularockfestival@gmail.com</t>
  </si>
  <si>
    <t>www.vincularock.com</t>
  </si>
  <si>
    <t>Escañuela. Jaén</t>
  </si>
  <si>
    <t>Ayuntamiento de Escañuela</t>
  </si>
  <si>
    <t>Nace en Escañuela en el año 1992. Año tras año el festival ha ido consolidándose en la localidad hasta convertirse en un festival con nombre en la comarca e incluso en la provincia de Jaén.</t>
  </si>
  <si>
    <t>23-07-2021
-
24-07-2021</t>
  </si>
  <si>
    <t>Vintoro Festival</t>
  </si>
  <si>
    <t>festivalvintoro@gmail.com</t>
  </si>
  <si>
    <t>www.festivalvintoro.com</t>
  </si>
  <si>
    <t>Toro - Zamora</t>
  </si>
  <si>
    <t>Asalto Sonoro</t>
  </si>
  <si>
    <t>Rock / Metal / Hip-Hop / Rap / Punk / Ska</t>
  </si>
  <si>
    <t>Vintorock</t>
  </si>
  <si>
    <t>www.vintorock.com</t>
  </si>
  <si>
    <t>Recinto Polideportivo Municipal</t>
  </si>
  <si>
    <t>Ayuntamiento de Toro, Denominación de Origen Vinos De Toro Y Asalto Sonoro</t>
  </si>
  <si>
    <t>Un festival rockero, conciertos de grupos locales y teatro marcan la agenda cultural y benefician al comercio del municipio.</t>
  </si>
  <si>
    <t>28-08-2020
-
29-08-2020</t>
  </si>
  <si>
    <t>Vinya&amp;Art</t>
  </si>
  <si>
    <t>informatica@freixenet.es
hola@vinya-art.com</t>
  </si>
  <si>
    <t>93-8917030</t>
  </si>
  <si>
    <t>http://vinya-art.com/</t>
  </si>
  <si>
    <t>Sant Cugat Sesgarriges - Barcelona</t>
  </si>
  <si>
    <t>Cavas Elyssia</t>
  </si>
  <si>
    <t>Freixenet Retail, S.L.</t>
  </si>
  <si>
    <t>Pop
Jazz</t>
  </si>
  <si>
    <t>18-06-2020</t>
  </si>
  <si>
    <t>93-8917044</t>
  </si>
  <si>
    <t>Viña Rock</t>
  </si>
  <si>
    <t>info@vina-rock.com / t.abril@themusicrepublic.es</t>
  </si>
  <si>
    <t>http://www.vina-rock.com/</t>
  </si>
  <si>
    <t>Villarrobledo - Albacete</t>
  </si>
  <si>
    <t>Villarrobledo. Albacete</t>
  </si>
  <si>
    <t>Es un festival con 25 años de historia que se ha mantenido como uno de los eventos musicales más grande a nivel nacional. Se trata de 3 días de convivencia y buen ambiente que trascienden mucho más allá de la música.</t>
  </si>
  <si>
    <t>Rock / Metal / Punk / Reggae / Hip-Hop / Rap / Punk Ska</t>
  </si>
  <si>
    <t>09-10-2021
-
11-10-2021</t>
  </si>
  <si>
    <t>210.000</t>
  </si>
  <si>
    <t>VisorFest</t>
  </si>
  <si>
    <t>info@visorfest.com / booking@visorfest.com</t>
  </si>
  <si>
    <t>698 844 732 (Whatsapp)</t>
  </si>
  <si>
    <t>https://visorfest.com/</t>
  </si>
  <si>
    <t>Benidorm- Alicante</t>
  </si>
  <si>
    <t>Auditorio Julio Iglesias, Calle Primavera, 22, 03501 Benidorm</t>
  </si>
  <si>
    <t>Promotor: VisorFest Events AIE</t>
  </si>
  <si>
    <t>Visor Fest es un festival que une el pasado musical con el presente, en la
ciudad del eterno verano, Benidorm. Artistas internacionales, que nacieron en las décadas de los años 80 y 90 pero que siguen teniendo un discurso fresco y muy actual.</t>
  </si>
  <si>
    <t>Rock / Indie Rock / Indie Pop / Pop / Eletrónica / Dance  Punk / Country</t>
  </si>
  <si>
    <t>17-11-2021
-
18-11-2021</t>
  </si>
  <si>
    <t>Vitoria Gasteiz Jazz Festival</t>
  </si>
  <si>
    <t>jazzvitoria@jazzvitoria.com</t>
  </si>
  <si>
    <t>945-141919 </t>
  </si>
  <si>
    <t>http://www.jazzvitoria.com/</t>
  </si>
  <si>
    <t>Alberto Ibarrondo
García - Asociación Cultural Festival de Jazz de Vitoria-Gasteiz</t>
  </si>
  <si>
    <t>En una ciudad que respira jazz por los cuatro costados, se puede disfrutar de conciertos desde el mediodía hasta altas horas de la madrugada donde los músicos más importantes se alternan con los nuevos talentos para deleite del aficcionado.</t>
  </si>
  <si>
    <t>12-07-2021
-
18-07-2021</t>
  </si>
  <si>
    <t>945-130287</t>
  </si>
  <si>
    <t>43.0</t>
  </si>
  <si>
    <t>Vitruvian Fest</t>
  </si>
  <si>
    <t>vitruvianfest@email.com</t>
  </si>
  <si>
    <t>http://www.vitruvianfest.com/</t>
  </si>
  <si>
    <t>La Nau. C/ Álaba 30</t>
  </si>
  <si>
    <t>Vitruvianfest (Promotor)</t>
  </si>
  <si>
    <t>Es una propuesta emergente y sin ánimo de lucro, que organiza anualmente un festival alternativo de conciertos, exposiciones y talleres en Barcelona.</t>
  </si>
  <si>
    <t>01-08-2020
-
08-08-2020
-
15-08-2020
-
22-08-2020</t>
  </si>
  <si>
    <t>Vive la Feria</t>
  </si>
  <si>
    <t>inf@mouroproducciones.com</t>
  </si>
  <si>
    <t>www.vivelaferiatorrelavega.com</t>
  </si>
  <si>
    <t>Consort Music + Mouro Producciones</t>
  </si>
  <si>
    <t>Festival cómodo de medio tamaño y muy familiar.</t>
  </si>
  <si>
    <t>Vive Nigrán</t>
  </si>
  <si>
    <t>juanrivas@juanrivas.com</t>
  </si>
  <si>
    <t>http://vivenigran.com/</t>
  </si>
  <si>
    <t>Nigrán - Pontevedra</t>
  </si>
  <si>
    <t>Rúa Lourido Beiramar</t>
  </si>
  <si>
    <t>Juan Rivas</t>
  </si>
  <si>
    <t>Concebido como picnic pop festival que ofrece música, gastronomía y actividades de en un marco incomparable.</t>
  </si>
  <si>
    <t xml:space="preserve">17-07-2021
 - 
18-07-2021 </t>
  </si>
  <si>
    <t>Voll Damm - Festival Internacional de Jazz de Barcelona</t>
  </si>
  <si>
    <t>Diagonal, 482, 2º 2ª</t>
  </si>
  <si>
    <t>Es uno de los festivales españoles mas antiguo e importante. Su programación musical se complementa con conferencias, exposiciones cinematográficas… Desde 2002 Voll Damm es su pratrocinador oficial.</t>
  </si>
  <si>
    <t>Indie Rock / Indie Pop / Jazz / Soul / Blues / R&amp;B</t>
  </si>
  <si>
    <t>Octubre - Enero 2021</t>
  </si>
  <si>
    <t>51.0</t>
  </si>
  <si>
    <t>Volumens Festival</t>
  </si>
  <si>
    <t>info@volumens.es</t>
  </si>
  <si>
    <t xml:space="preserve">963 152 024
</t>
  </si>
  <si>
    <t>http://www.volumens.es/</t>
  </si>
  <si>
    <t xml:space="preserve">Museo Valenciano de la Ilustración y la Modernidad </t>
  </si>
  <si>
    <t>Este festival busca aglutinar nuevas tendencias audiovisuales en el panorama nacional e internacional, con un marcado carácter urbano y con una programación de dia, tarde y noche que pueden difrutar tanto niños como adultos.</t>
  </si>
  <si>
    <t>Experimental</t>
  </si>
  <si>
    <t>Wan Festival</t>
  </si>
  <si>
    <t xml:space="preserve">668-874656                Planet Events: 91-7810818, 91-7817983     91-5236872 (Disorder) </t>
  </si>
  <si>
    <t>http://www.wanfestival.com/</t>
  </si>
  <si>
    <t>Leganés - Madrid</t>
  </si>
  <si>
    <t>Leganes - Madrid</t>
  </si>
  <si>
    <t>Toro Producciones</t>
  </si>
  <si>
    <t>Porque es una de las fiestas de electrónica en Año Nuevo, más especiales que se celebran en Madrid en los últimos años. La atmósfera que se crea en la Cubierta es realmente especial en cada edición.</t>
  </si>
  <si>
    <t>Electrónica / Djs Internacionales</t>
  </si>
  <si>
    <t>01-01-2021
y
30-10-2021</t>
  </si>
  <si>
    <t>Warm Up Estrella de Levante</t>
  </si>
  <si>
    <t>info@warmupfestival.es</t>
  </si>
  <si>
    <t>968-879800</t>
  </si>
  <si>
    <t>http://www.wammurcia.es/</t>
  </si>
  <si>
    <t>Recinto La Fica. Avda. Primero de mayo s/n</t>
  </si>
  <si>
    <t>Producciones Baltimore (Promotor)</t>
  </si>
  <si>
    <t>Estrella de Levante recibe a miles de jóvenes en Murcia con el ya mítico.</t>
  </si>
  <si>
    <t>Indie Pop / Indie Rock / Electrónica / DancePunk</t>
  </si>
  <si>
    <t>Waterland by Pullmantur Cruceros</t>
  </si>
  <si>
    <t>https://www.pullmantur.es/waterland_3</t>
  </si>
  <si>
    <t>Fernando Godoy (Promotor)</t>
  </si>
  <si>
    <t>Es un festival de música electrónica y diversión en el mar, con tres de los sellos más importantes de música en España.
Durante ocho días, vivirás a bordo 7 noches de fiestas temáticas donde disfrutarás de la música de los mejores DJ´s, con unas maravillosas puestas de sol y en la mejor compañía.</t>
  </si>
  <si>
    <t>Wau Festival</t>
  </si>
  <si>
    <t>info@wuaufestival.com</t>
  </si>
  <si>
    <t>www.waufestival.com</t>
  </si>
  <si>
    <t>Vicerrectorado de Cultura y Deporte de la UMA</t>
  </si>
  <si>
    <t>Es un gran acontecimiento cultural organizado por la Universidad de Málaga, que dará la bienvenida a los estudiantes de la Universidad de Málaga en el próximo curso 2019/20.</t>
  </si>
  <si>
    <t>&lt;</t>
  </si>
  <si>
    <t>Wave Rave</t>
  </si>
  <si>
    <t>info@houstonpartymusic.com</t>
  </si>
  <si>
    <t>www.crystalfighterswaverave.com</t>
  </si>
  <si>
    <t>Bizkaia</t>
  </si>
  <si>
    <t>Houston  Party</t>
  </si>
  <si>
    <t>Crystal Fighters celebrarán Wave Rave en un emplazamiento privilegiado sobre la playa de Aritzatzu.Música y baile hasta el amanecer y actividades para promover la conciencia sobre el medio ambiente, la cultura, el folclore y la gastronomía local.</t>
  </si>
  <si>
    <t>Música Urbana / Música Electrónica</t>
  </si>
  <si>
    <t>Weekend Beach Festival Torre del Mar</t>
  </si>
  <si>
    <t>prensa@weekendbeach.es / contratacion@weekendbeach.es</t>
  </si>
  <si>
    <t>958-515139</t>
  </si>
  <si>
    <t>http://weekendbeach.es/</t>
  </si>
  <si>
    <t>Torre del Mar - Málaga</t>
  </si>
  <si>
    <t xml:space="preserve">
Torre del Mar. Málaga</t>
  </si>
  <si>
    <t>Es una de las primeras citas festivaleras estivales, en uno de los lugares más bonitos de la costa del sol, donde playa, sol, música y un ambiente especial se unen para disfrutar de los mejores artistas internacionales y nacionales.</t>
  </si>
  <si>
    <t>Rock / Inide Rock / Metal / Pop / Indie Pop / Electrónica / DanceTechno / Reggae / Funk / Hip-Hop / Rap / Punk / Ska</t>
  </si>
  <si>
    <t>30-06-2021
-
03-07-2021</t>
  </si>
  <si>
    <t>Weekend Festival</t>
  </si>
  <si>
    <t>925-166112</t>
  </si>
  <si>
    <t>https://www.weekendbeach.es/</t>
  </si>
  <si>
    <t>Villanueva del Alcardete - Toledo</t>
  </si>
  <si>
    <t>Campo de futbol</t>
  </si>
  <si>
    <t>Festival de dos noche de locura (más de 10 Dj's, más de 20.000w de sonido, más de 50.000w de iluminacion robotica, pantallas de led, video visuales, barbacoa
y difusores de agua.</t>
  </si>
  <si>
    <t>01-07-2020
-
04-07-2020</t>
  </si>
  <si>
    <t>What is Music</t>
  </si>
  <si>
    <t>linomartinez@hatismusic.es</t>
  </si>
  <si>
    <t>www.whatismusic.es</t>
  </si>
  <si>
    <t>Burgos</t>
  </si>
  <si>
    <t>Frías. Burgos</t>
  </si>
  <si>
    <t>Lino Martínez</t>
  </si>
  <si>
    <t>Música Experimental</t>
  </si>
  <si>
    <t xml:space="preserve">Por determinar </t>
  </si>
  <si>
    <t>Winter Indie City (WIC)</t>
  </si>
  <si>
    <t>info@winterindiecity.com</t>
  </si>
  <si>
    <t>https://www.winterindiecity.com/</t>
  </si>
  <si>
    <t>Victor Sanz (Promotor)</t>
  </si>
  <si>
    <t>Festival Intermitente e Independiente.</t>
  </si>
  <si>
    <t>200 por concierto</t>
  </si>
  <si>
    <t>Winterfest</t>
  </si>
  <si>
    <t>www.facebook.com/winterfestbarcelona</t>
  </si>
  <si>
    <t>Tomás Quilez Molero</t>
  </si>
  <si>
    <t>El folk,viking y epic está de moda. Es el festival que mejor resultado económico y de asistencia le da a nuestra agencia. Festival referencia del género en la ciudad de Barcelona.</t>
  </si>
  <si>
    <t>Folk Metal / Death metal / Pagan metal / Viking metal</t>
  </si>
  <si>
    <t>Womad Cáceres</t>
  </si>
  <si>
    <t>info@womad.org</t>
  </si>
  <si>
    <t>91-0145480                  649-112324 (Germán-Sonde3)                    670-644043 (DD &amp; Company Madrid)</t>
  </si>
  <si>
    <t>http://womad.org/festival/womad-caceres/</t>
  </si>
  <si>
    <t>Gran Teatro de Cáceres</t>
  </si>
  <si>
    <t>Promotor: DD &amp; Company Producciones S.L</t>
  </si>
  <si>
    <t xml:space="preserve">El Festival de las Artes, las Músicas y las Danzas del Mundo se celebra en la ciudad de Cáceres desde 1992.
</t>
  </si>
  <si>
    <t xml:space="preserve">Rock / Indie Rock / Pop / IndiePop / Electrónica / DanceTechno / Jazz / Soul / Funk / R&amp;B / Hip-Hop / Rap / Ska / Folk / World Music </t>
  </si>
  <si>
    <t>Womad La Palmas De Gran Canaria</t>
  </si>
  <si>
    <t>Info@womad.org</t>
  </si>
  <si>
    <t>928-337636 (Canarias)670-644043 (Madrid)</t>
  </si>
  <si>
    <t>www.womad.org</t>
  </si>
  <si>
    <t>Parque de Santa Catalina</t>
  </si>
  <si>
    <t xml:space="preserve">Promotor: DD&amp;Company Producciones </t>
  </si>
  <si>
    <t>EL Festival de las Artes, las Músicas y las Danzas del Mundo.</t>
  </si>
  <si>
    <t>Indie Rock / Indie Pop / Pop / Electrónica / DanceJazz / Funk / R&amp;B / Hip-Hop / Rap / Ska / Folk / World Music</t>
  </si>
  <si>
    <t>Wombat Fest</t>
  </si>
  <si>
    <t>https://www.facebook.com/wombatfestlovesyou/timeline?ref=page_internal</t>
  </si>
  <si>
    <t>Durango-Bilbao</t>
  </si>
  <si>
    <t>Promotor: Wombat booking</t>
  </si>
  <si>
    <t>Wonder Gay Festival</t>
  </si>
  <si>
    <t>https://wondergayfestival.es/</t>
  </si>
  <si>
    <t xml:space="preserve">Festival cultural y musical de referencia del sur de Europa. Conciertos, arte, exposiciones, DJs, pool parties, festival de cine y mucho más. </t>
  </si>
  <si>
    <t>26-07-2021
 - 
01-08-2021</t>
  </si>
  <si>
    <t>Wos Festival X Estrella Galicia</t>
  </si>
  <si>
    <t>festival@workonsunday.es</t>
  </si>
  <si>
    <t>www.wosfestival.es</t>
  </si>
  <si>
    <t>A Coruña-Santiago de Compostela</t>
  </si>
  <si>
    <t>Promotor: Word ON Sunday</t>
  </si>
  <si>
    <t>WOS es un festival indoor que se celebra en diversas localizaciones excepcionales en el corazón de Santiago de Compostela. Un programa de cerca de medio centenar de actividades que incluye música,cine y charlas.</t>
  </si>
  <si>
    <t>Música Electrónica / DanceTechno Experimental</t>
  </si>
  <si>
    <t>11-09-2020
-
15-09-2020</t>
  </si>
  <si>
    <t>3.425</t>
  </si>
  <si>
    <t>Xtrarradio Musicfest</t>
  </si>
  <si>
    <t>david.arias@xtrarradio.com        javi.doblas@xtrarradio.com comunicación@xtrarradio.com</t>
  </si>
  <si>
    <t>626-705869</t>
  </si>
  <si>
    <t>http://www.xtrarradio.com/</t>
  </si>
  <si>
    <t>La [2] de Apolo</t>
  </si>
  <si>
    <t>Organización: Good Manners Producciones SLU - David Arias (Booking) y Javi Doblas (Producción)</t>
  </si>
  <si>
    <t>Es un festival dedicado a propuestas de rock independiente que incluyen psicodelia, surf, garage, punk o electrónica. Sonidos contemporáneos frescos y vanguardistas, baluartes de la reivindicación de una escena efervescente donde hay lugar para el desmadre y la experimentación</t>
  </si>
  <si>
    <t>Rock independiente / Psicodelia / Surf-rock Garage</t>
  </si>
  <si>
    <t>19-03-2020
 - 
25-04-2020</t>
  </si>
  <si>
    <t>Z! Live Rock</t>
  </si>
  <si>
    <t>gonzalo@zliverock.com / contratacion@zliverock.com</t>
  </si>
  <si>
    <t>http://www.zliverock.com/</t>
  </si>
  <si>
    <t>Zamora</t>
  </si>
  <si>
    <t>Auditorio Ruta de la Plata, C/ de Salamanca 81 - Zamora</t>
  </si>
  <si>
    <t>Let Zed Live S.L (Promotor y organizador)</t>
  </si>
  <si>
    <t>Z! Live es un festival de heavy metal de formato pequeño-mediano en el que el asistente es el centro de todo: Tratamos de crear un ambiente único y en ofrecer una serie de servicios que hagan de la experiencia de nuestros asistentes algo memorable.</t>
  </si>
  <si>
    <t>11-06-2021
-
12-06-2021</t>
  </si>
  <si>
    <t>3.146</t>
  </si>
  <si>
    <t>Zaidin Rock</t>
  </si>
  <si>
    <t>https://www.facebook.com/Rock.Zaidin/timeline?ref=page_internal</t>
  </si>
  <si>
    <t>Zaidín-Granada</t>
  </si>
  <si>
    <t>Grupo Hermanos Toro (Organizador)</t>
  </si>
  <si>
    <t>se celebra al aire libre en distintas plazas y calles del barrio del Zaidín en Granada y marca el final del verano, Su carácter abierto a todos los públicos y gratuito anima a las persona que vallan año tras año.</t>
  </si>
  <si>
    <t>39.0</t>
  </si>
  <si>
    <t>Zaragoza Ciudad Hip Hop Festival</t>
  </si>
  <si>
    <t>zaragozahipphopfestival@zaragozahipphopfestival.com</t>
  </si>
  <si>
    <t>976-299638</t>
  </si>
  <si>
    <t>Teatro de las Esquinas</t>
  </si>
  <si>
    <t>Stop Producciones</t>
  </si>
  <si>
    <t>Zaragoza Ciudad Hip Hop Festival es el festival más longevo de España, desde su primera edición allá por el año 2002 lleva dando repercusión a todas las disciplinas relacionadas con la cultura Hip Hop, RAP, Graffiti, Break y Dj’s han tenido en sus ediciones representación nacional como internacional.</t>
  </si>
  <si>
    <t>Zaragoza Jazz Festival</t>
  </si>
  <si>
    <t>datos@siam.es</t>
  </si>
  <si>
    <t>650 -589664</t>
  </si>
  <si>
    <t>https://zaragozajazzfestival.com/</t>
  </si>
  <si>
    <t>Siamm Producciones y Ayuntamiento de Zaragoza</t>
  </si>
  <si>
    <t>13-11-2020
-
22-11-2020</t>
  </si>
  <si>
    <t>37.0</t>
  </si>
  <si>
    <t>Zaragoza Pop Fest</t>
  </si>
  <si>
    <t>https://www.facebook.com/ZaragozaPopFest/timeline?ref=page_internal</t>
  </si>
  <si>
    <t>La Lata de Bombillas (Zaragoza)</t>
  </si>
  <si>
    <t>Es un festival sin ánimo de lucro con el único propósito de disfrutar de este estilo de música y acercar el pop más underground a la capital del valle del Ebro.</t>
  </si>
  <si>
    <t>Zaragoza Psych Fest</t>
  </si>
  <si>
    <t>analogloveproductions@gmail.com</t>
  </si>
  <si>
    <t>https://es-es.facebook.com/zaragozapsychfest/</t>
  </si>
  <si>
    <t>Espacio Cultural Las Armas</t>
  </si>
  <si>
    <t>Analoglove Productions</t>
  </si>
  <si>
    <t>ofrece una jornada de música, arte y divertimento con el fin de crear una experiencia sensorial única e irrepetible para el espectador. 
Experiencia que se expresará no sólo con la música, sino también con los visuales, exposiciones y performance que se realizarán durante las jornadas.</t>
  </si>
  <si>
    <t>Psicodelia/ Garaje / Rock experimental / Psych</t>
  </si>
  <si>
    <t>Zeporock Fest</t>
  </si>
  <si>
    <t>info@zeporock.com</t>
  </si>
  <si>
    <t>www.zeporock.com</t>
  </si>
  <si>
    <t>Toledo</t>
  </si>
  <si>
    <t>El Toboso.Toledo</t>
  </si>
  <si>
    <t>Asociación Zeporock</t>
  </si>
  <si>
    <t>Para volver a las raices rurales y descubrir la magia de un pueblo como el Toboso, disfrutar con gentes de todas las edades y condiciones la magia de la música en su estado más primario y emergente, en un festival cercano, integrador, ¡ de pueblo!</t>
  </si>
  <si>
    <t>Rock / Soul / Funk /
Rithm&amp;Blues /
Punk /
Electrorock /
Stoner / Fusión /
Bluegrass /
Indierock</t>
  </si>
  <si>
    <t>ASOCIACIÓN</t>
  </si>
  <si>
    <t>C. POSTAL</t>
  </si>
  <si>
    <t>AFORO</t>
  </si>
  <si>
    <t>OBSERVACIONES</t>
  </si>
  <si>
    <t>Mardi Grass</t>
  </si>
  <si>
    <t>salamardigras@gmail.com
info@salamardigras.com</t>
  </si>
  <si>
    <t>981-140045
677-428150</t>
  </si>
  <si>
    <t>www.salamardigras.com/</t>
  </si>
  <si>
    <t>Travesía Torre, 8</t>
  </si>
  <si>
    <t xml:space="preserve">Yolanda Villa Gonzalez </t>
  </si>
  <si>
    <t>Sala de Conciertos</t>
  </si>
  <si>
    <t>ACCES/CLUBTURA</t>
  </si>
  <si>
    <t>15002</t>
  </si>
  <si>
    <t>120</t>
  </si>
  <si>
    <t>Playa Club</t>
  </si>
  <si>
    <t>programacion@playaclub.club </t>
  </si>
  <si>
    <t>981-250063</t>
  </si>
  <si>
    <t>http://www.playaclub.club/</t>
  </si>
  <si>
    <t xml:space="preserve">Andén de Riazor, s/n </t>
  </si>
  <si>
    <t>Carlos Landeira</t>
  </si>
  <si>
    <t>15011</t>
  </si>
  <si>
    <t>650</t>
  </si>
  <si>
    <t>Sala O Túnel</t>
  </si>
  <si>
    <t>coliseum@coruna.es</t>
  </si>
  <si>
    <t>699-336129
981-134450</t>
  </si>
  <si>
    <t>https://www.coruna.gal/web/es/temas/sociedad-y-bienestar/ocio-y-cultura/equipamientos-de-ocio/equipamiento/sala-o-tunel/entidad/1410830192897?argIdioma=es#:~:text=%22O%20T%C3%BAnel%22%20es%20una%20sala,programaci%C3%B3n%20cultural%20de%20nuestra%20ciudad.</t>
  </si>
  <si>
    <t>C/ Francisco Pérez Carballo, 2</t>
  </si>
  <si>
    <t>15008</t>
  </si>
  <si>
    <t>Clandestino</t>
  </si>
  <si>
    <t>administracion@alborotoproducciones.com
info@salaclandestino.com</t>
  </si>
  <si>
    <t>637-460553</t>
  </si>
  <si>
    <t>http://www.salaclandestino.com/</t>
  </si>
  <si>
    <t>Avda. de España, 47</t>
  </si>
  <si>
    <t>Javier Sevilla Rodenas</t>
  </si>
  <si>
    <t>ACCES</t>
  </si>
  <si>
    <t>02002</t>
  </si>
  <si>
    <t>280</t>
  </si>
  <si>
    <t>The Rose Yuncler</t>
  </si>
  <si>
    <t>duendetarazona@hotmail.com</t>
  </si>
  <si>
    <t>Gallegos 12</t>
  </si>
  <si>
    <t>Ángel Miguel Zamora Bonilla</t>
  </si>
  <si>
    <t>02100</t>
  </si>
  <si>
    <t>Underground Music Club</t>
  </si>
  <si>
    <t>undergroundsevilla@gmail.com</t>
  </si>
  <si>
    <t>722-180339</t>
  </si>
  <si>
    <t xml:space="preserve">http://undergroundsevilla.wix.com/underground
</t>
  </si>
  <si>
    <t>Alcalé de Guadaira</t>
  </si>
  <si>
    <t>Ronda Cabeza Hermosa</t>
  </si>
  <si>
    <t>41500</t>
  </si>
  <si>
    <t>170</t>
  </si>
  <si>
    <t>Gramola</t>
  </si>
  <si>
    <t>salagramolaalgeciras@gmail.es</t>
  </si>
  <si>
    <t>610-785067</t>
  </si>
  <si>
    <t>http://www.salagramola.es/</t>
  </si>
  <si>
    <t>Algeciras</t>
  </si>
  <si>
    <t>Pasaje Fuente Nueva sn</t>
  </si>
  <si>
    <t>José Manuel Fernández</t>
  </si>
  <si>
    <t>ACCES/CREADI</t>
  </si>
  <si>
    <t>11203</t>
  </si>
  <si>
    <t>520</t>
  </si>
  <si>
    <t>Jazzaza Jazz Club</t>
  </si>
  <si>
    <t>info@jazzazza.com
jazzazza@jazzazza.com</t>
  </si>
  <si>
    <t>968-842300</t>
  </si>
  <si>
    <t>http://www.jazzazza.com/</t>
  </si>
  <si>
    <t>Algezares</t>
  </si>
  <si>
    <t>Ramón y Cajal, 4</t>
  </si>
  <si>
    <t>Jose Joaquín Baeza Lacarcel</t>
  </si>
  <si>
    <t>ACCES/MURCIA LIVE!</t>
  </si>
  <si>
    <t>30157</t>
  </si>
  <si>
    <t>Sala Stereo</t>
  </si>
  <si>
    <t>redes@salastereo.com
conciertos@salastereo.com
administracion@salastereo.com
oficina@salastereo.com</t>
  </si>
  <si>
    <t>601-158612
965-143946</t>
  </si>
  <si>
    <t>http://www.salastereo.com/</t>
  </si>
  <si>
    <t>Pintor Velázquez 5</t>
  </si>
  <si>
    <t>Ángel Pérez Gambín</t>
  </si>
  <si>
    <t>ACCES/EN VIÚ!</t>
  </si>
  <si>
    <t>03004</t>
  </si>
  <si>
    <t>Babel Live Stage</t>
  </si>
  <si>
    <t>greencometmanagement@gmail.com
contratacion@babellivestage,com
programacion@cafelapalma.com</t>
  </si>
  <si>
    <t>665-313443</t>
  </si>
  <si>
    <t>Calle Comercio, 3</t>
  </si>
  <si>
    <t>Juan Carlos Ferrándiz Moreno</t>
  </si>
  <si>
    <t>03008</t>
  </si>
  <si>
    <t>222</t>
  </si>
  <si>
    <t>Café Cultural Roi Xordo</t>
  </si>
  <si>
    <t xml:space="preserve">alex_mary_farru@hotmail.com </t>
  </si>
  <si>
    <t>Allariz</t>
  </si>
  <si>
    <t>Praza dos Mesóns, 3</t>
  </si>
  <si>
    <t>Alex / Mary</t>
  </si>
  <si>
    <t>32660</t>
  </si>
  <si>
    <t>70</t>
  </si>
  <si>
    <t>Rock City</t>
  </si>
  <si>
    <t>info@rockcity.es</t>
  </si>
  <si>
    <t>961-856966</t>
  </si>
  <si>
    <t>http://www.rockcity.es/</t>
  </si>
  <si>
    <t>Almácera</t>
  </si>
  <si>
    <t xml:space="preserve">Els Coheters 6 </t>
  </si>
  <si>
    <t>Agustín(Kono)</t>
  </si>
  <si>
    <t>46132</t>
  </si>
  <si>
    <t>465</t>
  </si>
  <si>
    <t>Sala Madchester</t>
  </si>
  <si>
    <t>info@madchesterclub.es</t>
  </si>
  <si>
    <t>http://www.madchester.es/</t>
  </si>
  <si>
    <t>Parque de Nicolás Salmerón, 9</t>
  </si>
  <si>
    <t>Pedro Gil López</t>
  </si>
  <si>
    <t>04001</t>
  </si>
  <si>
    <t>265</t>
  </si>
  <si>
    <t>Berlín Social Club</t>
  </si>
  <si>
    <t>directosberlin@crashmusic.es</t>
  </si>
  <si>
    <t>653-607328 (Miguel)
636-560752</t>
  </si>
  <si>
    <t>https://berlinalmeria.com/</t>
  </si>
  <si>
    <t xml:space="preserve">Almería </t>
  </si>
  <si>
    <t>Miguel - Crash Music</t>
  </si>
  <si>
    <t>La Colmena Musical</t>
  </si>
  <si>
    <t>Pirri05@gmail.com</t>
  </si>
  <si>
    <t>629-256173</t>
  </si>
  <si>
    <t>http://lacolmenamusical.com/</t>
  </si>
  <si>
    <t>Aranda de Duero</t>
  </si>
  <si>
    <t>Polígono industrial Prado Marina Parcela M19</t>
  </si>
  <si>
    <t>José Javier Román Benito</t>
  </si>
  <si>
    <t>ACCES/CASTILLA Y LEÓN EN VIVO</t>
  </si>
  <si>
    <t>09400</t>
  </si>
  <si>
    <t>850</t>
  </si>
  <si>
    <t>Sala Tribeca Live</t>
  </si>
  <si>
    <t>info@tribecaliveoviedo.com</t>
  </si>
  <si>
    <t>985-215012</t>
  </si>
  <si>
    <t>Calle del Peso, 10</t>
  </si>
  <si>
    <t>EP Management - Enrique Patricio</t>
  </si>
  <si>
    <t>33003</t>
  </si>
  <si>
    <t>Matadero Live Music</t>
  </si>
  <si>
    <t>salamatadero@gmail.com</t>
  </si>
  <si>
    <t>http://www.facebook.com/SalaMatadero</t>
  </si>
  <si>
    <t>C/ Matadero nº 17</t>
  </si>
  <si>
    <t>Daniel González Cerdá</t>
  </si>
  <si>
    <t>46620</t>
  </si>
  <si>
    <t>Sanagustin kulturgunea</t>
  </si>
  <si>
    <t>kurbieta@kulturaz.eus</t>
  </si>
  <si>
    <t xml:space="preserve">674-165684 </t>
  </si>
  <si>
    <t>https://www.kulturaz.eus/san-agustin</t>
  </si>
  <si>
    <t>Azpeitia</t>
  </si>
  <si>
    <t>Guipozcoa</t>
  </si>
  <si>
    <t xml:space="preserve">Plaza Nagusia, 5 </t>
  </si>
  <si>
    <t>Aitor Bengoetxea Odriozola</t>
  </si>
  <si>
    <t>KULTURA LIVE</t>
  </si>
  <si>
    <t>20730</t>
  </si>
  <si>
    <t>560</t>
  </si>
  <si>
    <t>#Off Cultura</t>
  </si>
  <si>
    <t>info@salaoff.org</t>
  </si>
  <si>
    <t>http://www.OffCultura.com/</t>
  </si>
  <si>
    <t>Avda. Ricardo Carapeto Zambrano 148</t>
  </si>
  <si>
    <t>David</t>
  </si>
  <si>
    <t>06009</t>
  </si>
  <si>
    <t>153</t>
  </si>
  <si>
    <t>Motel 7</t>
  </si>
  <si>
    <t>pandegasons@hotmail.com</t>
  </si>
  <si>
    <t>696-817615</t>
  </si>
  <si>
    <t>C/San Juan, 7</t>
  </si>
  <si>
    <t>Manolo Vega</t>
  </si>
  <si>
    <t>06002</t>
  </si>
  <si>
    <t>Donzella de la Costa</t>
  </si>
  <si>
    <t>info@donzella.cat</t>
  </si>
  <si>
    <t>669-184488</t>
  </si>
  <si>
    <t>Donzella.cat</t>
  </si>
  <si>
    <t>Badalona</t>
  </si>
  <si>
    <t>Passeig Marítim s/n</t>
  </si>
  <si>
    <t>ASACC</t>
  </si>
  <si>
    <t>8911</t>
  </si>
  <si>
    <t>Sarau08911</t>
  </si>
  <si>
    <t>sarau@sarau08911.com</t>
  </si>
  <si>
    <t>609-774579</t>
  </si>
  <si>
    <t xml:space="preserve">www.sarau08911.com </t>
  </si>
  <si>
    <t>Ramon Marti i Alsina, 32</t>
  </si>
  <si>
    <t>08911</t>
  </si>
  <si>
    <t>Marrucho</t>
  </si>
  <si>
    <t xml:space="preserve">marruchoenconcerto@gmail.com </t>
  </si>
  <si>
    <t>722-517664</t>
  </si>
  <si>
    <t>https://www.facebook.com/marruchobaiona</t>
  </si>
  <si>
    <t>Baiona</t>
  </si>
  <si>
    <t>Rua da percibilleira, 40</t>
  </si>
  <si>
    <t>36300</t>
  </si>
  <si>
    <t>90</t>
  </si>
  <si>
    <t>Almo2Bar</t>
  </si>
  <si>
    <t>grupalmodobar@gmail.com</t>
  </si>
  <si>
    <t>932-199345</t>
  </si>
  <si>
    <t>www.grupalmodobar.com</t>
  </si>
  <si>
    <t>C/ Bruniquer 59-61</t>
  </si>
  <si>
    <t xml:space="preserve">Àngel </t>
  </si>
  <si>
    <t>8024</t>
  </si>
  <si>
    <t>450</t>
  </si>
  <si>
    <t>Almodobar</t>
  </si>
  <si>
    <t>932 073 855</t>
  </si>
  <si>
    <t>C/ Grassot 36 Bjos</t>
  </si>
  <si>
    <t>8025</t>
  </si>
  <si>
    <t>210</t>
  </si>
  <si>
    <t>Milano Jazz Club</t>
  </si>
  <si>
    <t>info@camparimilano.com
guim@camparimilano.com (Contractació i propostes musicals)</t>
  </si>
  <si>
    <t>931-127150</t>
  </si>
  <si>
    <t>www.camparimilano.com</t>
  </si>
  <si>
    <t>Ronda Universitat, 35</t>
  </si>
  <si>
    <t>08007</t>
  </si>
  <si>
    <t>El Paraigua</t>
  </si>
  <si>
    <t>bar@elparaigua.com</t>
  </si>
  <si>
    <t>933 171 479</t>
  </si>
  <si>
    <t>www.elparaigua.com</t>
  </si>
  <si>
    <t xml:space="preserve">C/ Pas De L'Ensenyança, 2 </t>
  </si>
  <si>
    <t>8002</t>
  </si>
  <si>
    <t>80</t>
  </si>
  <si>
    <t>Euskal Etxea</t>
  </si>
  <si>
    <t>Carrer de l'Arc de Sant Vicenç, s/n</t>
  </si>
  <si>
    <t>08003</t>
  </si>
  <si>
    <t>Freedonia</t>
  </si>
  <si>
    <t>info@freedonia.eu</t>
  </si>
  <si>
    <t>686-925332</t>
  </si>
  <si>
    <t>www.freedonia.eu</t>
  </si>
  <si>
    <t>Carrer Lleialtat, 6 Baixos</t>
  </si>
  <si>
    <t xml:space="preserve">Coque Sánchez </t>
  </si>
  <si>
    <t>Concerts 90 / Bar (acústics) 60</t>
  </si>
  <si>
    <t>La Nau</t>
  </si>
  <si>
    <t>info@lanaubcn.es</t>
  </si>
  <si>
    <t>932-250314</t>
  </si>
  <si>
    <t>www.lanaubarcelona.es</t>
  </si>
  <si>
    <t>Carrer D'Alaba, 30</t>
  </si>
  <si>
    <t>Gustavo Guillamet</t>
  </si>
  <si>
    <t>8005</t>
  </si>
  <si>
    <t>360</t>
  </si>
  <si>
    <t>La Sonora de Gràcia</t>
  </si>
  <si>
    <t>lasonoradegracia@gmail.com</t>
  </si>
  <si>
    <t>640-878926</t>
  </si>
  <si>
    <t>https://www.facebook.com/lasonoradegracia/</t>
  </si>
  <si>
    <t>C/ De la Riera de Sant Miquel, 59</t>
  </si>
  <si>
    <t>8006</t>
  </si>
  <si>
    <t>84</t>
  </si>
  <si>
    <t>Luz de Gas</t>
  </si>
  <si>
    <t>comunicacio@luzdegas.com</t>
  </si>
  <si>
    <t>932-097711</t>
  </si>
  <si>
    <t>https://www.luzdegas.com/index.php/ca/</t>
  </si>
  <si>
    <t>Muntaner, 246</t>
  </si>
  <si>
    <t>Fernando Vila Navarro</t>
  </si>
  <si>
    <t>08021</t>
  </si>
  <si>
    <t>Marula Café</t>
  </si>
  <si>
    <t>eventos@marulacafe.com</t>
  </si>
  <si>
    <t>933-187690</t>
  </si>
  <si>
    <t>https://marulacafe.com/bcn/</t>
  </si>
  <si>
    <t>C/ EScudellers, 49</t>
  </si>
  <si>
    <t>08002</t>
  </si>
  <si>
    <t>Meteoro</t>
  </si>
  <si>
    <t>meteoro.cultura@gmail.com</t>
  </si>
  <si>
    <t>www.facebook.com/meteoro.bcn/</t>
  </si>
  <si>
    <t>Passeig de Montjuic 72</t>
  </si>
  <si>
    <t>98</t>
  </si>
  <si>
    <t>Music Hall</t>
  </si>
  <si>
    <t>932-380722</t>
  </si>
  <si>
    <t>Rambla Catalunya, 2-4</t>
  </si>
  <si>
    <t>Hèctor Caballud</t>
  </si>
  <si>
    <t>Nota 79</t>
  </si>
  <si>
    <t>management@nota79.cat</t>
  </si>
  <si>
    <t>669-893140</t>
  </si>
  <si>
    <t>www.nota79.cat</t>
  </si>
  <si>
    <t>C/ Vallirana, 79</t>
  </si>
  <si>
    <t>Plataforma</t>
  </si>
  <si>
    <t xml:space="preserve">info@salaplataforma.com </t>
  </si>
  <si>
    <t>933-290029</t>
  </si>
  <si>
    <t>www.salaplataforma.com</t>
  </si>
  <si>
    <t>Nou de la Rambla, 145</t>
  </si>
  <si>
    <t>08004</t>
  </si>
  <si>
    <t>472</t>
  </si>
  <si>
    <t>Razzmatazz 1</t>
  </si>
  <si>
    <t>info@salarazzmatazz.com 
esther.buxade@salarazzmatazz.com</t>
  </si>
  <si>
    <t xml:space="preserve">933-208200 </t>
  </si>
  <si>
    <t xml:space="preserve">www.salarazzmatazz.com </t>
  </si>
  <si>
    <t>Almogàvers, 122</t>
  </si>
  <si>
    <t>08018</t>
  </si>
  <si>
    <t>2130</t>
  </si>
  <si>
    <t>Razzmatazz 2</t>
  </si>
  <si>
    <t>inforazz@salarazzmatazz.com</t>
  </si>
  <si>
    <t>933-208200</t>
  </si>
  <si>
    <t>C/ Pamplona, 88</t>
  </si>
  <si>
    <t xml:space="preserve">Razzmatazz 3 </t>
  </si>
  <si>
    <t>93 320 82 00</t>
  </si>
  <si>
    <t>223</t>
  </si>
  <si>
    <t>La [2] Apolo</t>
  </si>
  <si>
    <t>info@sala-apolo.com
tamara@sala-apolo.com</t>
  </si>
  <si>
    <t>934-414001</t>
  </si>
  <si>
    <t>https://www.sala-apolo.com/es/</t>
  </si>
  <si>
    <t>C/ Nou de la Rambla, 111</t>
  </si>
  <si>
    <t>Sala Apolo</t>
  </si>
  <si>
    <t>www.sala-apolo.com</t>
  </si>
  <si>
    <t>C/ Nou de la Rambla, 113</t>
  </si>
  <si>
    <t>8004</t>
  </si>
  <si>
    <t>2905</t>
  </si>
  <si>
    <t>Sala Bikini</t>
  </si>
  <si>
    <t>bikinilive@bikinibcn.com</t>
  </si>
  <si>
    <t>933-220800</t>
  </si>
  <si>
    <t xml:space="preserve">www.bikinibcn.com </t>
  </si>
  <si>
    <t>Diagonal, 547</t>
  </si>
  <si>
    <t>08029</t>
  </si>
  <si>
    <t xml:space="preserve">Sala Upload </t>
  </si>
  <si>
    <t>info@sala-upload.com</t>
  </si>
  <si>
    <t>931-050883</t>
  </si>
  <si>
    <t>www.sala-upload.com</t>
  </si>
  <si>
    <t>Av. Francesc Ferrer i Guàrdia, 13</t>
  </si>
  <si>
    <t>08038</t>
  </si>
  <si>
    <t>212</t>
  </si>
  <si>
    <t>Sidecar Factory Club</t>
  </si>
  <si>
    <t xml:space="preserve">info@sidecar.es </t>
  </si>
  <si>
    <t>933-021586</t>
  </si>
  <si>
    <t xml:space="preserve">www.sidecar.es </t>
  </si>
  <si>
    <t>Plaza Reial, 7</t>
  </si>
  <si>
    <t>Slow Barcelona</t>
  </si>
  <si>
    <t>info@slowbarcelona.es</t>
  </si>
  <si>
    <t>933-681455</t>
  </si>
  <si>
    <t>https://www.slowbarcelona.es/</t>
  </si>
  <si>
    <t>C/ París, 186</t>
  </si>
  <si>
    <t>08036</t>
  </si>
  <si>
    <t>Soda Acústic</t>
  </si>
  <si>
    <t>info@soda.cat</t>
  </si>
  <si>
    <t>930-165590</t>
  </si>
  <si>
    <t>www.soda.cat</t>
  </si>
  <si>
    <t xml:space="preserve">C/ Guilleries, 6 </t>
  </si>
  <si>
    <t>8012</t>
  </si>
  <si>
    <t>76</t>
  </si>
  <si>
    <t xml:space="preserve">Taller de Músics 24 </t>
  </si>
  <si>
    <t>produccions@tallerdemusics.com</t>
  </si>
  <si>
    <t>934-434346</t>
  </si>
  <si>
    <t>www.tallerdemusics.com</t>
  </si>
  <si>
    <t>Carrer de Requesens, 3</t>
  </si>
  <si>
    <t>08001</t>
  </si>
  <si>
    <t>Vol</t>
  </si>
  <si>
    <t>http://salavol.com/</t>
  </si>
  <si>
    <t>C/ SANCHO DE AVILA 78</t>
  </si>
  <si>
    <t>8018</t>
  </si>
  <si>
    <t>Sala Wolf Barcelona</t>
  </si>
  <si>
    <t>live@wolfbarcelona.com
info@wolfbarcelona.com</t>
  </si>
  <si>
    <t>672-707844</t>
  </si>
  <si>
    <t>www.wolfbarcelona.com</t>
  </si>
  <si>
    <t>calle Almogàvers 88,</t>
  </si>
  <si>
    <t>Sala Taro</t>
  </si>
  <si>
    <t>salataro@salataro.com</t>
  </si>
  <si>
    <t>http://https//www.facebook.com/salataro/</t>
  </si>
  <si>
    <t>Calle Rossend Arús, 9</t>
  </si>
  <si>
    <t>8014</t>
  </si>
  <si>
    <t>85</t>
  </si>
  <si>
    <t>Sinestesia</t>
  </si>
  <si>
    <t>info@sinestesia.barcelona</t>
  </si>
  <si>
    <t>931-537897</t>
  </si>
  <si>
    <t>http://https//sinestesia.barcelona/</t>
  </si>
  <si>
    <t>Calle Santa Caterina, 52-54</t>
  </si>
  <si>
    <t>Jolanda Marrone</t>
  </si>
  <si>
    <t>Estraperlo Club del Ritme</t>
  </si>
  <si>
    <t>david@hfmncrew.com</t>
  </si>
  <si>
    <t>629-307023</t>
  </si>
  <si>
    <t>https://myspace.com/estraperloclubdelritme</t>
  </si>
  <si>
    <t>Carrer d'Isidre Nonell, 9,</t>
  </si>
  <si>
    <t>David Peret</t>
  </si>
  <si>
    <t>Garage 442</t>
  </si>
  <si>
    <t>info@garage442.com</t>
  </si>
  <si>
    <t>934 76 36 40</t>
  </si>
  <si>
    <t>http://www.garage442.com/</t>
  </si>
  <si>
    <t>Avinguda Diagonal, 442</t>
  </si>
  <si>
    <t>Xavier Figueras</t>
  </si>
  <si>
    <t>8037</t>
  </si>
  <si>
    <t>Gatsby</t>
  </si>
  <si>
    <t>antonio@suttonbarcelona.com
info@gatsbybarcelona.com</t>
  </si>
  <si>
    <t>937 00 44 53</t>
  </si>
  <si>
    <t>https://www.gatsbybarcelona.com/</t>
  </si>
  <si>
    <t>Carrer de Tuset, 19,</t>
  </si>
  <si>
    <t>Antonio Cano</t>
  </si>
  <si>
    <t>291</t>
  </si>
  <si>
    <t>Guzzo</t>
  </si>
  <si>
    <t>royale.cafe@gmail.com</t>
  </si>
  <si>
    <t>936 67 00 36</t>
  </si>
  <si>
    <t>https://www.guzzorestaurante.es/</t>
  </si>
  <si>
    <t>Plaça Comercial, 10</t>
  </si>
  <si>
    <t>Frederic Guzzo</t>
  </si>
  <si>
    <t>8003</t>
  </si>
  <si>
    <t>67</t>
  </si>
  <si>
    <t>La Deskomunal</t>
  </si>
  <si>
    <t>programacio@ladeskomunal.coop</t>
  </si>
  <si>
    <t>931-190692</t>
  </si>
  <si>
    <t>https://lacomunal.coop/</t>
  </si>
  <si>
    <t>Riera d'Escuder, 38</t>
  </si>
  <si>
    <t>8028</t>
  </si>
  <si>
    <t>199</t>
  </si>
  <si>
    <t>Sala B</t>
  </si>
  <si>
    <t>https://www.luzdegas.com/index.php/ca/#salab</t>
  </si>
  <si>
    <t>Carrer de Muntaner, 246</t>
  </si>
  <si>
    <t>8021</t>
  </si>
  <si>
    <t>175</t>
  </si>
  <si>
    <t>Tablao de Carmen</t>
  </si>
  <si>
    <t>info@tablaodecarmen.com</t>
  </si>
  <si>
    <t>933-256895</t>
  </si>
  <si>
    <t>https://www.tablaodecarmen.com/</t>
  </si>
  <si>
    <t>Poble Espanyol de Montjuïc, Av. Francesc Ferrer i Guàrdia, 13</t>
  </si>
  <si>
    <t>María Agüero 'Mimo'</t>
  </si>
  <si>
    <t>8038</t>
  </si>
  <si>
    <t>107</t>
  </si>
  <si>
    <t>Tablao Flamenco Cordobés</t>
  </si>
  <si>
    <t>tablao@tablaocordobes.com</t>
  </si>
  <si>
    <t>933-175711</t>
  </si>
  <si>
    <t>https://tablaocordobes.es/</t>
  </si>
  <si>
    <t>La Rambla, 35</t>
  </si>
  <si>
    <t>130</t>
  </si>
  <si>
    <t>The Shamrock</t>
  </si>
  <si>
    <t>Zalapla64@gmail.com</t>
  </si>
  <si>
    <t>938-141371</t>
  </si>
  <si>
    <t>https://www.facebook.com/The-shamrock-704221526339703/</t>
  </si>
  <si>
    <t xml:space="preserve">Plaça dels Lladoners, 6 </t>
  </si>
  <si>
    <t>Xema Zanon</t>
  </si>
  <si>
    <t>8800</t>
  </si>
  <si>
    <t>Sala Bóveda</t>
  </si>
  <si>
    <t xml:space="preserve">salaboveda@gmail.com </t>
  </si>
  <si>
    <t>933-091315</t>
  </si>
  <si>
    <t xml:space="preserve">www.salaboveda.com </t>
  </si>
  <si>
    <t>Roc Boronat, 33</t>
  </si>
  <si>
    <t>08005</t>
  </si>
  <si>
    <t>Caferino</t>
  </si>
  <si>
    <t>barceferino@gmail.com</t>
  </si>
  <si>
    <t>658-815840</t>
  </si>
  <si>
    <t>https://www.facebook.com/BAR-CEFERINO-127514951960/</t>
  </si>
  <si>
    <t>Carrer de Pamplona, 88</t>
  </si>
  <si>
    <t>Eduardo Garcia</t>
  </si>
  <si>
    <t>60</t>
  </si>
  <si>
    <t>Espai Salvadiscos</t>
  </si>
  <si>
    <t>espai@salvadicos.com</t>
  </si>
  <si>
    <t>http://www.salvadiscos.com/</t>
  </si>
  <si>
    <t>Plaça Santa Madrona, 4</t>
  </si>
  <si>
    <t>Jor / David / Jordi</t>
  </si>
  <si>
    <t>50</t>
  </si>
  <si>
    <t>Jazz Sí Club</t>
  </si>
  <si>
    <t>fundacio@tallerdemusics.com
produccions@tallerdemusics.com</t>
  </si>
  <si>
    <t>https://tallerdemusics.com/jazzsi-club/</t>
  </si>
  <si>
    <t>Carrer de Requesens, 2</t>
  </si>
  <si>
    <t>8001</t>
  </si>
  <si>
    <t>Sala Barts</t>
  </si>
  <si>
    <t>info@barts.cat</t>
  </si>
  <si>
    <t xml:space="preserve">933-248492
</t>
  </si>
  <si>
    <t>www.bartsclub.com</t>
  </si>
  <si>
    <t>Avinguda del Paral·lel, 62</t>
  </si>
  <si>
    <t>Diobar</t>
  </si>
  <si>
    <t>diobar@diobarbcn.cat</t>
  </si>
  <si>
    <t>656-621145</t>
  </si>
  <si>
    <t>https://www.facebook.com/DiobarBcn/</t>
  </si>
  <si>
    <t>Av. Marquès De L'Argentera, 27 (Downstairs)</t>
  </si>
  <si>
    <t>Jordi / Cristos</t>
  </si>
  <si>
    <t>87</t>
  </si>
  <si>
    <t>Jazzsí Club Taller de Músicos</t>
  </si>
  <si>
    <t>jazzsiclub@gmail.com
produccions@tallerdemusics.com
superior@tallerdemusics.com</t>
  </si>
  <si>
    <t>933-290020
934-434346
931-763063</t>
  </si>
  <si>
    <t>http://www.tallerdemusics.com/jazzsi-club/</t>
  </si>
  <si>
    <t>Requesens 2</t>
  </si>
  <si>
    <t>Quino Marín</t>
  </si>
  <si>
    <t>Les Enfants</t>
  </si>
  <si>
    <t>660-561495</t>
  </si>
  <si>
    <t xml:space="preserve">www.lesenfants.es </t>
  </si>
  <si>
    <t>C/ Guàrdia nº 3</t>
  </si>
  <si>
    <t>Jamboree</t>
  </si>
  <si>
    <t>info-jamboree@masimas.com</t>
  </si>
  <si>
    <t>933-041210</t>
  </si>
  <si>
    <t>https://jamboreejazz.com/</t>
  </si>
  <si>
    <t>Pl. Reial, 17</t>
  </si>
  <si>
    <t>Tarantos</t>
  </si>
  <si>
    <t>tarantos@masimas.com</t>
  </si>
  <si>
    <t>https://tarantosbarcelona.com/en/</t>
  </si>
  <si>
    <t>Pza. Reial, 17</t>
  </si>
  <si>
    <t>Ceferino</t>
  </si>
  <si>
    <t>933 099 998</t>
  </si>
  <si>
    <t>Edu</t>
  </si>
  <si>
    <t>Continental</t>
  </si>
  <si>
    <t>continental.programacion@gmail.com</t>
  </si>
  <si>
    <t>932-170267
600-420207</t>
  </si>
  <si>
    <t>C/ Providència 30-32</t>
  </si>
  <si>
    <t>Heliogábal</t>
  </si>
  <si>
    <t>agenda@heliogabal.com</t>
  </si>
  <si>
    <t>936-763132</t>
  </si>
  <si>
    <t>http://www.heliogabal.com</t>
  </si>
  <si>
    <t>C/ Ramón y Cajal, 80</t>
  </si>
  <si>
    <t>08012</t>
  </si>
  <si>
    <t>La Rouge</t>
  </si>
  <si>
    <t xml:space="preserve">
jordinasangra@gmail.com</t>
  </si>
  <si>
    <t>935 414 254</t>
  </si>
  <si>
    <t>www.facebook.com/pages/LA-ROUGE-RAVAL-BCN/273063136779</t>
  </si>
  <si>
    <t xml:space="preserve">C/ Rambla del Raval, 10 </t>
  </si>
  <si>
    <t xml:space="preserve">Jordina Garcia </t>
  </si>
  <si>
    <t>40</t>
  </si>
  <si>
    <t>Café Ocaña</t>
  </si>
  <si>
    <t>adriana.manso.ferrer@gmail.com
comercial@ocana.cat</t>
  </si>
  <si>
    <t>936-764814</t>
  </si>
  <si>
    <t>https://www.ocana.cat</t>
  </si>
  <si>
    <t>PLAÇA REIAL, 13-15 </t>
  </si>
  <si>
    <t>Adriana Manso</t>
  </si>
  <si>
    <t>110</t>
  </si>
  <si>
    <t>Sala L'ovella Negra</t>
  </si>
  <si>
    <t xml:space="preserve">programacio@ovellanegra.com 
</t>
  </si>
  <si>
    <t>933-095938
655-964121</t>
  </si>
  <si>
    <t>www.ovellanegra.com</t>
  </si>
  <si>
    <t>C/ Zamora, 86</t>
  </si>
  <si>
    <t>97</t>
  </si>
  <si>
    <t>Palau Sant Jordi</t>
  </si>
  <si>
    <t>palausantjordi@bsmsa.cat</t>
  </si>
  <si>
    <t>934-262089</t>
  </si>
  <si>
    <t>https://palausantjordi.barcelona/</t>
  </si>
  <si>
    <t>Passeig Olímpic, 5-7</t>
  </si>
  <si>
    <t>17000</t>
  </si>
  <si>
    <t>Sala Atlantic Barcelona</t>
  </si>
  <si>
    <t>eventos@atlanticbarcelona.com</t>
  </si>
  <si>
    <t>675-273071</t>
  </si>
  <si>
    <t>http://www.atlanticbarcelona.com/</t>
  </si>
  <si>
    <t>Avinguda del Tibidabo, 56</t>
  </si>
  <si>
    <t xml:space="preserve">08035 </t>
  </si>
  <si>
    <t>Baranda</t>
  </si>
  <si>
    <t>genencia@baranda.es</t>
  </si>
  <si>
    <t>619-321393</t>
  </si>
  <si>
    <t>http://www.baranda.es/</t>
  </si>
  <si>
    <t>Barco de Valdeorras</t>
  </si>
  <si>
    <t>Rúa Pescadores, 7</t>
  </si>
  <si>
    <t xml:space="preserve">Gerardo Rodriguez Álvarez </t>
  </si>
  <si>
    <t>32300</t>
  </si>
  <si>
    <t>La Alquitara</t>
  </si>
  <si>
    <t>cafelaalquitara@yahoo.es</t>
  </si>
  <si>
    <t>http://cafeblueslaalquitara.blogspot.com.es/</t>
  </si>
  <si>
    <t xml:space="preserve">Béjar </t>
  </si>
  <si>
    <t xml:space="preserve">C/ Gerona nª 10 </t>
  </si>
  <si>
    <t>37700</t>
  </si>
  <si>
    <t>Sala Buda</t>
  </si>
  <si>
    <t>info@lasalabuda.com</t>
  </si>
  <si>
    <t>620-920546</t>
  </si>
  <si>
    <t>http://www.lasalabuda.com/</t>
  </si>
  <si>
    <t>Benavente</t>
  </si>
  <si>
    <t xml:space="preserve">Ronda Rancha, 13 </t>
  </si>
  <si>
    <t xml:space="preserve">Oscar del Prado </t>
  </si>
  <si>
    <t>49600</t>
  </si>
  <si>
    <t>Bermeoko Kafe Antzokia</t>
  </si>
  <si>
    <t>berkantzoki@gmail.com</t>
  </si>
  <si>
    <t>946-880216</t>
  </si>
  <si>
    <t>http://www.bermeokokafeantzokia.com/</t>
  </si>
  <si>
    <t>Bermeo</t>
  </si>
  <si>
    <t>C/Aurrekoetexea, 27 Bajo</t>
  </si>
  <si>
    <t>48370</t>
  </si>
  <si>
    <t>Atabal Biarritz</t>
  </si>
  <si>
    <t>corinne@atabal_biarritz.com</t>
  </si>
  <si>
    <t>33-559417320</t>
  </si>
  <si>
    <t>http://www.atabal-biarritz.fr</t>
  </si>
  <si>
    <t>Biarritz</t>
  </si>
  <si>
    <t>Miarritze</t>
  </si>
  <si>
    <t>Allée du Moura, 37</t>
  </si>
  <si>
    <t>Corinne</t>
  </si>
  <si>
    <t>64200</t>
  </si>
  <si>
    <t>BJC - Bilbaína Jazz Club</t>
  </si>
  <si>
    <t>tatogracia@jazz-on.org</t>
  </si>
  <si>
    <t>946-790671</t>
  </si>
  <si>
    <t>http://www.bilbainajazzclub.org/</t>
  </si>
  <si>
    <t>C/ Navarra</t>
  </si>
  <si>
    <t>Juan Carlos Gracia Martin</t>
  </si>
  <si>
    <t>48001</t>
  </si>
  <si>
    <t>Bilbaína Jazz Club</t>
  </si>
  <si>
    <t>bjcinfo@jazz-on.org</t>
  </si>
  <si>
    <t>C/ José Maria Olavarri</t>
  </si>
  <si>
    <t>160</t>
  </si>
  <si>
    <t>Bilboko Kafe Antzokia</t>
  </si>
  <si>
    <t>info@kafeantzokia.com
gotzunuribe@gmail.com</t>
  </si>
  <si>
    <t xml:space="preserve">944-244625 </t>
  </si>
  <si>
    <t>http://www.kafeantzokia.eus/</t>
  </si>
  <si>
    <t>C/  Done Bikendi 2, 3</t>
  </si>
  <si>
    <t>180</t>
  </si>
  <si>
    <t>Santana 27 / Fever</t>
  </si>
  <si>
    <t>info@santana27.com</t>
  </si>
  <si>
    <t>944-598617</t>
  </si>
  <si>
    <t>www.santana27.com/</t>
  </si>
  <si>
    <t>C/Tellería, 27</t>
  </si>
  <si>
    <t>Esteban</t>
  </si>
  <si>
    <t>48004</t>
  </si>
  <si>
    <t>1500</t>
  </si>
  <si>
    <t>emankor@emankorsarea.org  landalan@emankorsarea.org</t>
  </si>
  <si>
    <t>944-730845
944-144222</t>
  </si>
  <si>
    <t>http://www.emankorsarea.org/</t>
  </si>
  <si>
    <t>C/ Fernando Jiménez, 14</t>
  </si>
  <si>
    <t>L'Alternativa Bar Musical</t>
  </si>
  <si>
    <t>aniversarialternativa@gmail.com</t>
  </si>
  <si>
    <t>972-642094</t>
  </si>
  <si>
    <t xml:space="preserve">www.facebook.com/lalternativabarmusical?ref/=hl </t>
  </si>
  <si>
    <t>Bisbal d'Emporda</t>
  </si>
  <si>
    <t>Psg. Marimon Asprer 11</t>
  </si>
  <si>
    <t>17100</t>
  </si>
  <si>
    <t>186</t>
  </si>
  <si>
    <t>Laut</t>
  </si>
  <si>
    <t>marco@laut.es</t>
  </si>
  <si>
    <t>667-992141</t>
  </si>
  <si>
    <t>www.laut.es</t>
  </si>
  <si>
    <t>BISBARCELONA</t>
  </si>
  <si>
    <t>C/ VILA I VILÀ, 61</t>
  </si>
  <si>
    <t>Marco Roehrich</t>
  </si>
  <si>
    <t>227</t>
  </si>
  <si>
    <t>A Pousada da Galiza</t>
  </si>
  <si>
    <t>comunicación@apousadadasanimas.com</t>
  </si>
  <si>
    <t>http://www.apousadadasanimas.com/index.php</t>
  </si>
  <si>
    <t>Boiro</t>
  </si>
  <si>
    <t>Pablo Iglesias, 13</t>
  </si>
  <si>
    <t>CLUBTURA</t>
  </si>
  <si>
    <t>15930</t>
  </si>
  <si>
    <t>240</t>
  </si>
  <si>
    <t>Aturuxo</t>
  </si>
  <si>
    <t>info@aturuxo.net</t>
  </si>
  <si>
    <t>986-322569</t>
  </si>
  <si>
    <t>http://www.aturuxo.net/</t>
  </si>
  <si>
    <t>Bueu</t>
  </si>
  <si>
    <t>Pazos Fontela, 59</t>
  </si>
  <si>
    <t>Victor Manuel Cabaleiro</t>
  </si>
  <si>
    <t>36930</t>
  </si>
  <si>
    <t>Andén 56</t>
  </si>
  <si>
    <t>produccion@elanden56.com</t>
  </si>
  <si>
    <t>947-455038</t>
  </si>
  <si>
    <t>http://www.elanden56.com/</t>
  </si>
  <si>
    <t>Calle San Pedro y san Felices, 56 trasera</t>
  </si>
  <si>
    <t>Javier Contreras</t>
  </si>
  <si>
    <t>9001</t>
  </si>
  <si>
    <t>1185</t>
  </si>
  <si>
    <t>La Rúa</t>
  </si>
  <si>
    <t>info@laruaburgos.com</t>
  </si>
  <si>
    <t>947-073766</t>
  </si>
  <si>
    <t>http://www.laruaburgos.com/</t>
  </si>
  <si>
    <t>Av. Reyes Catolicos, 26</t>
  </si>
  <si>
    <t>Antonio José Sancho Santos</t>
  </si>
  <si>
    <t>9005</t>
  </si>
  <si>
    <t>Hangar Centro de Creación Musical</t>
  </si>
  <si>
    <t>centrodecreaciónmusical@gmail.com</t>
  </si>
  <si>
    <t>947-275979</t>
  </si>
  <si>
    <t>http://www.hangarburgos.com/</t>
  </si>
  <si>
    <t>C/ San Pedro y San Felices 56</t>
  </si>
  <si>
    <t>Ernesto Miguel Preciado</t>
  </si>
  <si>
    <t>1100</t>
  </si>
  <si>
    <t>Trips Summer Club</t>
  </si>
  <si>
    <t>egearos@gmail.com
info@tripslamanga.com
alfonsotorres@gmail.com</t>
  </si>
  <si>
    <t>968-146215</t>
  </si>
  <si>
    <t>http://www.tripslamanga.com/</t>
  </si>
  <si>
    <t>Cabo de Palos (Cartagena)</t>
  </si>
  <si>
    <t>Ctra Cabo de Palos, Km 2</t>
  </si>
  <si>
    <t>Alfonso Torres</t>
  </si>
  <si>
    <t>30385</t>
  </si>
  <si>
    <t>2000</t>
  </si>
  <si>
    <t>El Corral de las Cigüeñas</t>
  </si>
  <si>
    <t>luis@elcorralcc.com</t>
  </si>
  <si>
    <t>927-216425</t>
  </si>
  <si>
    <t>http://elcorralcc.com/</t>
  </si>
  <si>
    <t>Cuesta de Aldana, 6</t>
  </si>
  <si>
    <t xml:space="preserve">Luis J. García Marín </t>
  </si>
  <si>
    <t>10003</t>
  </si>
  <si>
    <t>Sala Barroco</t>
  </si>
  <si>
    <t>barroconoche@hotmail,com</t>
  </si>
  <si>
    <t>638-824849</t>
  </si>
  <si>
    <t>https://twitter.com/salabarroco</t>
  </si>
  <si>
    <t>Plaza Albatros 12</t>
  </si>
  <si>
    <t>10001</t>
  </si>
  <si>
    <t>El Pelícano Musicafé</t>
  </si>
  <si>
    <t>musigades@gmail.com</t>
  </si>
  <si>
    <t>856-399327</t>
  </si>
  <si>
    <t>http://www.elpelicano-musicafe.com/</t>
  </si>
  <si>
    <t>Avenida Fernández Ladreda, 1</t>
  </si>
  <si>
    <t>Francisco Muñoz</t>
  </si>
  <si>
    <t>11004</t>
  </si>
  <si>
    <t>El Café del Casal</t>
  </si>
  <si>
    <t>info@cafedelcasal.cat
elcafedelcasal@gmail.com</t>
  </si>
  <si>
    <t>938-698929
647-841336</t>
  </si>
  <si>
    <t>http://casaldecalaf.cat/</t>
  </si>
  <si>
    <t>Calaf</t>
  </si>
  <si>
    <t>Ctra. Llarga, 11</t>
  </si>
  <si>
    <t xml:space="preserve">Jordi Fort </t>
  </si>
  <si>
    <t>8280</t>
  </si>
  <si>
    <t>Zona Zero</t>
  </si>
  <si>
    <t>webmaster@zona.zero.net</t>
  </si>
  <si>
    <t>688-981978</t>
  </si>
  <si>
    <t>http://www.zona-zero.net/</t>
  </si>
  <si>
    <t>Fermín García Díaz, 3</t>
  </si>
  <si>
    <t>José Manuel Amoedo (moe)</t>
  </si>
  <si>
    <t>36650</t>
  </si>
  <si>
    <t>Krazzy Kray!</t>
  </si>
  <si>
    <t>krazzykraylive@gmail.com
gustavorey@fonosaurios.com</t>
  </si>
  <si>
    <t>610-832581</t>
  </si>
  <si>
    <t>https://www.facebook.com/Krazzy-Kray-271496310084845</t>
  </si>
  <si>
    <t>Cambados</t>
  </si>
  <si>
    <t>Calle Castriño, 8</t>
  </si>
  <si>
    <t>Gustavo Rey Abalo</t>
  </si>
  <si>
    <t>36630</t>
  </si>
  <si>
    <t>Les Nenes</t>
  </si>
  <si>
    <t>info@lesnenesfest.com</t>
  </si>
  <si>
    <t>606-919047</t>
  </si>
  <si>
    <t>https://lesnenesfest.com/</t>
  </si>
  <si>
    <t>Canet de Mar</t>
  </si>
  <si>
    <t>Carrer La Font, 17</t>
  </si>
  <si>
    <t>Marta</t>
  </si>
  <si>
    <t>8360</t>
  </si>
  <si>
    <t>50-60</t>
  </si>
  <si>
    <t>101 Live</t>
  </si>
  <si>
    <t>ociotantalo@gmail.com</t>
  </si>
  <si>
    <t>https://m.facebook.com/tantalocartagena/</t>
  </si>
  <si>
    <t>Calle Cuatro Santos, 22</t>
  </si>
  <si>
    <t>Eugenio Ayala</t>
  </si>
  <si>
    <t>30201</t>
  </si>
  <si>
    <t>Rockola Summer Club</t>
  </si>
  <si>
    <t>rockolaclub@gmail.com
info.rockola@gmail.com</t>
  </si>
  <si>
    <t>Playa El Cuartel, La Azohía</t>
  </si>
  <si>
    <t>MURCIA LIVE!</t>
  </si>
  <si>
    <t>30868</t>
  </si>
  <si>
    <t>Pub Terra</t>
  </si>
  <si>
    <t>visero@hotmail.com</t>
  </si>
  <si>
    <t>656-910641
607-498096</t>
  </si>
  <si>
    <t>http://www.facebook.com/PubTerra/</t>
  </si>
  <si>
    <t>Calle Ramón Llul, 19</t>
  </si>
  <si>
    <t>Alexander Bachero</t>
  </si>
  <si>
    <t>12005</t>
  </si>
  <si>
    <t>Nudo Beach</t>
  </si>
  <si>
    <t>gemmapalaci@bemusic.es
info@nudobeachclub.com</t>
  </si>
  <si>
    <t>629-712019
653-729402</t>
  </si>
  <si>
    <t>https://nudobeachclub.com/</t>
  </si>
  <si>
    <t>C/Astrónomo francés Aragó, 4</t>
  </si>
  <si>
    <t>Gemma Palací</t>
  </si>
  <si>
    <t>12100</t>
  </si>
  <si>
    <t>Dresden</t>
  </si>
  <si>
    <t>daniel@banderanegra.cat</t>
  </si>
  <si>
    <t>935-947388</t>
  </si>
  <si>
    <t>https://m.facebook.com/saladresden/?locale2=es_ES</t>
  </si>
  <si>
    <t>CERDANYOLA DEL VALLES</t>
  </si>
  <si>
    <t>C/ BOSC TANCAT, 28</t>
  </si>
  <si>
    <t>Daniel Mallén</t>
  </si>
  <si>
    <t>8290</t>
  </si>
  <si>
    <t>Boxer</t>
  </si>
  <si>
    <t>daniel@banderanegra.cat
info@banderanegra.cat</t>
  </si>
  <si>
    <t>C/ CAN MITJANS, 4</t>
  </si>
  <si>
    <t>Acme</t>
  </si>
  <si>
    <t>info@salaacme.com</t>
  </si>
  <si>
    <t>686-146964</t>
  </si>
  <si>
    <t>www.salaacme.com</t>
  </si>
  <si>
    <t>Cerdanyola del Vallés</t>
  </si>
  <si>
    <t>Portugal, 29-31</t>
  </si>
  <si>
    <t>Albert Garcia</t>
  </si>
  <si>
    <t>08290</t>
  </si>
  <si>
    <t>Sala Velvet Live</t>
  </si>
  <si>
    <t>factoryprem@gmail.com</t>
  </si>
  <si>
    <t>655-439181</t>
  </si>
  <si>
    <t>www.factoryprem.es</t>
  </si>
  <si>
    <t>Poblado Marinero Local n°6</t>
  </si>
  <si>
    <t>51001</t>
  </si>
  <si>
    <t>205</t>
  </si>
  <si>
    <t>La Sala</t>
  </si>
  <si>
    <t>asociacionculturalmusicacruda@gmail.com</t>
  </si>
  <si>
    <t xml:space="preserve">620-225883   </t>
  </si>
  <si>
    <t>http://www.lasaladeceuta.es/</t>
  </si>
  <si>
    <t xml:space="preserve">CEUTA </t>
  </si>
  <si>
    <t>Poblado Marinero, 6</t>
  </si>
  <si>
    <t>Manuel Jiménez Garcia</t>
  </si>
  <si>
    <t>ACCES/MÚSICA CRUDA</t>
  </si>
  <si>
    <t xml:space="preserve"> 51001 </t>
  </si>
  <si>
    <t>Casino de Calaf</t>
  </si>
  <si>
    <t>9101953sam@gmail.com</t>
  </si>
  <si>
    <t>938-698377</t>
  </si>
  <si>
    <t>www.casinodecalaf.cat</t>
  </si>
  <si>
    <t>Claf</t>
  </si>
  <si>
    <t xml:space="preserve">Avinguda de la Pau, 30 </t>
  </si>
  <si>
    <t xml:space="preserve">Jordi Mad </t>
  </si>
  <si>
    <t>308</t>
  </si>
  <si>
    <t>La Calma Salada</t>
  </si>
  <si>
    <t>667-525977</t>
  </si>
  <si>
    <t>Coma-Ruga</t>
  </si>
  <si>
    <t>Port de Coma-Ruga</t>
  </si>
  <si>
    <t>Dídac Santos Bertrán</t>
  </si>
  <si>
    <t>43880</t>
  </si>
  <si>
    <t>Golden Club</t>
  </si>
  <si>
    <t>for_61@hotmail.com</t>
  </si>
  <si>
    <t>699-307694</t>
  </si>
  <si>
    <t xml:space="preserve">Historiador Díaz del Moral, 3 </t>
  </si>
  <si>
    <t>Fernando Ortiz Rodriguez</t>
  </si>
  <si>
    <t>14008</t>
  </si>
  <si>
    <t>Gongora Gran Café</t>
  </si>
  <si>
    <t>gongoragrancafe@hotmail.com</t>
  </si>
  <si>
    <t>662-352389</t>
  </si>
  <si>
    <t>http://www.gongoragrancafe.es/</t>
  </si>
  <si>
    <t>Gongora, 10</t>
  </si>
  <si>
    <t>Raquel Navarro Padilla</t>
  </si>
  <si>
    <t>Sala Directo Cuenca</t>
  </si>
  <si>
    <t>programacion@directocuenca.com</t>
  </si>
  <si>
    <t>679-693634</t>
  </si>
  <si>
    <t>http://www.directocuenca.com/</t>
  </si>
  <si>
    <t>Poeta Diego Jesús Jimenez, 5</t>
  </si>
  <si>
    <t>Luis Miguel San José Madrid</t>
  </si>
  <si>
    <t>16004</t>
  </si>
  <si>
    <t>Sala Rothus</t>
  </si>
  <si>
    <t>ediliomp61@hotmail.com</t>
  </si>
  <si>
    <t>625-096631</t>
  </si>
  <si>
    <t>http://salarothus.com/</t>
  </si>
  <si>
    <t>Bajada a San Miguel S/N</t>
  </si>
  <si>
    <t>Edilio Martínez Pérez</t>
  </si>
  <si>
    <t>16001</t>
  </si>
  <si>
    <t>Bukowski</t>
  </si>
  <si>
    <t>info@lebukowski.com</t>
  </si>
  <si>
    <t>http://www.lebukowski.com/</t>
  </si>
  <si>
    <t>Donostia</t>
  </si>
  <si>
    <t>C/ Egía, 18</t>
  </si>
  <si>
    <t>20012</t>
  </si>
  <si>
    <t>Dabadaba</t>
  </si>
  <si>
    <t>info@dabadabass.com</t>
  </si>
  <si>
    <t>943-265826</t>
  </si>
  <si>
    <t>http://www.dabadabass.com/</t>
  </si>
  <si>
    <t xml:space="preserve">Mundaiz, 8 </t>
  </si>
  <si>
    <t>Alex</t>
  </si>
  <si>
    <t>Plateruena</t>
  </si>
  <si>
    <t>kultura@plateruena.net</t>
  </si>
  <si>
    <t>946-030100</t>
  </si>
  <si>
    <t>http://plateruena.eus/eu/</t>
  </si>
  <si>
    <t>Durango</t>
  </si>
  <si>
    <t>Landako Hiribidea, 4 A</t>
  </si>
  <si>
    <t>48200</t>
  </si>
  <si>
    <t>Milwaukee</t>
  </si>
  <si>
    <t>mkjazz2007@gmail.com</t>
  </si>
  <si>
    <t>956-871719</t>
  </si>
  <si>
    <t>http://www.mkjazz.com/</t>
  </si>
  <si>
    <t xml:space="preserve">El Puerto de Santa María </t>
  </si>
  <si>
    <t>Avd. Bajamar, 10</t>
  </si>
  <si>
    <t>Carlos Anelo</t>
  </si>
  <si>
    <t>11500</t>
  </si>
  <si>
    <t>Soho Empuriabrava</t>
  </si>
  <si>
    <t>info@sohoempuriabrava.com</t>
  </si>
  <si>
    <t>617-233713</t>
  </si>
  <si>
    <t>http://www.sohoempuriabrava.cat/</t>
  </si>
  <si>
    <t>Empuriabrava</t>
  </si>
  <si>
    <t>Carretera De Figueres a Roses km 38,5, C-260</t>
  </si>
  <si>
    <t>17486</t>
  </si>
  <si>
    <t>2700</t>
  </si>
  <si>
    <t>La Room</t>
  </si>
  <si>
    <t>salaroom@salaroom.com</t>
  </si>
  <si>
    <t>981-949786
678-616286</t>
  </si>
  <si>
    <t>http://www.facebook.com/salaroomferrol/</t>
  </si>
  <si>
    <t>Ferrol</t>
  </si>
  <si>
    <t>C/del Sol, 142</t>
  </si>
  <si>
    <t>Maximino López Rivas</t>
  </si>
  <si>
    <t>15401</t>
  </si>
  <si>
    <t>88</t>
  </si>
  <si>
    <t>Sala Super 8</t>
  </si>
  <si>
    <t>info@salasuper8.com</t>
  </si>
  <si>
    <t>605-805101</t>
  </si>
  <si>
    <t>http://www.salasuper8.com/</t>
  </si>
  <si>
    <t xml:space="preserve">C/ Real, 223 </t>
  </si>
  <si>
    <t>Sala Ruido</t>
  </si>
  <si>
    <t>info@ruidoblancoferrol.com
programacion@ruidoblancoferrol.com</t>
  </si>
  <si>
    <t>616-188184</t>
  </si>
  <si>
    <t>www.instagram.com/salaruido</t>
  </si>
  <si>
    <t>R. Real, 223</t>
  </si>
  <si>
    <t>turismo@fuengirola.org</t>
  </si>
  <si>
    <t>952-328100</t>
  </si>
  <si>
    <t>http://www.grupomundo.es/</t>
  </si>
  <si>
    <t>Fuengirola</t>
  </si>
  <si>
    <t>Paseo Marítimo Rey de España / Calle Tartesios, s/n</t>
  </si>
  <si>
    <t>29640</t>
  </si>
  <si>
    <t>3000</t>
  </si>
  <si>
    <t>Acapulco</t>
  </si>
  <si>
    <t>info@sala-acapulco.com
marketing@sala-acapulco.com</t>
  </si>
  <si>
    <t xml:space="preserve">
985-343434</t>
  </si>
  <si>
    <t>https://casino-asturias.com/sala-acapulco/</t>
  </si>
  <si>
    <t xml:space="preserve">Fdez Vallín esquina Padilla s/n </t>
  </si>
  <si>
    <t>33201</t>
  </si>
  <si>
    <t>Sunset Jazz Club</t>
  </si>
  <si>
    <t>sunsetgirona@gmail.com</t>
  </si>
  <si>
    <t>872-080145</t>
  </si>
  <si>
    <t>www.sunsetgirona@gmail.com</t>
  </si>
  <si>
    <t xml:space="preserve">Jaume Pons I Martí, 12 </t>
  </si>
  <si>
    <t>17004</t>
  </si>
  <si>
    <t>Yeah Girona</t>
  </si>
  <si>
    <t>yeahindieclub@gmail.com</t>
  </si>
  <si>
    <t>https://www.facebook.com/yeahgirona/</t>
  </si>
  <si>
    <t>Avinguda de Ramon Folch, 9</t>
  </si>
  <si>
    <t>17001</t>
  </si>
  <si>
    <t>Soho Girona</t>
  </si>
  <si>
    <t>C/ Pedret, nº 118</t>
  </si>
  <si>
    <t>Guillermo Gallardo Kuri</t>
  </si>
  <si>
    <t>17007</t>
  </si>
  <si>
    <t>998</t>
  </si>
  <si>
    <t>Alter Espai Musical</t>
  </si>
  <si>
    <t>pau@pandaartistmanagement.net</t>
  </si>
  <si>
    <t>Pau</t>
  </si>
  <si>
    <t>1500 - 1200</t>
  </si>
  <si>
    <t>Boogaclub</t>
  </si>
  <si>
    <t>info@boogaclub.com</t>
  </si>
  <si>
    <t>958-295763</t>
  </si>
  <si>
    <t>www.boogaclub.com</t>
  </si>
  <si>
    <t>C/ Santa Bárbara 3</t>
  </si>
  <si>
    <t>José Gustavo Cabrerizo Álvarez</t>
  </si>
  <si>
    <t>18001</t>
  </si>
  <si>
    <t>Planta Baja</t>
  </si>
  <si>
    <t>sala@plantabaja.net</t>
  </si>
  <si>
    <t>952-64137</t>
  </si>
  <si>
    <t>http://plantabaja.net/</t>
  </si>
  <si>
    <t>Horno de Abad</t>
  </si>
  <si>
    <t>Carlos Díaz Requena</t>
  </si>
  <si>
    <t>18002</t>
  </si>
  <si>
    <t>El Tren</t>
  </si>
  <si>
    <t>contratacion@salaeltren.com
salaeltren@gmail.com</t>
  </si>
  <si>
    <t>958-296207</t>
  </si>
  <si>
    <t>http://www.salaeltren.com</t>
  </si>
  <si>
    <t>Carretera de Málaga, 136, Nave, 7</t>
  </si>
  <si>
    <t>Gonzalo Bartolomé</t>
  </si>
  <si>
    <t>776</t>
  </si>
  <si>
    <t>Sala Teatro CajaGranada</t>
  </si>
  <si>
    <t xml:space="preserve">info@cajagranadafundacion.es </t>
  </si>
  <si>
    <t>http://www.cajagranadafundacion.es/</t>
  </si>
  <si>
    <t>Avda. de la Ciencia Nº2</t>
  </si>
  <si>
    <t>18006</t>
  </si>
  <si>
    <t>306</t>
  </si>
  <si>
    <t>Escenario Aliatar</t>
  </si>
  <si>
    <t>info@farashaproducciones.net
marisa@farashaproducciones.net</t>
  </si>
  <si>
    <t>608-580003</t>
  </si>
  <si>
    <t>https://aliatar.es/</t>
  </si>
  <si>
    <t>C. Recogidas, 2</t>
  </si>
  <si>
    <t>Sala Óxido</t>
  </si>
  <si>
    <t>dani@salaoxido.net</t>
  </si>
  <si>
    <t>949-200925</t>
  </si>
  <si>
    <t>http://www.salaoxido.net/</t>
  </si>
  <si>
    <t>C/ Batalla de Villaviciosa, 11</t>
  </si>
  <si>
    <t>19004</t>
  </si>
  <si>
    <t>El Pumarejo</t>
  </si>
  <si>
    <t>info@elpumarejo.com
booking@elpumarejo.com</t>
  </si>
  <si>
    <t>670-722572</t>
  </si>
  <si>
    <t>http://www.elpumarejo.org/</t>
  </si>
  <si>
    <t>HOSPITALET DE LLOBREGAT</t>
  </si>
  <si>
    <t>Avda. Carrillet, 187, Nau 4</t>
  </si>
  <si>
    <t>María</t>
  </si>
  <si>
    <t>08907</t>
  </si>
  <si>
    <t>Sala Genius</t>
  </si>
  <si>
    <t xml:space="preserve">
info@benditaruina.com</t>
  </si>
  <si>
    <t xml:space="preserve">974-230327 </t>
  </si>
  <si>
    <t>http://www.benditaruina.com/</t>
  </si>
  <si>
    <t>C/ Coso Bajo, 79</t>
  </si>
  <si>
    <t>Miguel Olles</t>
  </si>
  <si>
    <t>ARAGÓN EN VIVO</t>
  </si>
  <si>
    <t>22001</t>
  </si>
  <si>
    <t>283</t>
  </si>
  <si>
    <t>Sala Edén</t>
  </si>
  <si>
    <t>info@salaeden.com</t>
  </si>
  <si>
    <t>974-227625</t>
  </si>
  <si>
    <t>http://www.salaeden.com/</t>
  </si>
  <si>
    <t>Pasaje AVellanas, 5</t>
  </si>
  <si>
    <t xml:space="preserve">Carlos García Juan </t>
  </si>
  <si>
    <t>22002</t>
  </si>
  <si>
    <t>Tunk</t>
  </si>
  <si>
    <t>salatunk@salatnk.com</t>
  </si>
  <si>
    <t>669-671497</t>
  </si>
  <si>
    <t>http://www.salatunk.com/</t>
  </si>
  <si>
    <t>Irun</t>
  </si>
  <si>
    <t xml:space="preserve">Auzolan, 20 </t>
  </si>
  <si>
    <t>20303</t>
  </si>
  <si>
    <t>Sala Kharma</t>
  </si>
  <si>
    <t xml:space="preserve">
info@discotecakharma.com</t>
  </si>
  <si>
    <t>658-216554</t>
  </si>
  <si>
    <t>https://salakharma.com/</t>
  </si>
  <si>
    <t>Carretera de Madrid, Km. 333, s/n</t>
  </si>
  <si>
    <t>23009</t>
  </si>
  <si>
    <t>750</t>
  </si>
  <si>
    <t>La Mecánica</t>
  </si>
  <si>
    <t>lamecanicajaen@gmail.com</t>
  </si>
  <si>
    <t>https://www.instagram.com/lamecanica_jaen/</t>
  </si>
  <si>
    <t>C. Prof. Alfonso Sancho Sáez, 4</t>
  </si>
  <si>
    <t>23006</t>
  </si>
  <si>
    <t>Salamandra</t>
  </si>
  <si>
    <t xml:space="preserve">salamandra@salamandra.cat </t>
  </si>
  <si>
    <t xml:space="preserve">933-370602 </t>
  </si>
  <si>
    <t xml:space="preserve">www.salamandra.cat </t>
  </si>
  <si>
    <t>L' Hospitalet de Llobregat</t>
  </si>
  <si>
    <t>Av. Del Carrilet, 235</t>
  </si>
  <si>
    <t>David Lafuente Vinardell</t>
  </si>
  <si>
    <t>Bâbâ Bar</t>
  </si>
  <si>
    <t xml:space="preserve">baba@bababar.es </t>
  </si>
  <si>
    <t>981-913378</t>
  </si>
  <si>
    <t>www.bababar.es/</t>
  </si>
  <si>
    <t>La Coruña</t>
  </si>
  <si>
    <t>Pérez Cepeda, 23</t>
  </si>
  <si>
    <t>Cristina Toba</t>
  </si>
  <si>
    <t>15004</t>
  </si>
  <si>
    <t>Garufa Club</t>
  </si>
  <si>
    <t>info@garufaclub.com        </t>
  </si>
  <si>
    <t>630-389152</t>
  </si>
  <si>
    <t>http://facebook.com/SalaGarufa</t>
  </si>
  <si>
    <t xml:space="preserve">Comandante Barja, 5 </t>
  </si>
  <si>
    <t>Pepe Méndez</t>
  </si>
  <si>
    <t>310</t>
  </si>
  <si>
    <t>Jazz Filloa</t>
  </si>
  <si>
    <t>conciertojazzfilloa@gmail.com
zzfilloa@jazzfilloa.com</t>
  </si>
  <si>
    <t>981-227889
638-752540</t>
  </si>
  <si>
    <t>Orzán, 31 sotano</t>
  </si>
  <si>
    <t>Alberto Mella Rey</t>
  </si>
  <si>
    <t>15003</t>
  </si>
  <si>
    <t>Aguere Cultural</t>
  </si>
  <si>
    <t>aguerecultural@gmail.com</t>
  </si>
  <si>
    <t>La Laguna</t>
  </si>
  <si>
    <t>c/ Herradores, 45</t>
  </si>
  <si>
    <t>Fernando Jiménez</t>
  </si>
  <si>
    <t>38201</t>
  </si>
  <si>
    <t>La Industrial Copera</t>
  </si>
  <si>
    <t>silvia@industrialcopera.net
info@industrialcopera.net</t>
  </si>
  <si>
    <t>958-637837</t>
  </si>
  <si>
    <t>http://industrialcopera.net/</t>
  </si>
  <si>
    <t>La Zubia</t>
  </si>
  <si>
    <t>Polígono Industrial El Laurel</t>
  </si>
  <si>
    <t>Silvia Moreno Ferri</t>
  </si>
  <si>
    <t>18140</t>
  </si>
  <si>
    <t>1000</t>
  </si>
  <si>
    <t>A Ventana</t>
  </si>
  <si>
    <t xml:space="preserve">aventana1@hotmail.com </t>
  </si>
  <si>
    <t xml:space="preserve">981-728319 </t>
  </si>
  <si>
    <t>Laxe</t>
  </si>
  <si>
    <t>Rua Real, 14</t>
  </si>
  <si>
    <t>Fernando Paredes Correa</t>
  </si>
  <si>
    <t>15117</t>
  </si>
  <si>
    <t>Black Bourbon</t>
  </si>
  <si>
    <t>blackbourbonconciertos@gmail.com</t>
  </si>
  <si>
    <t>http://www.blackbourbon.es/</t>
  </si>
  <si>
    <t>C/Puerta del Sol, 8</t>
  </si>
  <si>
    <t>Patricia Pérez Gómez</t>
  </si>
  <si>
    <t>24003</t>
  </si>
  <si>
    <t>El Gran Café</t>
  </si>
  <si>
    <t>elgrancafeleon@gmail.com</t>
  </si>
  <si>
    <t>987-272301</t>
  </si>
  <si>
    <t>http://www.elgrancafeleon.com/</t>
  </si>
  <si>
    <t>C/ Cervantes, 9</t>
  </si>
  <si>
    <t>Marina Borregán Moreno</t>
  </si>
  <si>
    <t>Slàvia</t>
  </si>
  <si>
    <t>info@slavia.cat</t>
  </si>
  <si>
    <t>973-140972</t>
  </si>
  <si>
    <t>http://www.slavia.cat</t>
  </si>
  <si>
    <t>Les</t>
  </si>
  <si>
    <t>PASSEIG DEL TERRALL, 14 - BORGES BLANQUES</t>
  </si>
  <si>
    <t>25400</t>
  </si>
  <si>
    <t>L'oncle Jack</t>
  </si>
  <si>
    <t xml:space="preserve">onclejack@onclejack.com </t>
  </si>
  <si>
    <t>610-718828</t>
  </si>
  <si>
    <t xml:space="preserve">www.onclejack.com </t>
  </si>
  <si>
    <t>L'Hospitalet de Llobregat</t>
  </si>
  <si>
    <t>C/ Roselles, 32</t>
  </si>
  <si>
    <t>Jaume y Dolors</t>
  </si>
  <si>
    <t>08901</t>
  </si>
  <si>
    <t>Espai Zowie</t>
  </si>
  <si>
    <t>info@espaizowie.com
albert@espaizowie.com</t>
  </si>
  <si>
    <t>627-062333</t>
  </si>
  <si>
    <t>http://www.espaizowie.com/</t>
  </si>
  <si>
    <t>Passatge Can Polític, 13</t>
  </si>
  <si>
    <t>Albert</t>
  </si>
  <si>
    <t>8907</t>
  </si>
  <si>
    <t>The Void</t>
  </si>
  <si>
    <t>xxx@xxx.com</t>
  </si>
  <si>
    <t>https://www.facebook.com/thevoidLH/about</t>
  </si>
  <si>
    <t>Carrer Santa Anna, 14,</t>
  </si>
  <si>
    <t>8901</t>
  </si>
  <si>
    <t>Café del Teatre</t>
  </si>
  <si>
    <t>musicalkaffe@gmail.com</t>
  </si>
  <si>
    <t>https://www.facebook.com/cafedelteatre</t>
  </si>
  <si>
    <t>Roca Labrador, 2 bis</t>
  </si>
  <si>
    <t>Domènec Merchan Taribó</t>
  </si>
  <si>
    <t>25003</t>
  </si>
  <si>
    <t>Espai Orfeó</t>
  </si>
  <si>
    <t>info@orfeolleidata.cat</t>
  </si>
  <si>
    <t>973-233554</t>
  </si>
  <si>
    <t>http://www.orfeolleidata.cat/</t>
  </si>
  <si>
    <t>C/ Sant Martí 60-62</t>
  </si>
  <si>
    <t>Joana Romero i Pau San Martin</t>
  </si>
  <si>
    <t>25004</t>
  </si>
  <si>
    <t>Manolita Night Life</t>
  </si>
  <si>
    <t>eva@groupbonobo.com</t>
  </si>
  <si>
    <t>609-302938</t>
  </si>
  <si>
    <t xml:space="preserve">www.salamanolita.com </t>
  </si>
  <si>
    <t xml:space="preserve">C/ Guillem de Beziers, s/n </t>
  </si>
  <si>
    <t xml:space="preserve">Eva </t>
  </si>
  <si>
    <t>25001</t>
  </si>
  <si>
    <t>391</t>
  </si>
  <si>
    <t>Cotton Club</t>
  </si>
  <si>
    <t>info@cottonclublleida.es</t>
  </si>
  <si>
    <t>669-811238</t>
  </si>
  <si>
    <t>http://cottonclublleida.es/</t>
  </si>
  <si>
    <t>Ctra. Vall d’Aran km 1,2</t>
  </si>
  <si>
    <t>Toni Revés</t>
  </si>
  <si>
    <t>25005</t>
  </si>
  <si>
    <t>680</t>
  </si>
  <si>
    <t>La Boite</t>
  </si>
  <si>
    <t>laboitelleida@gmail.com</t>
  </si>
  <si>
    <t>http://laboitelleida.com/</t>
  </si>
  <si>
    <t>Carrer Riu Éssera, 19</t>
  </si>
  <si>
    <t>425</t>
  </si>
  <si>
    <t>Stereo Rockandroll Bar</t>
  </si>
  <si>
    <t>stereoelvispresley@gmail.com</t>
  </si>
  <si>
    <t>Calle Marqués de San Nicolás, 104</t>
  </si>
  <si>
    <t>Jorge Hernández</t>
  </si>
  <si>
    <t>26001</t>
  </si>
  <si>
    <t>Jagerlounge</t>
  </si>
  <si>
    <t>Tinomariodrum@gmail.com</t>
  </si>
  <si>
    <t>605-790889</t>
  </si>
  <si>
    <t>https://www.facebook.com/JagerLoungeLugo/</t>
  </si>
  <si>
    <t>Calle de la Cruz, 20</t>
  </si>
  <si>
    <t>Tina Freijo</t>
  </si>
  <si>
    <t>27001</t>
  </si>
  <si>
    <t>Clavicembalo</t>
  </si>
  <si>
    <t>club@clavicembalo.com</t>
  </si>
  <si>
    <t>982-243270
609-983869</t>
  </si>
  <si>
    <t>http://www.clavicembalo.com/es/</t>
  </si>
  <si>
    <t>Rua Paxariños, 23</t>
  </si>
  <si>
    <t>Alberto Grandio Valín</t>
  </si>
  <si>
    <t>27002</t>
  </si>
  <si>
    <t>Barracudas</t>
  </si>
  <si>
    <t xml:space="preserve">mail.barracudas@gmail.com </t>
  </si>
  <si>
    <t>693-757061</t>
  </si>
  <si>
    <t>www.barracudasrockbar.com</t>
  </si>
  <si>
    <t>C/ Brescia, 19</t>
  </si>
  <si>
    <t>Jose</t>
  </si>
  <si>
    <t>LA NOCHE EN VIVO</t>
  </si>
  <si>
    <t>28028</t>
  </si>
  <si>
    <t>Electica/House; Rock; Indie</t>
  </si>
  <si>
    <t>Beer Station</t>
  </si>
  <si>
    <t xml:space="preserve">beerstation22@gmail.com </t>
  </si>
  <si>
    <t>915-472748</t>
  </si>
  <si>
    <t>http://www.beerstation.com/</t>
  </si>
  <si>
    <t>C/ Cuesta de Santo Domingo, 22</t>
  </si>
  <si>
    <t>Jorge Granero</t>
  </si>
  <si>
    <t>28013</t>
  </si>
  <si>
    <t>Canción de autor</t>
  </si>
  <si>
    <t>Búho Real</t>
  </si>
  <si>
    <t>alsirius@hotmail.com</t>
  </si>
  <si>
    <t>913-191088</t>
  </si>
  <si>
    <t>www.buhoreal.org</t>
  </si>
  <si>
    <t>Regueros, 5</t>
  </si>
  <si>
    <t>Antonio</t>
  </si>
  <si>
    <t>28004</t>
  </si>
  <si>
    <t>Pop/Rock; Músicas del Mundo; Canción de Autor</t>
  </si>
  <si>
    <t>Bule Bule</t>
  </si>
  <si>
    <t xml:space="preserve"> info@bulebulemadrid.com</t>
  </si>
  <si>
    <t>914-380553</t>
  </si>
  <si>
    <t>http://www.bulebulemadrid.com</t>
  </si>
  <si>
    <t>C/Marqués de Valdeiglesias, 6</t>
  </si>
  <si>
    <t>Cadillac Solitario</t>
  </si>
  <si>
    <t xml:space="preserve">info@cadillacsolitario.com </t>
  </si>
  <si>
    <t>609-454556</t>
  </si>
  <si>
    <t>www.cadillacsolitario.com</t>
  </si>
  <si>
    <t>C/ Fermín Caballero, 6</t>
  </si>
  <si>
    <t>Mª José</t>
  </si>
  <si>
    <t>28034</t>
  </si>
  <si>
    <t>Pop; Rock; Indie</t>
  </si>
  <si>
    <t>Café Berlín</t>
  </si>
  <si>
    <t>infocafeberlin@gmail.com
jorge.cafeberlin@gmail.com</t>
  </si>
  <si>
    <t>915-215752
915-597429</t>
  </si>
  <si>
    <t>www.berlincafe.es</t>
  </si>
  <si>
    <t>C/ Costanilla de los Ángeles, 20</t>
  </si>
  <si>
    <t>Andrés Almada</t>
  </si>
  <si>
    <t>Todos los estilos</t>
  </si>
  <si>
    <t>Café La Palma</t>
  </si>
  <si>
    <t>cafelapalma@cafelapalma.com
programacion@cafelapalma.com</t>
  </si>
  <si>
    <t>915-225031</t>
  </si>
  <si>
    <t>www.cafelapalma.com</t>
  </si>
  <si>
    <t>La Palma, 62</t>
  </si>
  <si>
    <t>German Hughes</t>
  </si>
  <si>
    <t>28015</t>
  </si>
  <si>
    <t>Eléctrica/House; Rock; Indie; Canción de Autor</t>
  </si>
  <si>
    <t>Caracol</t>
  </si>
  <si>
    <t>salacaracol@salacaracol.com</t>
  </si>
  <si>
    <t>915-273594
638-617247</t>
  </si>
  <si>
    <t>salacaracol.com</t>
  </si>
  <si>
    <t>Bernardino Obregón, 18</t>
  </si>
  <si>
    <t>Tanya Vondee</t>
  </si>
  <si>
    <t>28012</t>
  </si>
  <si>
    <t>Cardamomo</t>
  </si>
  <si>
    <t>contacto@cardamomo.es</t>
  </si>
  <si>
    <t>691-022117
918-051038</t>
  </si>
  <si>
    <t>https://cardamomo.com/es/</t>
  </si>
  <si>
    <t>Echegaray, 15</t>
  </si>
  <si>
    <t>Norma Tsutsumi</t>
  </si>
  <si>
    <t>28014</t>
  </si>
  <si>
    <t>55</t>
  </si>
  <si>
    <t>Flamenco; Jazz</t>
  </si>
  <si>
    <t>Clamores</t>
  </si>
  <si>
    <t>maxi.clamores@gmail.com
programacion@salaclamores.com
info@salaclamores.es</t>
  </si>
  <si>
    <t>914-455480</t>
  </si>
  <si>
    <t>www.salaclamores.com/</t>
  </si>
  <si>
    <t>Alburqueque, 14</t>
  </si>
  <si>
    <t>Roberto</t>
  </si>
  <si>
    <t>28010</t>
  </si>
  <si>
    <t>Jazz/Blues; Músicas del Mundo; Funk</t>
  </si>
  <si>
    <t>Contraclub</t>
  </si>
  <si>
    <t xml:space="preserve">info@contraclub.com
sergioblanco@contraclub.es
programacion@contraclub.es
</t>
  </si>
  <si>
    <t>699-741885</t>
  </si>
  <si>
    <t>www.contraclub.es</t>
  </si>
  <si>
    <t>Bailén, 16</t>
  </si>
  <si>
    <t>28005</t>
  </si>
  <si>
    <t>52</t>
  </si>
  <si>
    <t>Heavy/Metal; Rock; Indie</t>
  </si>
  <si>
    <t>Corral de la Morería</t>
  </si>
  <si>
    <t>reservas@corraldelamoreria.com</t>
  </si>
  <si>
    <t>913-658446 
635-051355</t>
  </si>
  <si>
    <t>www.corraldelamoreria.com</t>
  </si>
  <si>
    <t>Morería, 17</t>
  </si>
  <si>
    <t xml:space="preserve">Lorena / Jose / Luis </t>
  </si>
  <si>
    <t>140</t>
  </si>
  <si>
    <t>El Despertar</t>
  </si>
  <si>
    <t>programacion@cafeeldespertar.com</t>
  </si>
  <si>
    <t>915-308095</t>
  </si>
  <si>
    <t>www.cafeeldespertar.com</t>
  </si>
  <si>
    <t>Torrecilla del Leal, 18</t>
  </si>
  <si>
    <t>Juan Ruíz</t>
  </si>
  <si>
    <t>64</t>
  </si>
  <si>
    <t>Jazz/Blues</t>
  </si>
  <si>
    <t>El Intruso</t>
  </si>
  <si>
    <t>info@intrusobar.com</t>
  </si>
  <si>
    <t>www.intrusobar.com</t>
  </si>
  <si>
    <t>Augusto Figueroa, 3</t>
  </si>
  <si>
    <t>Oliver</t>
  </si>
  <si>
    <t>Jazz; Blues; Funk</t>
  </si>
  <si>
    <t>El Junco</t>
  </si>
  <si>
    <t>info@eljunco.com</t>
  </si>
  <si>
    <t>913-192081</t>
  </si>
  <si>
    <t>www.eljunco.com</t>
  </si>
  <si>
    <t>Pza. de Santa Barbara, 10</t>
  </si>
  <si>
    <t>Carlos Lezcano</t>
  </si>
  <si>
    <t>99</t>
  </si>
  <si>
    <t>Jazz/Blues; Funk</t>
  </si>
  <si>
    <t>El Sol</t>
  </si>
  <si>
    <t>programacion@salaelsol.com
tono@salaelsol.com
elsol@elsolmad.com</t>
  </si>
  <si>
    <t>915-326490</t>
  </si>
  <si>
    <t>www.elsolmad.com</t>
  </si>
  <si>
    <t>Jardines, 3</t>
  </si>
  <si>
    <t>Raúl Díaz García / Toño Villar</t>
  </si>
  <si>
    <t>340</t>
  </si>
  <si>
    <t>Fulanita de Tal</t>
  </si>
  <si>
    <t>actuaciones@fulanitadetal.com</t>
  </si>
  <si>
    <t>661-724191
913-195069</t>
  </si>
  <si>
    <t>www.fulanitadetal.com</t>
  </si>
  <si>
    <t>C/ Regueros, 9</t>
  </si>
  <si>
    <t>Ruth Franco</t>
  </si>
  <si>
    <t>Blues; Cancióndeautor; Flamenco; Indie; Pop; Rock; Soul; Todoslosestilos</t>
  </si>
  <si>
    <t>Fun House</t>
  </si>
  <si>
    <t>funhousemusicclub@gmail.com</t>
  </si>
  <si>
    <t>685-774716
910-176619</t>
  </si>
  <si>
    <t>http://funhousemusicbar.com</t>
  </si>
  <si>
    <t xml:space="preserve">C/ Palafox, 8 </t>
  </si>
  <si>
    <t>Rock; Jazz ; Soul</t>
  </si>
  <si>
    <t>Galileo Galilei</t>
  </si>
  <si>
    <t>artistas@salagalileo.es</t>
  </si>
  <si>
    <t>915-347557</t>
  </si>
  <si>
    <t>www.salagalileogalilei.com</t>
  </si>
  <si>
    <t>Galileo, 100</t>
  </si>
  <si>
    <t>Pop/Rock; Músicas del mundo; Canción de Autor</t>
  </si>
  <si>
    <t>Gruta 77</t>
  </si>
  <si>
    <t>oficina@gruta77.com</t>
  </si>
  <si>
    <t>914-712370</t>
  </si>
  <si>
    <t>www.gruta77.com</t>
  </si>
  <si>
    <t>C/ Cuclillo, 6</t>
  </si>
  <si>
    <t>28019</t>
  </si>
  <si>
    <t>Underground para fanáticos</t>
  </si>
  <si>
    <t>La Sala Live!</t>
  </si>
  <si>
    <t>conciertos@lasala.biz</t>
  </si>
  <si>
    <t>915-255444</t>
  </si>
  <si>
    <t>www.lasala.biz</t>
  </si>
  <si>
    <t>Avd. de Nuestra Señora de Fátima, 42</t>
  </si>
  <si>
    <t>Kike</t>
  </si>
  <si>
    <t>28047</t>
  </si>
  <si>
    <t>Heavy Metal; Rock; Indie; Funk; Pop</t>
  </si>
  <si>
    <t>Libertad 8</t>
  </si>
  <si>
    <t>libertad@libertad8cafe.es
informacion@libertad8cafe.es</t>
  </si>
  <si>
    <t>915-321150</t>
  </si>
  <si>
    <t>www.libertad8cafe.es</t>
  </si>
  <si>
    <t>C/ de la Libertad, 8</t>
  </si>
  <si>
    <t>Julián</t>
  </si>
  <si>
    <t>Moby Dick</t>
  </si>
  <si>
    <t>carolina.pasero@mobydickclub.com
mobydickclub@mobydickclub.com</t>
  </si>
  <si>
    <t>915-557671</t>
  </si>
  <si>
    <t>www.mobydickclub.com</t>
  </si>
  <si>
    <t>Av. de Brasil, 5</t>
  </si>
  <si>
    <t>Carolina Pasero</t>
  </si>
  <si>
    <t>28020</t>
  </si>
  <si>
    <t>299</t>
  </si>
  <si>
    <t>MOE</t>
  </si>
  <si>
    <t>info@moeclub.com</t>
  </si>
  <si>
    <t>www.moeclub.com</t>
  </si>
  <si>
    <t xml:space="preserve">Alberto Alcocer, 32 </t>
  </si>
  <si>
    <t>Álvaro</t>
  </si>
  <si>
    <t>28036</t>
  </si>
  <si>
    <t>Rock Palace</t>
  </si>
  <si>
    <t>programacion@rock-palace.com
info@rock-palace.com</t>
  </si>
  <si>
    <t>914 670 623</t>
  </si>
  <si>
    <t>http://www.rock-palace.com</t>
  </si>
  <si>
    <t>C/ Vara del Rey, 6</t>
  </si>
  <si>
    <t>Sala Olvido</t>
  </si>
  <si>
    <t>theo.bar2@gmail.com
olvido15@telefonica.net</t>
  </si>
  <si>
    <t>619 22 29 19</t>
  </si>
  <si>
    <t>www.salaolvido15.es</t>
  </si>
  <si>
    <t>C/ Olvido, 15</t>
  </si>
  <si>
    <t>Jose Andrés</t>
  </si>
  <si>
    <t>28026</t>
  </si>
  <si>
    <t>Shoko Live</t>
  </si>
  <si>
    <t>eventos@shokomadrid.com
spc@shokomadrid.com</t>
  </si>
  <si>
    <t>663-700844
913-541680
663-701571</t>
  </si>
  <si>
    <t>www.shokomadrid.com</t>
  </si>
  <si>
    <t>C/ Toledo,86</t>
  </si>
  <si>
    <t>Siroco</t>
  </si>
  <si>
    <t>programacion@siroco.es
comunicación@siroco.es</t>
  </si>
  <si>
    <t>915-933173</t>
  </si>
  <si>
    <t>www.siroco.es</t>
  </si>
  <si>
    <t xml:space="preserve">San Dimas, 3 </t>
  </si>
  <si>
    <t>Toño Villar</t>
  </si>
  <si>
    <t>Reagge; Pop; Rock; Funk; Indie; Electrónica</t>
  </si>
  <si>
    <t>Teatro Nuevo Apolo</t>
  </si>
  <si>
    <t>info@summummusic.com
programacion@somproduce.com</t>
  </si>
  <si>
    <t>918-554162</t>
  </si>
  <si>
    <t>http://www.teatronuevoapolo.com/</t>
  </si>
  <si>
    <t xml:space="preserve">Plaza Tirso de Molina, 1 </t>
  </si>
  <si>
    <t>1150</t>
  </si>
  <si>
    <t>Audiovisuales; Acústico; Drama</t>
  </si>
  <si>
    <t>Tempo Audiophile Club</t>
  </si>
  <si>
    <t>tempomadrid@hotmail.com
info@tempoclub.es
tempoclub@tempoclub.net</t>
  </si>
  <si>
    <t>915-477518</t>
  </si>
  <si>
    <t>www.tempoclub.net</t>
  </si>
  <si>
    <t>C/ Duque de Osuna, 8</t>
  </si>
  <si>
    <t>Roberto Rey</t>
  </si>
  <si>
    <t>182</t>
  </si>
  <si>
    <t>Soul; Funk</t>
  </si>
  <si>
    <t>The Irish Rover</t>
  </si>
  <si>
    <t>info@theirishrover.com
jacobomira@grupomoby.com</t>
  </si>
  <si>
    <t>915-974811</t>
  </si>
  <si>
    <t>www.theirishrover.com</t>
  </si>
  <si>
    <t xml:space="preserve">Avda. del Brasil, 7 </t>
  </si>
  <si>
    <t>Jacobo Mira</t>
  </si>
  <si>
    <t>Jazz, Blues, Pop, Funk, Soul</t>
  </si>
  <si>
    <t>Thundercat</t>
  </si>
  <si>
    <t>info@thundercatclub.com
conciertos@thundercatclub</t>
  </si>
  <si>
    <t>654-511457</t>
  </si>
  <si>
    <t>www.thundercatclub.com</t>
  </si>
  <si>
    <t>C/ Campoamor, 11</t>
  </si>
  <si>
    <t xml:space="preserve">Alejandro </t>
  </si>
  <si>
    <t>Fotomatón</t>
  </si>
  <si>
    <t>fotomaton@fotomatonbar.es</t>
  </si>
  <si>
    <t>https://www.facebook.com/fotomatonbarconciertos</t>
  </si>
  <si>
    <t>Plaza Conde Toreno, 2</t>
  </si>
  <si>
    <t>28105</t>
  </si>
  <si>
    <t>Honky Tonk</t>
  </si>
  <si>
    <t>honky@clubhonky.com</t>
  </si>
  <si>
    <t>91-4456191</t>
  </si>
  <si>
    <t>https://clubhonky.com</t>
  </si>
  <si>
    <t>Calle Covarrubias, 24</t>
  </si>
  <si>
    <t>Hangar 48</t>
  </si>
  <si>
    <t>Conciertos@hangar48.es</t>
  </si>
  <si>
    <t>658-14 385</t>
  </si>
  <si>
    <t>http://HANGAR48.NEGOCIO.SITE</t>
  </si>
  <si>
    <t>Calle de Bailén, 24</t>
  </si>
  <si>
    <t>Jazzville Live</t>
  </si>
  <si>
    <t>jazzvillecafe@gmail.com</t>
  </si>
  <si>
    <t>http://jazzvillelivemusicbar.blogspot.com/?m=1</t>
  </si>
  <si>
    <t>Calle de Jesús Aprendiz, 19</t>
  </si>
  <si>
    <t>Rafael Higueras</t>
  </si>
  <si>
    <t>28007</t>
  </si>
  <si>
    <t>Maravillas Club</t>
  </si>
  <si>
    <t>programacion@maravillasclub.com</t>
  </si>
  <si>
    <t>674-256152</t>
  </si>
  <si>
    <t>https://www.maravillasclub.com</t>
  </si>
  <si>
    <t>C/ San Vicente Ferrer, 33</t>
  </si>
  <si>
    <t>Clara Collantes</t>
  </si>
  <si>
    <t>38004</t>
  </si>
  <si>
    <t>Teatro Rialto</t>
  </si>
  <si>
    <t>eventos@somproduce.com  programacion@somproduce.com</t>
  </si>
  <si>
    <t>91 083 95 00</t>
  </si>
  <si>
    <t>https://somproduce.com/recinto/teatro-rialto/</t>
  </si>
  <si>
    <t>C/ Gran Vía 54</t>
  </si>
  <si>
    <t>Teatro Calderón</t>
  </si>
  <si>
    <t>914-294085</t>
  </si>
  <si>
    <t>https://somproduce.com/recinto/teatro-calderon/</t>
  </si>
  <si>
    <t>Calle de Atocha, 18</t>
  </si>
  <si>
    <t>Café Central</t>
  </si>
  <si>
    <t>infocafecentralmadrid@gmail.com
programacioncafecentral@gmail.com</t>
  </si>
  <si>
    <t>913-694143</t>
  </si>
  <si>
    <t>http://cafecentralmadrid.com</t>
  </si>
  <si>
    <t>Pza. del Angel, 10</t>
  </si>
  <si>
    <t>Nanye</t>
  </si>
  <si>
    <t>Sala La Riviera</t>
  </si>
  <si>
    <t xml:space="preserve">
pj.robles1@gmail.com    administracion@salariviera.com</t>
  </si>
  <si>
    <t>913-652415
696-496445</t>
  </si>
  <si>
    <t>http://salariviera.com</t>
  </si>
  <si>
    <t>Paseo Bajo de la Virgen del Puerto</t>
  </si>
  <si>
    <t xml:space="preserve">Javier García Robles </t>
  </si>
  <si>
    <t>1800</t>
  </si>
  <si>
    <t>Conciertos</t>
  </si>
  <si>
    <t>Cien por Cien</t>
  </si>
  <si>
    <t>info@cienporcienmadrid.es</t>
  </si>
  <si>
    <t>910-291254</t>
  </si>
  <si>
    <t>http://https//cienporcienmadrid.es/</t>
  </si>
  <si>
    <t>Calle Santísima Trinidad, 30</t>
  </si>
  <si>
    <t>Microteatro</t>
  </si>
  <si>
    <t>info@microteatro.es</t>
  </si>
  <si>
    <t>915-218874</t>
  </si>
  <si>
    <t>http://https//microteatro.es/</t>
  </si>
  <si>
    <t>Calle Loreto y Chicote, 9</t>
  </si>
  <si>
    <t>Rockville</t>
  </si>
  <si>
    <t>info@rockville.es</t>
  </si>
  <si>
    <t>638-015650</t>
  </si>
  <si>
    <t>http://www.rockville.es/</t>
  </si>
  <si>
    <t>Avrnida de Brasil, 3</t>
  </si>
  <si>
    <t>Sala Independance Club</t>
  </si>
  <si>
    <t>independance@bolanueve.com</t>
  </si>
  <si>
    <t>914-771080
683-516474</t>
  </si>
  <si>
    <t>https://independanceclub.com/</t>
  </si>
  <si>
    <t>Calle Atocha 125, Local 2</t>
  </si>
  <si>
    <t>El Perro de la parte de atrás del coche</t>
  </si>
  <si>
    <t>elperroclubmad@gmail.com</t>
  </si>
  <si>
    <t>618-783054</t>
  </si>
  <si>
    <t>https://www.facebook.com/elperroclubmad/</t>
  </si>
  <si>
    <t xml:space="preserve">Calle de la Puebla, 15 </t>
  </si>
  <si>
    <t>Héctor</t>
  </si>
  <si>
    <t>Elefante Blanco Madrid</t>
  </si>
  <si>
    <t>elefanteblancodirectos@gmail.com
info@elefanteblancomadrid.com</t>
  </si>
  <si>
    <t>615-340892</t>
  </si>
  <si>
    <t>http://www.elefanteblancomadrid.com</t>
  </si>
  <si>
    <t>Calle Santa Hortensia, 14</t>
  </si>
  <si>
    <t>Faremis Ramos</t>
  </si>
  <si>
    <t>28002</t>
  </si>
  <si>
    <t>Vesta</t>
  </si>
  <si>
    <t>programacion@salavesta.com
info@salavesta.com</t>
  </si>
  <si>
    <t>http://www.salavesta.com</t>
  </si>
  <si>
    <t>Calle del Barquillo, 29,</t>
  </si>
  <si>
    <t>Nuevo Teatro Alcalá</t>
  </si>
  <si>
    <t>programacion@somproduce.com</t>
  </si>
  <si>
    <t>914 26 47 79</t>
  </si>
  <si>
    <t>https://nuevoteatroalcala.com</t>
  </si>
  <si>
    <t>Calle de Jorge Juan, 62</t>
  </si>
  <si>
    <t>28009</t>
  </si>
  <si>
    <t>Sala 1: 1200  Sala 2: 250</t>
  </si>
  <si>
    <t>Big Mama Ballroom</t>
  </si>
  <si>
    <t>917-648018</t>
  </si>
  <si>
    <t>https://bigmamaswing.com/bigmamaballroom</t>
  </si>
  <si>
    <t>Calle de Bernardino Obregón 3,</t>
  </si>
  <si>
    <t>Cadavra Club</t>
  </si>
  <si>
    <t>hello@cadavraclub.com
juanmora@cadavraclub.com</t>
  </si>
  <si>
    <t>915-221815</t>
  </si>
  <si>
    <t>https://cadavraclub.com/</t>
  </si>
  <si>
    <t>C/ Caballero de Gracia, 10</t>
  </si>
  <si>
    <t>Juan Mora</t>
  </si>
  <si>
    <t>El Sótano</t>
  </si>
  <si>
    <t>info@salaelsotano.com</t>
  </si>
  <si>
    <t>https://es-es.facebook.com/salaelsotano/</t>
  </si>
  <si>
    <t>Calle De Las Maldonadas 6</t>
  </si>
  <si>
    <t>Essential Flamenco - Torero</t>
  </si>
  <si>
    <t>info@essentialflamenco.com</t>
  </si>
  <si>
    <t>674-464992
605-777959
625-036441</t>
  </si>
  <si>
    <t>https://essentialflamenco.com/</t>
  </si>
  <si>
    <t>Calle de la Cruz, 26</t>
  </si>
  <si>
    <t>Morocco</t>
  </si>
  <si>
    <t>morocco@meteorica.net</t>
  </si>
  <si>
    <t>670-776069
630-652585</t>
  </si>
  <si>
    <t>https://salamoroccomadrid.com</t>
  </si>
  <si>
    <t xml:space="preserve">Calle Marqués de Leganés, 7 </t>
  </si>
  <si>
    <t>Blackbird Rock Bar</t>
  </si>
  <si>
    <t>blackbirdrockbar@gmail.com
blackbirdrockbar.gestion@gmail.com</t>
  </si>
  <si>
    <t>http://blackbirdrockbar.wixsite.com/home</t>
  </si>
  <si>
    <t xml:space="preserve">C/ De las Huertas, 22 </t>
  </si>
  <si>
    <t>Blues; Rock; Stoner; Versiones 90</t>
  </si>
  <si>
    <t>Sala Paqui (Antigua sala But)</t>
  </si>
  <si>
    <t>conciertos@butmadrid.com</t>
  </si>
  <si>
    <t>http://www.butmadrid.com/</t>
  </si>
  <si>
    <t>C/ Barceló 11</t>
  </si>
  <si>
    <t>Sala Cero (Palacio de la Prensa)</t>
  </si>
  <si>
    <t>sala0@super8.es</t>
  </si>
  <si>
    <t>917-370247</t>
  </si>
  <si>
    <t>https://www.super8.es/</t>
  </si>
  <si>
    <t>Calle Gran Vía, 46</t>
  </si>
  <si>
    <t>Wurlitzer Ballroom</t>
  </si>
  <si>
    <t>info@wurlitzerballroom.com
morgenpromo@gmail.com</t>
  </si>
  <si>
    <t>649-767676</t>
  </si>
  <si>
    <t>www.wurlitzerballroom.com</t>
  </si>
  <si>
    <t>Tres Cruces , 12</t>
  </si>
  <si>
    <t>Pop; Rock</t>
  </si>
  <si>
    <t>BarCo</t>
  </si>
  <si>
    <t>pdejuan@barcobar.com</t>
  </si>
  <si>
    <t>915-212447</t>
  </si>
  <si>
    <t>http://www.barcobar.com</t>
  </si>
  <si>
    <t>C/ Barco 34, 28004</t>
  </si>
  <si>
    <t xml:space="preserve">Paloma de Juan </t>
  </si>
  <si>
    <t>Blues; Rock; Jazz; Funk</t>
  </si>
  <si>
    <t xml:space="preserve">Boite </t>
  </si>
  <si>
    <t>santi@boitelive.es</t>
  </si>
  <si>
    <t>www.boitelive.es</t>
  </si>
  <si>
    <t>C/ Tetuan, 27</t>
  </si>
  <si>
    <t>Santi</t>
  </si>
  <si>
    <t>Casa Patas</t>
  </si>
  <si>
    <t xml:space="preserve">
fundacion@casapatas.com</t>
  </si>
  <si>
    <t>914-298471</t>
  </si>
  <si>
    <t>www.casapatas.com</t>
  </si>
  <si>
    <t>C/ Cañizares, 10</t>
  </si>
  <si>
    <t>913-661596</t>
  </si>
  <si>
    <t>www.marulacafe.com</t>
  </si>
  <si>
    <t>C/ Caños Viejos, 3</t>
  </si>
  <si>
    <t>Eventos</t>
  </si>
  <si>
    <t>El Juglar</t>
  </si>
  <si>
    <t>info@salajuglar.com</t>
  </si>
  <si>
    <t>915-284381</t>
  </si>
  <si>
    <t>www.salajuglar.com</t>
  </si>
  <si>
    <t>Lavapies, 37</t>
  </si>
  <si>
    <t>Flamenco; Funk; Pop/Rock</t>
  </si>
  <si>
    <t>Off Latina</t>
  </si>
  <si>
    <t>juan@offdelalatina.com</t>
  </si>
  <si>
    <t>605-755758</t>
  </si>
  <si>
    <t>www.offdelalatina.com</t>
  </si>
  <si>
    <t>C/ Mancebos, 4</t>
  </si>
  <si>
    <t>Pop, rock, canción de autor</t>
  </si>
  <si>
    <t>Palacio Vistalegre Arena</t>
  </si>
  <si>
    <t>informacion@palaciovistalegre.com</t>
  </si>
  <si>
    <t>914-220781
915-639493</t>
  </si>
  <si>
    <t>www.palaciovistalegre.com/</t>
  </si>
  <si>
    <t>Calle de Utebo, 1</t>
  </si>
  <si>
    <t>Daniela Bosé</t>
  </si>
  <si>
    <t>28025</t>
  </si>
  <si>
    <t>Rincón del Arte Nuevo</t>
  </si>
  <si>
    <t>juan_rincondelartenuevo@hotmail.com  / agm_sara@hotmail.com</t>
  </si>
  <si>
    <t xml:space="preserve">913-655045 </t>
  </si>
  <si>
    <t>www.elrincondelartenuevo.com</t>
  </si>
  <si>
    <t>C/ Segovia, 17</t>
  </si>
  <si>
    <t>Juan Garvia</t>
  </si>
  <si>
    <t>Bolero/Tango; Música Latina; Canción de Autor; Pop/Rock</t>
  </si>
  <si>
    <t>Sala Changó / Sala Cool</t>
  </si>
  <si>
    <t>pepecormon@gmail.com
delfin@changolive.com
comunicacion@changoclub.es</t>
  </si>
  <si>
    <t>914-460036</t>
  </si>
  <si>
    <t>http://www.changoclub.es/</t>
  </si>
  <si>
    <t>C/ Covarrubias, 42</t>
  </si>
  <si>
    <t>Delfín Jiménez</t>
  </si>
  <si>
    <t>Música comercial, Dance, House, Electrónica</t>
  </si>
  <si>
    <t>Sala Joy Eslava</t>
  </si>
  <si>
    <t>info@joy-eslava.com
hola@teatroeslava.com</t>
  </si>
  <si>
    <t>692-383870
913-663733</t>
  </si>
  <si>
    <t>https://joy-eslava.com/</t>
  </si>
  <si>
    <t>C/ Arenal, 11</t>
  </si>
  <si>
    <t>Teatro Barceló</t>
  </si>
  <si>
    <t>comercial@teatrobarcelo.com</t>
  </si>
  <si>
    <t>914-470128</t>
  </si>
  <si>
    <t>www.teatrobarcelo.com</t>
  </si>
  <si>
    <t>C/ Barceló, 11</t>
  </si>
  <si>
    <t>Dirección Comercial</t>
  </si>
  <si>
    <t>Wizink Center (Palacio de Los Deportes)</t>
  </si>
  <si>
    <t>pazaparicio@wizinkcenter.es hablemos@WiZinkCenter.es</t>
  </si>
  <si>
    <t>914-449949</t>
  </si>
  <si>
    <t>www.wizinkcenter.es</t>
  </si>
  <si>
    <t>Avda. Felipe II, s/n</t>
  </si>
  <si>
    <t>Paz Aparicio (Impulsa Eventos e Instalaciones)</t>
  </si>
  <si>
    <t>El Invernadero</t>
  </si>
  <si>
    <t>91-4882338</t>
  </si>
  <si>
    <t>https://www.elinvernaderomusic.com/</t>
  </si>
  <si>
    <t>Calle de Alonso Núñez 6</t>
  </si>
  <si>
    <t>Ignacio Suárez de Toledo</t>
  </si>
  <si>
    <t>28039</t>
  </si>
  <si>
    <t>2600 (de pie)
1300 (sentados)</t>
  </si>
  <si>
    <t>Sala Nazca</t>
  </si>
  <si>
    <t xml:space="preserve"> info@salanazcaconciertos.com</t>
  </si>
  <si>
    <t>https://www.salanazcaconciertos.com/</t>
  </si>
  <si>
    <t>C. de Orense, 24</t>
  </si>
  <si>
    <t>Sala La Caverna (Antigua Boca del Lobo)</t>
  </si>
  <si>
    <t>lacaverna@martinmusic.es
info@salalacaverna.com</t>
  </si>
  <si>
    <t>91-6560666
650-879156</t>
  </si>
  <si>
    <t>https://www.salalacaverna.com/</t>
  </si>
  <si>
    <t>Calle de Echegaray, 11</t>
  </si>
  <si>
    <t>Martin Music - Michel Molinera</t>
  </si>
  <si>
    <t>La Cochera Cabaret</t>
  </si>
  <si>
    <t>info@lacocheracabaret.com
contratacion@lacocheracabaret.com</t>
  </si>
  <si>
    <t>952-246668</t>
  </si>
  <si>
    <t>http://lacocheracabaret.com/</t>
  </si>
  <si>
    <t>Av. de los Guindos, 19</t>
  </si>
  <si>
    <t>Salvador Reina</t>
  </si>
  <si>
    <t>29004</t>
  </si>
  <si>
    <t>Sala La Trinchera</t>
  </si>
  <si>
    <t>iserrano@salatrinchera.com</t>
  </si>
  <si>
    <t xml:space="preserve">619-494993 </t>
  </si>
  <si>
    <t>C/  Parauta, 25</t>
  </si>
  <si>
    <t>Ignacio Serrano Armendariz</t>
  </si>
  <si>
    <t>29006</t>
  </si>
  <si>
    <t>Sala París 15</t>
  </si>
  <si>
    <t>info@paris15.es
edu@paris15.es
gerardo@paris15.es</t>
  </si>
  <si>
    <t>952-060858</t>
  </si>
  <si>
    <t>http://www.paris15.es/</t>
  </si>
  <si>
    <t>C/ La Orotava, 25</t>
  </si>
  <si>
    <t>Gerardo Narváez</t>
  </si>
  <si>
    <t>MAC</t>
  </si>
  <si>
    <t>comunicacion@grupomundo.es</t>
  </si>
  <si>
    <t>http://grupomundo.es/sitio/mac/</t>
  </si>
  <si>
    <t>Av. de José Ortega y Gasset, 231</t>
  </si>
  <si>
    <t>Stroika</t>
  </si>
  <si>
    <t>info@stroika.cat</t>
  </si>
  <si>
    <t>902-260265</t>
  </si>
  <si>
    <t>www.stroika.cat</t>
  </si>
  <si>
    <t>Manresa</t>
  </si>
  <si>
    <t>Av. Els Dolors, 17</t>
  </si>
  <si>
    <t>Equip Stroika</t>
  </si>
  <si>
    <t>08243</t>
  </si>
  <si>
    <t>Voilà</t>
  </si>
  <si>
    <t>voila@voila.cat</t>
  </si>
  <si>
    <t xml:space="preserve">938-726050 </t>
  </si>
  <si>
    <t>www.voila.cat</t>
  </si>
  <si>
    <t xml:space="preserve">Manresa </t>
  </si>
  <si>
    <t>C/ Cos, 74</t>
  </si>
  <si>
    <t>08041</t>
  </si>
  <si>
    <t>Jazz dance club Akelarre</t>
  </si>
  <si>
    <t>rafelpons@msn.com</t>
  </si>
  <si>
    <t>971-368520</t>
  </si>
  <si>
    <t>http://www.akelarrejazz.es/#_=_</t>
  </si>
  <si>
    <t>Mao Menorca</t>
  </si>
  <si>
    <t>Baleares</t>
  </si>
  <si>
    <t>Moll de Poniente 41-43</t>
  </si>
  <si>
    <t>Mikel Jorge Moreno</t>
  </si>
  <si>
    <t>07700</t>
  </si>
  <si>
    <t xml:space="preserve">Palo Palo </t>
  </si>
  <si>
    <t>salapalopalo@gmail.com
palopalo@palopalo.es</t>
  </si>
  <si>
    <t>626-703009</t>
  </si>
  <si>
    <t>http://www.palopalo.es/</t>
  </si>
  <si>
    <t>Marinaleda</t>
  </si>
  <si>
    <t>Av. de la Libertad, 15-b</t>
  </si>
  <si>
    <t>León Martin Fernandez</t>
  </si>
  <si>
    <t>41569</t>
  </si>
  <si>
    <t>El Clap</t>
  </si>
  <si>
    <t>clap@clap.cat</t>
  </si>
  <si>
    <t>937-983632</t>
  </si>
  <si>
    <t>http://clap.cat/</t>
  </si>
  <si>
    <t>Mataró</t>
  </si>
  <si>
    <t>Serra i Moret, 6</t>
  </si>
  <si>
    <t>08302</t>
  </si>
  <si>
    <t>Sala Privat</t>
  </si>
  <si>
    <t>info@cocoamataro.com</t>
  </si>
  <si>
    <t xml:space="preserve">679-471701 </t>
  </si>
  <si>
    <t>https://m.facebook.com/privatmataro/</t>
  </si>
  <si>
    <t>Carrer Francesc Layret, 16</t>
  </si>
  <si>
    <t>Secretos Café Teatro</t>
  </si>
  <si>
    <t>tomasdelpozo@gmail.com</t>
  </si>
  <si>
    <t>629-911179</t>
  </si>
  <si>
    <t>http://www.carretos.com/</t>
  </si>
  <si>
    <t>Mayorga</t>
  </si>
  <si>
    <t>Plaza Del Rollo, 27</t>
  </si>
  <si>
    <t xml:space="preserve">Tomás Pozo Martínez </t>
  </si>
  <si>
    <t>47680</t>
  </si>
  <si>
    <t>A Fundación</t>
  </si>
  <si>
    <t>Afundacionbowling@gmail.com</t>
  </si>
  <si>
    <t>981-507923</t>
  </si>
  <si>
    <t>Melide</t>
  </si>
  <si>
    <t>Avda Toques y Friol, 23</t>
  </si>
  <si>
    <t>Jaime Álvarez</t>
  </si>
  <si>
    <t>15800</t>
  </si>
  <si>
    <t>Pub Gatos</t>
  </si>
  <si>
    <t xml:space="preserve">nanigatos@yahoo.es </t>
  </si>
  <si>
    <t>981-505511
696-732785</t>
  </si>
  <si>
    <t>http://www.pub-gatos.com/</t>
  </si>
  <si>
    <t>Rúa Galicia, 21</t>
  </si>
  <si>
    <t>Fernando Casal Neira</t>
  </si>
  <si>
    <t>Repvblica</t>
  </si>
  <si>
    <t>rafa@territoriomusical.es</t>
  </si>
  <si>
    <t>658-422625</t>
  </si>
  <si>
    <t>http://www.republicca.com/</t>
  </si>
  <si>
    <t>Mislata</t>
  </si>
  <si>
    <t>Baix Vinalopo nº4 Pol. Ind. Mislata</t>
  </si>
  <si>
    <t>Rafael Gómez</t>
  </si>
  <si>
    <t>46920</t>
  </si>
  <si>
    <t>1400</t>
  </si>
  <si>
    <t>Sala Novelty Rock Club</t>
  </si>
  <si>
    <t>pubnovelty@gmail.com</t>
  </si>
  <si>
    <t>691-078722</t>
  </si>
  <si>
    <t>http://www.facebook.com/salanoveltymislata</t>
  </si>
  <si>
    <t>Padre Santonja, 25</t>
  </si>
  <si>
    <t>179</t>
  </si>
  <si>
    <t xml:space="preserve">Silikona </t>
  </si>
  <si>
    <t>info@salasilikona.es</t>
  </si>
  <si>
    <t>914-399476
650-829322</t>
  </si>
  <si>
    <t>www.salasilikona.es</t>
  </si>
  <si>
    <t>Moratalaz</t>
  </si>
  <si>
    <t>Pza. del Encuentro, 1</t>
  </si>
  <si>
    <t>Jorge Aranda/Jose Luis Taberna</t>
  </si>
  <si>
    <t>28030</t>
  </si>
  <si>
    <t>135</t>
  </si>
  <si>
    <t>Heavy/Metal; Pop; Rock</t>
  </si>
  <si>
    <t>Zer-Bizio</t>
  </si>
  <si>
    <t>658-666091</t>
  </si>
  <si>
    <t>Moratalla</t>
  </si>
  <si>
    <t>Carretera Campo de San Juan 22.B</t>
  </si>
  <si>
    <t>30440</t>
  </si>
  <si>
    <t>Sala Rebullón</t>
  </si>
  <si>
    <t>info@salarebullon.com</t>
  </si>
  <si>
    <t>637-955121</t>
  </si>
  <si>
    <t>http://www.salarebullon.com/</t>
  </si>
  <si>
    <t>Mos</t>
  </si>
  <si>
    <t>Avenida Rebullón, 23 C.C. As Pedriñas</t>
  </si>
  <si>
    <t>Cao de Mos</t>
  </si>
  <si>
    <t>36416</t>
  </si>
  <si>
    <t>Joaquin Sabina TAF - The Art Factory</t>
  </si>
  <si>
    <t>info@taf.es</t>
  </si>
  <si>
    <t>912-784782</t>
  </si>
  <si>
    <t>www.taf.es</t>
  </si>
  <si>
    <t>Mostoles</t>
  </si>
  <si>
    <t>C/ Fresadores, 35</t>
  </si>
  <si>
    <t>Vanessa</t>
  </si>
  <si>
    <t>28939</t>
  </si>
  <si>
    <t>Garaje Beat Club</t>
  </si>
  <si>
    <t>info@garajebeatclub.com</t>
  </si>
  <si>
    <t>655-408592</t>
  </si>
  <si>
    <t>http://www.garajebeatclub.com/</t>
  </si>
  <si>
    <t>Av. Miguel de Cervantes, 45</t>
  </si>
  <si>
    <t>Isaac Vivero Caldeiro</t>
  </si>
  <si>
    <t>30009</t>
  </si>
  <si>
    <t>Sala Musik</t>
  </si>
  <si>
    <t>musikmurcia@gmail.com</t>
  </si>
  <si>
    <t>673-576404
605-857075</t>
  </si>
  <si>
    <t>http://www.facebook.com/MusikMurcia/</t>
  </si>
  <si>
    <t>Ronda de Garay 48</t>
  </si>
  <si>
    <t>May</t>
  </si>
  <si>
    <t>30003</t>
  </si>
  <si>
    <t>Sala Rem</t>
  </si>
  <si>
    <t>admin@salarem.es
alberto@monkeyproduccion.com
comunicacion@monkeyproduccion.com</t>
  </si>
  <si>
    <t>685-940006
633-709292</t>
  </si>
  <si>
    <t>http://www.salarem.es/</t>
  </si>
  <si>
    <t>Calle Puerta Nueva. Edificio Centrofama, s/n</t>
  </si>
  <si>
    <t xml:space="preserve">Laura Murcia Parra
Alberto </t>
  </si>
  <si>
    <t>30008</t>
  </si>
  <si>
    <t>Sala Revólver</t>
  </si>
  <si>
    <t xml:space="preserve">conciertosrevolver@gmail.com
salarevolver@gmail.com
</t>
  </si>
  <si>
    <t>868-124917
633-709292</t>
  </si>
  <si>
    <t>http://www.facebook.com/SalaRevolver.Murcia</t>
  </si>
  <si>
    <t>C/Victorio, 36</t>
  </si>
  <si>
    <t xml:space="preserve">Bárbara </t>
  </si>
  <si>
    <t>96</t>
  </si>
  <si>
    <t>Sala Spectrum</t>
  </si>
  <si>
    <t>salaspectrum@gmail.com</t>
  </si>
  <si>
    <t>687-173942
669-546444</t>
  </si>
  <si>
    <t>https://es-es.facebook.com/salaspectrum/</t>
  </si>
  <si>
    <t>Avenida Ciclista Mariano Rojas, 12</t>
  </si>
  <si>
    <t>Dante</t>
  </si>
  <si>
    <t>Café de Alba</t>
  </si>
  <si>
    <t>cafedealba@gmail.com
agendacafedealba@gmail.com</t>
  </si>
  <si>
    <t>629-827723</t>
  </si>
  <si>
    <t>https://www.facebook.com/CafeDeAlbayRincondeMomo/</t>
  </si>
  <si>
    <t>Calle San Antón 2</t>
  </si>
  <si>
    <t>Pedro Manuel Larrosa Hernandez</t>
  </si>
  <si>
    <t>Boca del Lobo</t>
  </si>
  <si>
    <t>jrcuencah@hotmail.com</t>
  </si>
  <si>
    <t>618-356453</t>
  </si>
  <si>
    <t>https://www.facebook.com/bocadellobo</t>
  </si>
  <si>
    <t>C/. Luisa Aledo 12</t>
  </si>
  <si>
    <t>La Yesería</t>
  </si>
  <si>
    <t>layeseriamurcia@gmail.com</t>
  </si>
  <si>
    <t>Calle Santa Quiteria 22</t>
  </si>
  <si>
    <t>Sala Gamma</t>
  </si>
  <si>
    <t>salagamma@salagamma.com</t>
  </si>
  <si>
    <t>968-246987</t>
  </si>
  <si>
    <t>http://salagamma.com/</t>
  </si>
  <si>
    <t>Calle Las Moreras 251</t>
  </si>
  <si>
    <t>Café Teatro Bajo 5</t>
  </si>
  <si>
    <t>cafeteatrobajo5@gmail.com</t>
  </si>
  <si>
    <t>639-719958</t>
  </si>
  <si>
    <t>https://www.facebook.com/Cafeteatrobajo5/</t>
  </si>
  <si>
    <t>Praza do Sagrado, N-5</t>
  </si>
  <si>
    <t>Manuel Ángel Fernández López</t>
  </si>
  <si>
    <t>Naútico</t>
  </si>
  <si>
    <t>miguelcierva@hotmail.com
contacto@elnautico.org</t>
  </si>
  <si>
    <t>986-738220</t>
  </si>
  <si>
    <t>http://www.elnautico.org/</t>
  </si>
  <si>
    <t>O Grove</t>
  </si>
  <si>
    <t>Praia da Barrosa, s/n. San Vicente do Mar</t>
  </si>
  <si>
    <t>Miguel de la Cierva</t>
  </si>
  <si>
    <t>36988</t>
  </si>
  <si>
    <t>Beikozini Ondarroa</t>
  </si>
  <si>
    <t>beikozini@gmail.com</t>
  </si>
  <si>
    <t>946-832899</t>
  </si>
  <si>
    <t>http://beikozini.jimdo.eus/</t>
  </si>
  <si>
    <t>Ondarroa</t>
  </si>
  <si>
    <t xml:space="preserve">Iparragirre Kalea, 10 </t>
  </si>
  <si>
    <t xml:space="preserve">Alberto Markuerkiaga </t>
  </si>
  <si>
    <t>48700</t>
  </si>
  <si>
    <t>Auriense Café Cultural</t>
  </si>
  <si>
    <t>davidepaz@gmail.com
auriense@gmail.com</t>
  </si>
  <si>
    <t>988-222536</t>
  </si>
  <si>
    <t>http://www.cafeauriense.eu/</t>
  </si>
  <si>
    <t>Praza Correxidor, 11</t>
  </si>
  <si>
    <t>David Paz Garza</t>
  </si>
  <si>
    <t>32005</t>
  </si>
  <si>
    <t>Miudiño</t>
  </si>
  <si>
    <t xml:space="preserve">iagomiudito@yahoo.es </t>
  </si>
  <si>
    <t>988-245536</t>
  </si>
  <si>
    <t>http://www.xn--miudio-0wa.es/</t>
  </si>
  <si>
    <t>Calle Arcedianos, 13</t>
  </si>
  <si>
    <t>32003</t>
  </si>
  <si>
    <t>La Gramola</t>
  </si>
  <si>
    <t>lagramolarock@yahoo.es
info@lagramola.com</t>
  </si>
  <si>
    <t>http://www.lagramola.com/</t>
  </si>
  <si>
    <t>Orihuela</t>
  </si>
  <si>
    <t>C/ Valencia 21</t>
  </si>
  <si>
    <t>José Aº Ballester Sanz</t>
  </si>
  <si>
    <t>03300</t>
  </si>
  <si>
    <t>75</t>
  </si>
  <si>
    <t>La Salvaje</t>
  </si>
  <si>
    <t>lasalvaje.oviedo@gmail.com</t>
  </si>
  <si>
    <t>http://www.lasalvajeoviedo.com/</t>
  </si>
  <si>
    <t>Calle Martínez Vigil, 9</t>
  </si>
  <si>
    <t>Marcos Florez</t>
  </si>
  <si>
    <t>33010</t>
  </si>
  <si>
    <t>La Guitarra</t>
  </si>
  <si>
    <t>gerent@jazzlaguitarra.com</t>
  </si>
  <si>
    <t>619-706684</t>
  </si>
  <si>
    <t>http://www.jazzlaguitarra.com/</t>
  </si>
  <si>
    <t>Palafrugell</t>
  </si>
  <si>
    <t>Carretera Vella a Calella de Palafrugell, 5 (Barri Santa Margarida)</t>
  </si>
  <si>
    <t>Josep M.</t>
  </si>
  <si>
    <t>17200</t>
  </si>
  <si>
    <t>Universonoro</t>
  </si>
  <si>
    <t>eventos@universonoro.com
contacto@universonoro.com</t>
  </si>
  <si>
    <t>979-100207</t>
  </si>
  <si>
    <t>http://www.universonoro.com/</t>
  </si>
  <si>
    <t>San Juan de Dios 3</t>
  </si>
  <si>
    <t>Juan Cruz Pascual Gil</t>
  </si>
  <si>
    <t>34002</t>
  </si>
  <si>
    <t>Es Gremi</t>
  </si>
  <si>
    <t>gerencia@esgremi.com
noelia.jimenez@esgremi.com
programacion@esgremi.com</t>
  </si>
  <si>
    <t>971-911004</t>
  </si>
  <si>
    <t>http://www.esgremi.com/</t>
  </si>
  <si>
    <t>Palma de Mallorca</t>
  </si>
  <si>
    <t>Polígono Son Castello, Gremí Porgadors, 16</t>
  </si>
  <si>
    <t>Pepe Bauzá</t>
  </si>
  <si>
    <t>07009</t>
  </si>
  <si>
    <t>Sala 1: 1000 Sala 2: 293</t>
  </si>
  <si>
    <t>La Movida Café Concierto</t>
  </si>
  <si>
    <t>info@lamovida-cafeconcierto.com</t>
  </si>
  <si>
    <t>627-961687</t>
  </si>
  <si>
    <t>http://www.lamovida-cafeconcierto.com/</t>
  </si>
  <si>
    <t>C/ ALBO, s/n LOCAL 1</t>
  </si>
  <si>
    <t>Jose Crespi Fernández</t>
  </si>
  <si>
    <t>07013</t>
  </si>
  <si>
    <t>Zentral</t>
  </si>
  <si>
    <t>jmuruzabal@zentralpamplona.com
zentral@zentralpamplona.com</t>
  </si>
  <si>
    <t>948-354658
948-220764</t>
  </si>
  <si>
    <t>http://www.zentralpamplona.com/</t>
  </si>
  <si>
    <t>C/ Mercado, s/n</t>
  </si>
  <si>
    <t>ACCES/ KULTURA LIVE</t>
  </si>
  <si>
    <t>31001</t>
  </si>
  <si>
    <t>Indara Club</t>
  </si>
  <si>
    <t>info@indaraclub.es</t>
  </si>
  <si>
    <t>690-738509
690-258605</t>
  </si>
  <si>
    <t>http://indaraclub.es/</t>
  </si>
  <si>
    <t xml:space="preserve">Yanguas y Miranda 2 </t>
  </si>
  <si>
    <t>31002</t>
  </si>
  <si>
    <t>Sala Tararí</t>
  </si>
  <si>
    <t>tarari@salatarari.com</t>
  </si>
  <si>
    <t>987-424732
679-300822</t>
  </si>
  <si>
    <t>http://www.salatarari.com/</t>
  </si>
  <si>
    <t>Ponferrada</t>
  </si>
  <si>
    <t>C/ del Reloj s/n</t>
  </si>
  <si>
    <t xml:space="preserve">Jorge Mateos Alcázar </t>
  </si>
  <si>
    <t>24400</t>
  </si>
  <si>
    <t>La Nube Discomóvil</t>
  </si>
  <si>
    <t>brunonube@gmail.com</t>
  </si>
  <si>
    <t>678-718466</t>
  </si>
  <si>
    <t>https://es-es.facebook.com/lanubeponteareas</t>
  </si>
  <si>
    <t>Ponteaeas</t>
  </si>
  <si>
    <t>Rúa Real, 18</t>
  </si>
  <si>
    <t>36860</t>
  </si>
  <si>
    <t>JJ Copas</t>
  </si>
  <si>
    <t>986-641122</t>
  </si>
  <si>
    <t>https://www.facebook.com/JJ-Copas-814406285303719/?ref=bookmarks</t>
  </si>
  <si>
    <t>Pontearas</t>
  </si>
  <si>
    <t>Avenida de Galicia, 12</t>
  </si>
  <si>
    <t>Sergio</t>
  </si>
  <si>
    <t>Guión Club</t>
  </si>
  <si>
    <t>guiondois@gmail.com</t>
  </si>
  <si>
    <t>606-787097</t>
  </si>
  <si>
    <t>https://www.facebook.com/390503711813651/</t>
  </si>
  <si>
    <t>Pontedeume</t>
  </si>
  <si>
    <t>San Agustín, 6</t>
  </si>
  <si>
    <t>Alejandro</t>
  </si>
  <si>
    <t>15600</t>
  </si>
  <si>
    <t>Sala Master Club</t>
  </si>
  <si>
    <t>maginpuza@gmail.com</t>
  </si>
  <si>
    <t>http://masterclubvigo.com/</t>
  </si>
  <si>
    <t>Urzaiz n1, interior</t>
  </si>
  <si>
    <t>Magín Puza</t>
  </si>
  <si>
    <t>36201</t>
  </si>
  <si>
    <t>325</t>
  </si>
  <si>
    <t>Salason</t>
  </si>
  <si>
    <t>salason@salason.es</t>
  </si>
  <si>
    <t>986-307132</t>
  </si>
  <si>
    <t>http://www.salason.es/</t>
  </si>
  <si>
    <t>Rúa Lirio nº30</t>
  </si>
  <si>
    <t>Henry Pérez</t>
  </si>
  <si>
    <t>36940</t>
  </si>
  <si>
    <t>Sala Karma</t>
  </si>
  <si>
    <t>marcos@jack-jack.es
info@jack-jack.es
marcosrivas3@hotmail.com</t>
  </si>
  <si>
    <t>658-130761</t>
  </si>
  <si>
    <t>http://www.salakarma.com/</t>
  </si>
  <si>
    <t>Rúa del Marqués de Riestra, 34</t>
  </si>
  <si>
    <t>Marcos Rivas</t>
  </si>
  <si>
    <t>36002</t>
  </si>
  <si>
    <t>252</t>
  </si>
  <si>
    <t>La Capsa</t>
  </si>
  <si>
    <t>marta@lacapsa.org
paloma@lacapsa.org</t>
  </si>
  <si>
    <t>934-785108</t>
  </si>
  <si>
    <t>www.lacapsa.org</t>
  </si>
  <si>
    <t>Prat de Llobregat</t>
  </si>
  <si>
    <t>Av. del Pare Andreu de Palma, 5 - 7</t>
  </si>
  <si>
    <t>Marta / Paloma</t>
  </si>
  <si>
    <t>08820</t>
  </si>
  <si>
    <t>Lo Submarino</t>
  </si>
  <si>
    <t>info@losubmarino.com</t>
  </si>
  <si>
    <t>679-761703</t>
  </si>
  <si>
    <t>Reus</t>
  </si>
  <si>
    <t>Carrer Diagonal, 1 Bis</t>
  </si>
  <si>
    <t>43513</t>
  </si>
  <si>
    <t>Vade Música</t>
  </si>
  <si>
    <t>salabreakout@gmail.com</t>
  </si>
  <si>
    <t>https://www.facebook.com/vade.musicasbd/</t>
  </si>
  <si>
    <t>Sabadell</t>
  </si>
  <si>
    <t>Plaça Laietana, 48</t>
  </si>
  <si>
    <t>08203</t>
  </si>
  <si>
    <t>Sala Corleone</t>
  </si>
  <si>
    <t>info@salacorleone.com</t>
  </si>
  <si>
    <t>655-794925</t>
  </si>
  <si>
    <t>www.salacorleone.com</t>
  </si>
  <si>
    <t>Sabiñánigo</t>
  </si>
  <si>
    <t xml:space="preserve">Camino Aurin, 1 </t>
  </si>
  <si>
    <t>Eduardo Lardíes</t>
  </si>
  <si>
    <t>ARAGON EN VIVO</t>
  </si>
  <si>
    <t>22600</t>
  </si>
  <si>
    <t>La Chica de Ayer</t>
  </si>
  <si>
    <t>lachicadeayersala@gmail.com</t>
  </si>
  <si>
    <t>699-233659</t>
  </si>
  <si>
    <t>http://lachicadeayersalamanca.es/</t>
  </si>
  <si>
    <t>Calle Gran Vía, 93 Bajo</t>
  </si>
  <si>
    <t>Rubén</t>
  </si>
  <si>
    <t>37001</t>
  </si>
  <si>
    <t>La Mirona (Salas 1 y 2)</t>
  </si>
  <si>
    <t>972-232375</t>
  </si>
  <si>
    <t>www.lamirona.cat</t>
  </si>
  <si>
    <t>Salt</t>
  </si>
  <si>
    <t>Amnistia Internacional s/n. Polígon Industrial Torre Mirona</t>
  </si>
  <si>
    <t>17190</t>
  </si>
  <si>
    <t>Sala 1: 1800
Sala 2: 450</t>
  </si>
  <si>
    <t>Doka Antzokia</t>
  </si>
  <si>
    <t>info@doka.eus
mromandoka@gmail.com</t>
  </si>
  <si>
    <t>http://www.donostiakokafeantzokia.com/</t>
  </si>
  <si>
    <t>C/Errege zain, 20</t>
  </si>
  <si>
    <t>20008</t>
  </si>
  <si>
    <t>Sala The One</t>
  </si>
  <si>
    <t>programaciontheone@gmail.com</t>
  </si>
  <si>
    <t>966-232110</t>
  </si>
  <si>
    <t>https://www.facebook.com/theonesanvicente/</t>
  </si>
  <si>
    <t>San vicente del raspeig</t>
  </si>
  <si>
    <t>C/ Bronce, 8</t>
  </si>
  <si>
    <t>Jose Maria Frias Rabadan</t>
  </si>
  <si>
    <t>03690</t>
  </si>
  <si>
    <t>960</t>
  </si>
  <si>
    <t xml:space="preserve">La Masia de Sant Boi </t>
  </si>
  <si>
    <t>lamasiadesantboi@gmail.com</t>
  </si>
  <si>
    <t>https://www.facebook.com/LaMasiaDeSantBoiDeLlobregat</t>
  </si>
  <si>
    <t xml:space="preserve">Sant Boi de Llobregat </t>
  </si>
  <si>
    <t xml:space="preserve">Rambla Rafael Casanovas, 28 </t>
  </si>
  <si>
    <t>Albert Mesa</t>
  </si>
  <si>
    <t>8830</t>
  </si>
  <si>
    <t>95</t>
  </si>
  <si>
    <t>Café Belgrado</t>
  </si>
  <si>
    <t>cafebelgrado@grup66.com</t>
  </si>
  <si>
    <t>681-372134</t>
  </si>
  <si>
    <t>https://www.cafebelgrado.es/</t>
  </si>
  <si>
    <t>Sant Cugat del Vallès</t>
  </si>
  <si>
    <t>Avinguda Rius i Taulet, 120</t>
  </si>
  <si>
    <t>08172</t>
  </si>
  <si>
    <t>144</t>
  </si>
  <si>
    <t>Sala Las Vegas</t>
  </si>
  <si>
    <t>info@salalasvegas.com</t>
  </si>
  <si>
    <t>659-052624</t>
  </si>
  <si>
    <t>https://salalasvegas.com/</t>
  </si>
  <si>
    <t>C. de Cristòfol Colom, 11</t>
  </si>
  <si>
    <t>17220</t>
  </si>
  <si>
    <t>Els Pagesos</t>
  </si>
  <si>
    <t>info@elspagesos.com  espectacles@elspagesos.com</t>
  </si>
  <si>
    <t>936 859 978</t>
  </si>
  <si>
    <t>www.elspagesos.com</t>
  </si>
  <si>
    <t>Sant Feliu De Llobregat</t>
  </si>
  <si>
    <t xml:space="preserve">C/ Pi I Margall, 10 </t>
  </si>
  <si>
    <t>8980</t>
  </si>
  <si>
    <t>Amb mobiliari:100 / Sense mobiliari: 160</t>
  </si>
  <si>
    <t>Milenio Music Bar</t>
  </si>
  <si>
    <t>mileniosantfeliu@gmail.com</t>
  </si>
  <si>
    <t>931-586816</t>
  </si>
  <si>
    <t> www.instagram.com/milenio_music_bar</t>
  </si>
  <si>
    <t>SANT FELIU DE LLOBREGAT</t>
  </si>
  <si>
    <t>CARRER LAUREÀ MIRÓ, 236</t>
  </si>
  <si>
    <t>08980</t>
  </si>
  <si>
    <t>Sala Euterpe</t>
  </si>
  <si>
    <t>euterpeenvivo@gmail.com
conciertos@salaeuterpe.com</t>
  </si>
  <si>
    <t>635-832168
692-106173</t>
  </si>
  <si>
    <t>http://www.facebook.com/salaeuterpe</t>
  </si>
  <si>
    <t>Sant Joan d'Alacant</t>
  </si>
  <si>
    <t>Dr. Ivorra, 34</t>
  </si>
  <si>
    <t>Fran Bordonado Albaladejo</t>
  </si>
  <si>
    <t>03550</t>
  </si>
  <si>
    <t>115</t>
  </si>
  <si>
    <t>Escenario Santander</t>
  </si>
  <si>
    <t>contratacion@escenariosantander.es
info@escenariosantander.es</t>
  </si>
  <si>
    <t>942-285228</t>
  </si>
  <si>
    <t>http://www.escenariosantander.es_/</t>
  </si>
  <si>
    <t>Avenida de la Constitución, 39</t>
  </si>
  <si>
    <t>Kiko Rimada</t>
  </si>
  <si>
    <t>39012</t>
  </si>
  <si>
    <t>973</t>
  </si>
  <si>
    <t>BNS (Buenas Noches Santander)</t>
  </si>
  <si>
    <t>info@balneariodelaconcha.com</t>
  </si>
  <si>
    <t>942-290919</t>
  </si>
  <si>
    <t>http://balneariodelaconcha.es/</t>
  </si>
  <si>
    <t>Avda. Reina Victoria, 46</t>
  </si>
  <si>
    <t>Guillermo</t>
  </si>
  <si>
    <t>39005</t>
  </si>
  <si>
    <t>Borriquita De Belen</t>
  </si>
  <si>
    <t>anx.porto@gmail.com</t>
  </si>
  <si>
    <t>679-957956
653-471551</t>
  </si>
  <si>
    <t>C/ San Paio de Antealtares, 22</t>
  </si>
  <si>
    <t>Anxeles Gonzales</t>
  </si>
  <si>
    <t>15704</t>
  </si>
  <si>
    <t>Capitol</t>
  </si>
  <si>
    <t>salacapitol@salacapitol.com</t>
  </si>
  <si>
    <t>981-574399</t>
  </si>
  <si>
    <t>http://www.salacapitol.com/</t>
  </si>
  <si>
    <t>Rúa Concepción Arenal, 5</t>
  </si>
  <si>
    <t>Antonio Borrazas</t>
  </si>
  <si>
    <t>15702</t>
  </si>
  <si>
    <t>Casa das Crechas</t>
  </si>
  <si>
    <t>programacion@casadascrechas.com 
direccioncrechas@gmail.com</t>
  </si>
  <si>
    <t>981-560751
667-706240</t>
  </si>
  <si>
    <t>http://www.casadascrechas.com/</t>
  </si>
  <si>
    <t>Vía Sacra, 3</t>
  </si>
  <si>
    <t>Antonio Vizcaya</t>
  </si>
  <si>
    <t>Sala Momo</t>
  </si>
  <si>
    <t>info@pubmomo.com</t>
  </si>
  <si>
    <t>981-565580</t>
  </si>
  <si>
    <t>http://www.pubmomo.com/</t>
  </si>
  <si>
    <t>Rúa da Virxe da Cerca, 23</t>
  </si>
  <si>
    <t>15703</t>
  </si>
  <si>
    <t>Moon Music Club</t>
  </si>
  <si>
    <t xml:space="preserve">programacion.salamoon@gmail.com </t>
  </si>
  <si>
    <t>649-968839</t>
  </si>
  <si>
    <t xml:space="preserve">Santiago de Compostela </t>
  </si>
  <si>
    <t>República Argentina, 25</t>
  </si>
  <si>
    <t xml:space="preserve">Ricardo Picón Neo </t>
  </si>
  <si>
    <t>15701</t>
  </si>
  <si>
    <t>Beat Tropic</t>
  </si>
  <si>
    <t>directobeatclub@gmail.com
inhospita@gmail.com</t>
  </si>
  <si>
    <t>San Millán, 1</t>
  </si>
  <si>
    <t>La Surfera Beach Club</t>
  </si>
  <si>
    <t>info@lacalmasalada.com</t>
  </si>
  <si>
    <t>Segur de Calafell</t>
  </si>
  <si>
    <t>Port de Segur de Calafell</t>
  </si>
  <si>
    <t>43882</t>
  </si>
  <si>
    <t>Holländer</t>
  </si>
  <si>
    <t>a.c.dfhollander@gmail.com</t>
  </si>
  <si>
    <t xml:space="preserve">620-825043 </t>
  </si>
  <si>
    <t>http://salahollander.es/</t>
  </si>
  <si>
    <t>Uranio 6</t>
  </si>
  <si>
    <t>Manuel J. Prieto Duran</t>
  </si>
  <si>
    <t>41007</t>
  </si>
  <si>
    <t>Sala X</t>
  </si>
  <si>
    <t>programacion@rocknrollaproducciones.com</t>
  </si>
  <si>
    <t>http://lasalax.com/</t>
  </si>
  <si>
    <t>José Díaz, 7</t>
  </si>
  <si>
    <t>41009</t>
  </si>
  <si>
    <t>Fun Club</t>
  </si>
  <si>
    <t>salafunclub@gmail.com
jonathan@spyromusic.com
info@funclubsevilla.com</t>
  </si>
  <si>
    <t>650-489858</t>
  </si>
  <si>
    <t>http://www.funclubsevilla.com/</t>
  </si>
  <si>
    <t>Alameda de Hércules, 86</t>
  </si>
  <si>
    <t>Félix Pérez</t>
  </si>
  <si>
    <t>41002</t>
  </si>
  <si>
    <t>Malandar</t>
  </si>
  <si>
    <t>alberto@spyromusic.com
jonathan@spyromusic.com
malandar@spyromusic.com</t>
  </si>
  <si>
    <t>http://www.malandar.net/</t>
  </si>
  <si>
    <t>C/ Torneo, 43</t>
  </si>
  <si>
    <t>Alberto Cañizares</t>
  </si>
  <si>
    <t>412</t>
  </si>
  <si>
    <t>Sala Custom</t>
  </si>
  <si>
    <t>http://www.salacustom.com/</t>
  </si>
  <si>
    <t>Pol. Calonge C/ Metalurgia, 25</t>
  </si>
  <si>
    <t>Carlos Espinosa</t>
  </si>
  <si>
    <t>Fanatic</t>
  </si>
  <si>
    <t>info@salafanatic.com rafa.garcia@microlibre.com  curro.donaire@salafanatic.com</t>
  </si>
  <si>
    <t>954-309219</t>
  </si>
  <si>
    <t>https://www.facebook.com/pg/salafanatic/about/?ref=page_internal</t>
  </si>
  <si>
    <t>C/ Herramientas, 35</t>
  </si>
  <si>
    <t>Rafa García/ Curro Donaire</t>
  </si>
  <si>
    <t>41006</t>
  </si>
  <si>
    <t>Café Teatro Avalón</t>
  </si>
  <si>
    <t>avalon.green.soria@hotmail.com</t>
  </si>
  <si>
    <t>678-764772
975-123364</t>
  </si>
  <si>
    <t>Plaza de las Balsas, 2</t>
  </si>
  <si>
    <t>Ricardo Martínez Borque</t>
  </si>
  <si>
    <t>42001</t>
  </si>
  <si>
    <t>Le Magneto</t>
  </si>
  <si>
    <t>accueil@loco-motive.fr</t>
  </si>
  <si>
    <t>www.le-magneto.fr</t>
  </si>
  <si>
    <t>Square Lebas</t>
  </si>
  <si>
    <t xml:space="preserve">Chemin de Mousserolles, 3 </t>
  </si>
  <si>
    <t>64100</t>
  </si>
  <si>
    <t>Sala Informal</t>
  </si>
  <si>
    <t>salainformaltafalla@gmail.com</t>
  </si>
  <si>
    <t>https://www.facebook.com/salainformaltafalla/</t>
  </si>
  <si>
    <t>Tafalla</t>
  </si>
  <si>
    <t>Navaz y Vides nº 10, bajo</t>
  </si>
  <si>
    <t>Octavio Galan Bermudez</t>
  </si>
  <si>
    <t>31300</t>
  </si>
  <si>
    <t>Lo Quiosc</t>
  </si>
  <si>
    <t>info@loquiosc.com</t>
  </si>
  <si>
    <t>689-811075</t>
  </si>
  <si>
    <t>www.loquiosc.com</t>
  </si>
  <si>
    <t>TALARN</t>
  </si>
  <si>
    <t>KM90 C-13</t>
  </si>
  <si>
    <t>Ramón Mitjana Isarn</t>
  </si>
  <si>
    <t>25630</t>
  </si>
  <si>
    <t>Starbar</t>
  </si>
  <si>
    <t>Tarazona de la Mancha</t>
  </si>
  <si>
    <t>C/ Gallegos, 10</t>
  </si>
  <si>
    <t>Angel Miguel Zamora Bonilla</t>
  </si>
  <si>
    <t>info@salazero.com</t>
  </si>
  <si>
    <t>877-051126</t>
  </si>
  <si>
    <t>http://www.salazero.com/</t>
  </si>
  <si>
    <t>C/ Sant Magí, 12</t>
  </si>
  <si>
    <t>43004</t>
  </si>
  <si>
    <t>Nova Jazz Cava</t>
  </si>
  <si>
    <t>difusio@jazzterrassa.org
info@jazzterrassa.or</t>
  </si>
  <si>
    <t>937-805012</t>
  </si>
  <si>
    <t>http://www.jazzterrassa.org/</t>
  </si>
  <si>
    <t>Terrassa</t>
  </si>
  <si>
    <t>Passatge Tete Montoliu, s/n</t>
  </si>
  <si>
    <t>Susanna Carmona Segués</t>
  </si>
  <si>
    <t>08221</t>
  </si>
  <si>
    <t>Fred Astaire</t>
  </si>
  <si>
    <t>fredastaire@saladefestes.es</t>
  </si>
  <si>
    <t>937-808217</t>
  </si>
  <si>
    <t>https://saladefestes.es/</t>
  </si>
  <si>
    <t>Carrer de Sant Francesc, 52</t>
  </si>
  <si>
    <t>Antoni Marañón</t>
  </si>
  <si>
    <t>Rasa 64 (Faktoria D`Arts )</t>
  </si>
  <si>
    <t>info@salarasa64.com</t>
  </si>
  <si>
    <t>931-427516</t>
  </si>
  <si>
    <t>http://www.faktoria.org/</t>
  </si>
  <si>
    <t>Carrer de la Rasa, 64</t>
  </si>
  <si>
    <t>El Vapor</t>
  </si>
  <si>
    <t>terrassa@casadelamusica.cat</t>
  </si>
  <si>
    <t>644-309363</t>
  </si>
  <si>
    <t>https://www.vesc.cat/casa-de-la-musica/</t>
  </si>
  <si>
    <t>C/ Mare de Déu dels Àngels, 76</t>
  </si>
  <si>
    <t>Núria Segovia</t>
  </si>
  <si>
    <t>Sala Legends</t>
  </si>
  <si>
    <t>info@legendsdancehall.com</t>
  </si>
  <si>
    <t>605-911025</t>
  </si>
  <si>
    <t>http://www.legendsdancehall.com/</t>
  </si>
  <si>
    <t>Crta. de Montcada, 666</t>
  </si>
  <si>
    <t>Toni Parera</t>
  </si>
  <si>
    <t>08227</t>
  </si>
  <si>
    <t>149</t>
  </si>
  <si>
    <t>Círculo de Arte de Toledo</t>
  </si>
  <si>
    <t>contratacion@grupocinconotas.com</t>
  </si>
  <si>
    <t>925-214329
627-526076</t>
  </si>
  <si>
    <t>http://www.circuloartetoledo.org/</t>
  </si>
  <si>
    <t xml:space="preserve">Plaza San Vicente, 2 </t>
  </si>
  <si>
    <t>Mónica Pérez Domínguez</t>
  </si>
  <si>
    <t>45002</t>
  </si>
  <si>
    <t>Los Clásicos</t>
  </si>
  <si>
    <t>http://www.losclasicostoledo.com/</t>
  </si>
  <si>
    <t>C/ Rojas,5</t>
  </si>
  <si>
    <t>Pícaro</t>
  </si>
  <si>
    <t>925-214329</t>
  </si>
  <si>
    <t>www.picarotoledo.com</t>
  </si>
  <si>
    <t>C/ Cadenas 6</t>
  </si>
  <si>
    <t>45001</t>
  </si>
  <si>
    <t>El Moscou</t>
  </si>
  <si>
    <t>info@elmoscou.com</t>
  </si>
  <si>
    <t>938-505079</t>
  </si>
  <si>
    <t>www.elmoscou.com</t>
  </si>
  <si>
    <t>Torello</t>
  </si>
  <si>
    <t>C/ del Ter 136</t>
  </si>
  <si>
    <t>Sergi Ballana</t>
  </si>
  <si>
    <t>08570</t>
  </si>
  <si>
    <t>496</t>
  </si>
  <si>
    <t>Sala Mariscal</t>
  </si>
  <si>
    <t>concerts.mariscal@gmail.com</t>
  </si>
  <si>
    <t>650-937666</t>
  </si>
  <si>
    <t>https://www.facebook.com/concerts.mariscal/</t>
  </si>
  <si>
    <t>Torroella de Montgrí</t>
  </si>
  <si>
    <t>Carrer de Barcelona, 51</t>
  </si>
  <si>
    <t>17258</t>
  </si>
  <si>
    <t>296</t>
  </si>
  <si>
    <t>Teatre del Raval Gandía</t>
  </si>
  <si>
    <t>info@lacasacalba.org</t>
  </si>
  <si>
    <t>962-866532</t>
  </si>
  <si>
    <t>http://www.teatreravalgandia.org/</t>
  </si>
  <si>
    <t>Carrer Sant Ramón, 8</t>
  </si>
  <si>
    <t>Francesc Burgos Mancha</t>
  </si>
  <si>
    <t>46702</t>
  </si>
  <si>
    <t>214</t>
  </si>
  <si>
    <t>Loco Club</t>
  </si>
  <si>
    <t>info@lococlub.es
lord@lococlub.es</t>
  </si>
  <si>
    <t>http://www.lococlub.org/</t>
  </si>
  <si>
    <t>C/ del Erudito Orellana, 12</t>
  </si>
  <si>
    <t>Lorenzo Melero Pita</t>
  </si>
  <si>
    <t>46008</t>
  </si>
  <si>
    <t>298</t>
  </si>
  <si>
    <t>El Volander</t>
  </si>
  <si>
    <t>elvolander@gmail.com</t>
  </si>
  <si>
    <t>646-910115</t>
  </si>
  <si>
    <t>http://facebook.elvolander cafe-pub/</t>
  </si>
  <si>
    <t>Poeta Navarro Cabanes 25</t>
  </si>
  <si>
    <t>Julia Andrés Donet</t>
  </si>
  <si>
    <t>46018</t>
  </si>
  <si>
    <t>Peter Rock Club</t>
  </si>
  <si>
    <t>javierosqui@hotmail.com</t>
  </si>
  <si>
    <t>Calle Quart 26</t>
  </si>
  <si>
    <t>German Escudero Ramos</t>
  </si>
  <si>
    <t>46001</t>
  </si>
  <si>
    <t>320</t>
  </si>
  <si>
    <t>Café Mercedes Jazz</t>
  </si>
  <si>
    <t>info@cafemercedes.es</t>
  </si>
  <si>
    <t>608-575560
963-418378
640-097490</t>
  </si>
  <si>
    <t>http://www.cafemercedes.es/</t>
  </si>
  <si>
    <t>Calle Sueca, 27</t>
  </si>
  <si>
    <t xml:space="preserve">José Manuel  </t>
  </si>
  <si>
    <t>46006</t>
  </si>
  <si>
    <t>Espai Octubre Concerts</t>
  </si>
  <si>
    <t>produccions@metronom.es</t>
  </si>
  <si>
    <t>655-934210
963-157799</t>
  </si>
  <si>
    <t>http://www.metronom.es/</t>
  </si>
  <si>
    <t>Sant Ferran, 12</t>
  </si>
  <si>
    <t>Luis Óscar García Soriano</t>
  </si>
  <si>
    <t>106</t>
  </si>
  <si>
    <t>La Casa de la Mar</t>
  </si>
  <si>
    <t>hermes@valmusica.com
info@lacasadelamar.com</t>
  </si>
  <si>
    <t>http://www.lacasadelamar.com/</t>
  </si>
  <si>
    <t>Avda. Vicente Blasco Ibáñez Novelista nº8</t>
  </si>
  <si>
    <t>Hermés Mas</t>
  </si>
  <si>
    <t>46120</t>
  </si>
  <si>
    <t>La Salà</t>
  </si>
  <si>
    <t>lasalacultura@gmail.com
suportproduccions@gmail.com
info@lasalavalencia.com</t>
  </si>
  <si>
    <t>http://www.lasalavalencia.com/</t>
  </si>
  <si>
    <t>Ramón de Campoamor, 54</t>
  </si>
  <si>
    <t>46022</t>
  </si>
  <si>
    <t>Sala Matisse</t>
  </si>
  <si>
    <t>info@matisseclub.com</t>
  </si>
  <si>
    <t>685-240014</t>
  </si>
  <si>
    <t>http://www.matisseclub.com/</t>
  </si>
  <si>
    <t>C/ Campoamor, 60</t>
  </si>
  <si>
    <t>Esther Ferrer / Jose Ramón Martín Díaz</t>
  </si>
  <si>
    <t>Radio City</t>
  </si>
  <si>
    <t>oficina@radiocityvalencia.com</t>
  </si>
  <si>
    <t>963-914151</t>
  </si>
  <si>
    <t>http://www.radiocityvalencia.es/</t>
  </si>
  <si>
    <t>C/ Santa Teresa 19, bajo dcha</t>
  </si>
  <si>
    <t>Luis Padilla</t>
  </si>
  <si>
    <t>178</t>
  </si>
  <si>
    <t>Velas y Vientos</t>
  </si>
  <si>
    <t>produccion@veleseventsvalencia.es</t>
  </si>
  <si>
    <t>677-010177</t>
  </si>
  <si>
    <t>https://veleseventsvalencia.es/</t>
  </si>
  <si>
    <t>Edificio Veles e Vents La Marina</t>
  </si>
  <si>
    <t>EN VIÚ!</t>
  </si>
  <si>
    <t>46024</t>
  </si>
  <si>
    <t>Sala Jerusalem</t>
  </si>
  <si>
    <t>contacto@salamandraonline.com</t>
  </si>
  <si>
    <t>674-378532
607-659705</t>
  </si>
  <si>
    <t>http://www.jerusalemclub.es/</t>
  </si>
  <si>
    <t>Carrer del Convent de Jerusalem, 55</t>
  </si>
  <si>
    <t>46007</t>
  </si>
  <si>
    <t>Sala Moon (Antigua Noise)</t>
  </si>
  <si>
    <t>607-659705
645-780977</t>
  </si>
  <si>
    <t>http://www.moonvalencia.es/</t>
  </si>
  <si>
    <t>Calle San Vicente, 200</t>
  </si>
  <si>
    <t>Octubre CCC</t>
  </si>
  <si>
    <t>963-157799</t>
  </si>
  <si>
    <t>Carrer de Sant Ferran, 12</t>
  </si>
  <si>
    <t>16 Toneladas</t>
  </si>
  <si>
    <t>programacion@16toneladas.com
info@16toneladas.com</t>
  </si>
  <si>
    <t>646-369087</t>
  </si>
  <si>
    <t>http://www.16toneladas.com/</t>
  </si>
  <si>
    <t>Valencia  </t>
  </si>
  <si>
    <t>Ricardo Micó, 3-5</t>
  </si>
  <si>
    <t>Jose de Rueda</t>
  </si>
  <si>
    <t>46009</t>
  </si>
  <si>
    <t>Discoteca Asklepios</t>
  </si>
  <si>
    <t>asklepiosdiscoteca@gmail.com</t>
  </si>
  <si>
    <t>983-251083</t>
  </si>
  <si>
    <t>https://discoteca-asklepios.webnode.es/</t>
  </si>
  <si>
    <t>Calle Torrecilla, 14 bajo</t>
  </si>
  <si>
    <t>Chema</t>
  </si>
  <si>
    <t>47003</t>
  </si>
  <si>
    <t>622</t>
  </si>
  <si>
    <t>Porta Caeli global music</t>
  </si>
  <si>
    <t>info@salaportacaeli.com
carlos@contagiarte.org</t>
  </si>
  <si>
    <t>983-519421</t>
  </si>
  <si>
    <t>http://salaportacaeli.com/</t>
  </si>
  <si>
    <t>C/Mariano de los Cobos 1</t>
  </si>
  <si>
    <t>Carlos Quintana Arranz</t>
  </si>
  <si>
    <t>CASTILLA Y LEÓN EN VIVO</t>
  </si>
  <si>
    <t>47014</t>
  </si>
  <si>
    <t>Red Star</t>
  </si>
  <si>
    <t>info@salaredstar.com</t>
  </si>
  <si>
    <t>699-445934</t>
  </si>
  <si>
    <t>http://www.salaredstar.com/</t>
  </si>
  <si>
    <t>Valls</t>
  </si>
  <si>
    <t>CARRER ARTESANS, 50 (POLÍGON INDUSTRIAL)</t>
  </si>
  <si>
    <t>43800</t>
  </si>
  <si>
    <t>493</t>
  </si>
  <si>
    <t>Sala Dune</t>
  </si>
  <si>
    <t xml:space="preserve">contraccions@gmail.com </t>
  </si>
  <si>
    <t xml:space="preserve">635-632411
625-329293 </t>
  </si>
  <si>
    <t>http://contraccions.0fees.net/</t>
  </si>
  <si>
    <t>C/Bisbe Palau,20</t>
  </si>
  <si>
    <t>Jordi Domènech i Ferran Domènech</t>
  </si>
  <si>
    <t>La Cabra</t>
  </si>
  <si>
    <t>info@lacabra.cat</t>
  </si>
  <si>
    <t>www.lacabra.cat</t>
  </si>
  <si>
    <t>Vic</t>
  </si>
  <si>
    <t>Ctra. De Gurb, 14</t>
  </si>
  <si>
    <t>08500</t>
  </si>
  <si>
    <t>482</t>
  </si>
  <si>
    <t>La Jazz Cava</t>
  </si>
  <si>
    <t>info@jazzcava.com</t>
  </si>
  <si>
    <t>938-892505</t>
  </si>
  <si>
    <t xml:space="preserve">www.jazzcava.com </t>
  </si>
  <si>
    <t>VicVic</t>
  </si>
  <si>
    <t>Rambla Montcada nº 5</t>
  </si>
  <si>
    <t>Sala Kominsky</t>
  </si>
  <si>
    <t>salakominsky@gmail.com</t>
  </si>
  <si>
    <t>C/Irmadiños 3, bajo</t>
  </si>
  <si>
    <t>Ana</t>
  </si>
  <si>
    <t>Contrabajo Club</t>
  </si>
  <si>
    <t>elcontrabajo4.0@gmail.com</t>
  </si>
  <si>
    <t>617-619440</t>
  </si>
  <si>
    <t>http://www.facebook.com/elcontrabajo</t>
  </si>
  <si>
    <t>Venezuela, 82 baixo</t>
  </si>
  <si>
    <t>Pablo Lorenzo</t>
  </si>
  <si>
    <t>36204</t>
  </si>
  <si>
    <t>La Fabrica De Chocolate</t>
  </si>
  <si>
    <t>alvaro@esmerarte.com
fabricadechocolatelub@gmail.com</t>
  </si>
  <si>
    <t>986-135884
625-451871</t>
  </si>
  <si>
    <t>http://fabricadechocolateclub.com/</t>
  </si>
  <si>
    <t>C/ Roxelio Abalde, 22</t>
  </si>
  <si>
    <t>Alvaro</t>
  </si>
  <si>
    <t>La Pecera</t>
  </si>
  <si>
    <t>peceravigo@gmail.com</t>
  </si>
  <si>
    <t>986-127721</t>
  </si>
  <si>
    <t>Pizarro 35</t>
  </si>
  <si>
    <t>Eduardo Meijueiro</t>
  </si>
  <si>
    <t>Sinatra Cóctel Bar</t>
  </si>
  <si>
    <t>sinatra.coctel.bar@gmail.com</t>
  </si>
  <si>
    <t>986-079006</t>
  </si>
  <si>
    <t>Fermín Penzol 6</t>
  </si>
  <si>
    <t>Miguel Ojea Miguez</t>
  </si>
  <si>
    <t>36200</t>
  </si>
  <si>
    <t>La Casa De Arriba</t>
  </si>
  <si>
    <t>lacasadearribavigo@hotmail.com</t>
  </si>
  <si>
    <t>986-136719</t>
  </si>
  <si>
    <t>Rúa Martín Códax 23</t>
  </si>
  <si>
    <t>La Iguana Club</t>
  </si>
  <si>
    <t xml:space="preserve">info@laiguanaclub.com </t>
  </si>
  <si>
    <t>609-815774</t>
  </si>
  <si>
    <t>http://www.facebook.com/laiguanaclub</t>
  </si>
  <si>
    <t>C/ Churruca, 14 baixo</t>
  </si>
  <si>
    <t>Minoria Absoluta Rock-Bar</t>
  </si>
  <si>
    <t>benzinerarock@gmail.com</t>
  </si>
  <si>
    <t>687-880490</t>
  </si>
  <si>
    <t>https://www.facebook.com/Minoria-Absoluta-Rock-Bar-297695963997881/</t>
  </si>
  <si>
    <t>Vilafranca del Penedes</t>
  </si>
  <si>
    <t xml:space="preserve">C/ Amalia Soler, 7 </t>
  </si>
  <si>
    <t>Cristian / Toni/ Gerard</t>
  </si>
  <si>
    <t>8720</t>
  </si>
  <si>
    <t>1876 Vilafranca</t>
  </si>
  <si>
    <t>info@1876vilafranca.com</t>
  </si>
  <si>
    <t>936-884010</t>
  </si>
  <si>
    <t>https://www.facebook.com/1876Vilafranca/</t>
  </si>
  <si>
    <t>Vilafranca del Penedés</t>
  </si>
  <si>
    <t>Rambla de Sant Francesc, 25</t>
  </si>
  <si>
    <t>08720</t>
  </si>
  <si>
    <t>Sala Bianco</t>
  </si>
  <si>
    <t>benifb8@hotmail.com</t>
  </si>
  <si>
    <t>981-189850</t>
  </si>
  <si>
    <t>https://www.facebook.com/biancoloungebarvilagarcia/</t>
  </si>
  <si>
    <t>Vilagarcía de Arousa</t>
  </si>
  <si>
    <t>Calle Juan García,16</t>
  </si>
  <si>
    <t>36600</t>
  </si>
  <si>
    <t>La Daurada</t>
  </si>
  <si>
    <t>info@ladaurada.es</t>
  </si>
  <si>
    <t>938-159820</t>
  </si>
  <si>
    <t>https://ladaurada.es/</t>
  </si>
  <si>
    <t xml:space="preserve">Vilanova I La Geltru </t>
  </si>
  <si>
    <t xml:space="preserve">Moll de Ponent, Plaça Trajo de Garbí, s/n </t>
  </si>
  <si>
    <t>A Arca Da Noe</t>
  </si>
  <si>
    <t>arcadanoe@gmail.com</t>
  </si>
  <si>
    <t>988-447128</t>
  </si>
  <si>
    <t>https://www.facebook.com/ArcaDaNoe</t>
  </si>
  <si>
    <t>Vilar de Santos</t>
  </si>
  <si>
    <t>Rua do Forno, 13</t>
  </si>
  <si>
    <t>Noemi Vázquez</t>
  </si>
  <si>
    <t>32650</t>
  </si>
  <si>
    <t>Totem</t>
  </si>
  <si>
    <t>info@salatotem.com
iker@salatotem.com</t>
  </si>
  <si>
    <t>948-135919</t>
  </si>
  <si>
    <t>www.salatotem.com</t>
  </si>
  <si>
    <t>Villava</t>
  </si>
  <si>
    <t xml:space="preserve">Poligono Industrial Landazabal, Calle 1-10 </t>
  </si>
  <si>
    <t>Iker Isiegas</t>
  </si>
  <si>
    <t>31610</t>
  </si>
  <si>
    <t>Hell Dorado</t>
  </si>
  <si>
    <t>helldorado@helldorado.net</t>
  </si>
  <si>
    <t>945-230131</t>
  </si>
  <si>
    <t>http://www.helldorado.net/</t>
  </si>
  <si>
    <t>Vitoria</t>
  </si>
  <si>
    <t>Alava</t>
  </si>
  <si>
    <t>C/ Venta de la Estrella, 6.Pab 44</t>
  </si>
  <si>
    <t>Juan Uriarte</t>
  </si>
  <si>
    <t>01006</t>
  </si>
  <si>
    <t>381</t>
  </si>
  <si>
    <t>Jimmy Jazz Gasteiz</t>
  </si>
  <si>
    <t>info@jimmyjazzgasteiz.com</t>
  </si>
  <si>
    <t>http://www.jimmyjazzgasteiz.com/</t>
  </si>
  <si>
    <t>C/ Coronación de la Virgen Blanca, 4</t>
  </si>
  <si>
    <t>01012</t>
  </si>
  <si>
    <t>Kubik Aretoa</t>
  </si>
  <si>
    <t>info@kubikvitoria.com</t>
  </si>
  <si>
    <t>http://kubikvitoria.com/</t>
  </si>
  <si>
    <t>C/ General Alava, 5</t>
  </si>
  <si>
    <t>01005</t>
  </si>
  <si>
    <t>theroseyuncler@gmail.com
ucedaorozco@gmail.com</t>
  </si>
  <si>
    <t>679-968261</t>
  </si>
  <si>
    <t>http://www.theroseyuncler.com/</t>
  </si>
  <si>
    <t>Yuncler</t>
  </si>
  <si>
    <t>Pº del Prado, 28B</t>
  </si>
  <si>
    <t>Miguel Ángel Uceda Orozco</t>
  </si>
  <si>
    <t>45529</t>
  </si>
  <si>
    <t>Avalon Café</t>
  </si>
  <si>
    <t>bandas@avaloncafe.es</t>
  </si>
  <si>
    <t>669-768789
980-532589</t>
  </si>
  <si>
    <t>http://www.avaloncafe.es/</t>
  </si>
  <si>
    <t>San Andrés, 17</t>
  </si>
  <si>
    <t>Álvaro de Paz Barrio</t>
  </si>
  <si>
    <t>49003</t>
  </si>
  <si>
    <t>La Cueva del Jazz en Vivo</t>
  </si>
  <si>
    <t>sala@lacuevadeljazz.es</t>
  </si>
  <si>
    <t>980-534424
980-533436</t>
  </si>
  <si>
    <t>http://www.lacuevadeljazz.es/</t>
  </si>
  <si>
    <t>C/ Puerta Nueva, 30 Bajo</t>
  </si>
  <si>
    <t>Óscar</t>
  </si>
  <si>
    <t>49002</t>
  </si>
  <si>
    <t>Sala Selvátika</t>
  </si>
  <si>
    <t>alvaroblanco@wilmaproducciones.com</t>
  </si>
  <si>
    <t>609-492255</t>
  </si>
  <si>
    <t>https://selvatika.es/</t>
  </si>
  <si>
    <t>C. del Tejo, 7</t>
  </si>
  <si>
    <t>Álvaro Blanco (Wilma Producciones)</t>
  </si>
  <si>
    <t>49029</t>
  </si>
  <si>
    <t>Creedence</t>
  </si>
  <si>
    <t>salacreedence@icloud.com
zatropeck@icloud.com</t>
  </si>
  <si>
    <t>http://www.creedence.es/</t>
  </si>
  <si>
    <t>Plaza San Lamberto, 3</t>
  </si>
  <si>
    <t>Mike Zatropeck</t>
  </si>
  <si>
    <t>ACCES/ARAGÓN EN VIVO</t>
  </si>
  <si>
    <t>50004</t>
  </si>
  <si>
    <t>La Campana Underground</t>
  </si>
  <si>
    <t>edtolosana@hotmail.com</t>
  </si>
  <si>
    <t>976-398085</t>
  </si>
  <si>
    <t>http://www.campanadelosperdidos.com/</t>
  </si>
  <si>
    <t>C/ Prudencio,7</t>
  </si>
  <si>
    <t>Eduardo Tolosana Gávez</t>
  </si>
  <si>
    <t>50003</t>
  </si>
  <si>
    <t>La Casa del Loco</t>
  </si>
  <si>
    <t>chemaantipodas@gmail.com
eventos@lacasadelloco@gmail.com</t>
  </si>
  <si>
    <t>976-293850</t>
  </si>
  <si>
    <t>http://www.casadelloco.com/</t>
  </si>
  <si>
    <t>Calle Mayor 10</t>
  </si>
  <si>
    <t>50001</t>
  </si>
  <si>
    <t>La Lata de Bombillas</t>
  </si>
  <si>
    <t>lalatadebombillas@gmail.com</t>
  </si>
  <si>
    <t>656-230597</t>
  </si>
  <si>
    <t>http://www.myspace.com/lalatadebombillas.com</t>
  </si>
  <si>
    <t>Calle Espoz y Mina, 17</t>
  </si>
  <si>
    <t>50007</t>
  </si>
  <si>
    <t>La Ley Seca</t>
  </si>
  <si>
    <t>laleyseca@laleyseca.com</t>
  </si>
  <si>
    <t>625-993364</t>
  </si>
  <si>
    <t>http://www.laleyseca.com/</t>
  </si>
  <si>
    <t>C/ Sevilla, 2</t>
  </si>
  <si>
    <t>Carlos Ezquerro</t>
  </si>
  <si>
    <t>50006</t>
  </si>
  <si>
    <t>Rock And Blues Café</t>
  </si>
  <si>
    <t>sweetcarolinezgz@gmail.com</t>
  </si>
  <si>
    <t>976-939295
876-018188</t>
  </si>
  <si>
    <t>www.rockandbluescafe.com</t>
  </si>
  <si>
    <t>C/ Cuatro de Agosto, 5-7</t>
  </si>
  <si>
    <t>Patxi</t>
  </si>
  <si>
    <t>Sala López</t>
  </si>
  <si>
    <t>info@salalopez.com
booking@salalopez.com</t>
  </si>
  <si>
    <t>976-446666
622-358323</t>
  </si>
  <si>
    <t>http://www.salalopez.com/</t>
  </si>
  <si>
    <t>Sixto Celorrio, 2-4-6</t>
  </si>
  <si>
    <t>Tomás Gómez</t>
  </si>
  <si>
    <t>50013</t>
  </si>
  <si>
    <t>Sala Z</t>
  </si>
  <si>
    <t>tocarenelz@gmail.com</t>
  </si>
  <si>
    <t>676-980248
976-56 7889</t>
  </si>
  <si>
    <t>http://www.salazeta.com/</t>
  </si>
  <si>
    <t>C/ Félix Latassa, 14</t>
  </si>
  <si>
    <t>Marcos Arena</t>
  </si>
  <si>
    <t>Teatro Arbolé</t>
  </si>
  <si>
    <t xml:space="preserve">arbole@teatroarbole.es </t>
  </si>
  <si>
    <t>976-734466
609-145146</t>
  </si>
  <si>
    <t>http://www.teatroarbole.es/</t>
  </si>
  <si>
    <t>Parque del Agua Luis Buñel. Paseo del Botanico, 4</t>
  </si>
  <si>
    <t>50018</t>
  </si>
  <si>
    <t>225</t>
  </si>
  <si>
    <t>Teatro de la Estación</t>
  </si>
  <si>
    <t xml:space="preserve">info@teatrodelaestacion.com </t>
  </si>
  <si>
    <t>976-469494</t>
  </si>
  <si>
    <t>http://teatrodelaestacion.com/</t>
  </si>
  <si>
    <t>Calle Domingo Figueras Jariod 8 - 10</t>
  </si>
  <si>
    <t>Fernando Vallejo Labrador</t>
  </si>
  <si>
    <t>produccion@teatrodelasesquinas.com</t>
  </si>
  <si>
    <t>976-333055</t>
  </si>
  <si>
    <t>teatrodelasesquinas.com</t>
  </si>
  <si>
    <t>Vía Universitas, 30</t>
  </si>
  <si>
    <t>50017</t>
  </si>
  <si>
    <t>Moliner 7 Café&amp;Copas</t>
  </si>
  <si>
    <t>Calle María Moliner, 7</t>
  </si>
  <si>
    <t>El Refugio del Crápula</t>
  </si>
  <si>
    <t>C/ Mayor 56</t>
  </si>
  <si>
    <t>La Bóveda de Albergue de Zaragoza</t>
  </si>
  <si>
    <t>laboveda@alberguezaragoza.com
jjuste@labovedazgz.com</t>
  </si>
  <si>
    <t>976-282043</t>
  </si>
  <si>
    <t>http://www.labovedazgz.com/</t>
  </si>
  <si>
    <t>Predicadores, 70</t>
  </si>
  <si>
    <t>Juan Sebastián Bar</t>
  </si>
  <si>
    <t>osobuco51@hotmail.com</t>
  </si>
  <si>
    <t>976-550675
673-829219</t>
  </si>
  <si>
    <t>http://www.juansebastianbar.net/</t>
  </si>
  <si>
    <t>Luis Oro, 7</t>
  </si>
  <si>
    <t>Café DPCH ROCK</t>
  </si>
  <si>
    <t xml:space="preserve">dpchrock@gmail.com
</t>
  </si>
  <si>
    <t>976-022713</t>
  </si>
  <si>
    <t>http://www.facebook.com/dpchrock/_</t>
  </si>
  <si>
    <t xml:space="preserve">Telesforo Peromarta, 5 </t>
  </si>
  <si>
    <t>Las Armas</t>
  </si>
  <si>
    <t>victor@alasarmas.org
info@alasarmas.org</t>
  </si>
  <si>
    <t>976-725570</t>
  </si>
  <si>
    <t>http://www.alasarmas.org/</t>
  </si>
  <si>
    <t>Plz. Mariano de Cavia, 2</t>
  </si>
  <si>
    <t>Victor Domínguez Gracia</t>
  </si>
  <si>
    <t>ACTIVIDAD PRINCIPAL</t>
  </si>
  <si>
    <t>C P</t>
  </si>
  <si>
    <t>FAX</t>
  </si>
  <si>
    <t>MARÍA</t>
  </si>
  <si>
    <t>ALBA RECIO</t>
  </si>
  <si>
    <t>GLOBAL TALENT SERVICES</t>
  </si>
  <si>
    <t>Maria.Alba@gtstalent.com</t>
  </si>
  <si>
    <t>91-7445517 629-624865</t>
  </si>
  <si>
    <t>www.universalmusic.es</t>
  </si>
  <si>
    <t>MADRID</t>
  </si>
  <si>
    <t>C/ TORRELAGUNA Nº 64</t>
  </si>
  <si>
    <t>Socio ARTE</t>
  </si>
  <si>
    <t>MANAGEMENT/PROMOTOR/PRODUCTOR</t>
  </si>
  <si>
    <t>28043.0</t>
  </si>
  <si>
    <t>HUGO</t>
  </si>
  <si>
    <t>ALBORNOZ GÓMEZ</t>
  </si>
  <si>
    <t>SHAREMUSIC CONCERTS S.L.</t>
  </si>
  <si>
    <t>hugo@sharemusic.es</t>
  </si>
  <si>
    <t>www.sharemusic.es</t>
  </si>
  <si>
    <t>C/ DOCTOR FOURQUET Nº20</t>
  </si>
  <si>
    <t>PROMOTOR</t>
  </si>
  <si>
    <t>28009.0</t>
  </si>
  <si>
    <t>JUAN</t>
  </si>
  <si>
    <t>ALCARAZ ESCRIBANO</t>
  </si>
  <si>
    <t>TELONEA</t>
  </si>
  <si>
    <t>juanalcaraz@telonea.es</t>
  </si>
  <si>
    <t>622-315965</t>
  </si>
  <si>
    <t>TORREDONJIMENO</t>
  </si>
  <si>
    <t>JAEN</t>
  </si>
  <si>
    <t>ANDALUCÍA</t>
  </si>
  <si>
    <t>C/ SAN JOSÉ Nº11</t>
  </si>
  <si>
    <t>AGENCIA DE ESPECTÁCULOS</t>
  </si>
  <si>
    <t>23650.0</t>
  </si>
  <si>
    <t>DANIEL</t>
  </si>
  <si>
    <t>ALEJANDRE MORTE</t>
  </si>
  <si>
    <t>DEEP DELAY MANAGEMENT S.L.</t>
  </si>
  <si>
    <t>contratacion@deepdelaymanagement.com</t>
  </si>
  <si>
    <t>684-065220 931-895834</t>
  </si>
  <si>
    <t>www.deepdelaymanagement.com</t>
  </si>
  <si>
    <t>BARCELONA</t>
  </si>
  <si>
    <t>CATALUÑA</t>
  </si>
  <si>
    <t>C/ PARÍS Nº45-47 ENTRE SUELO 3º</t>
  </si>
  <si>
    <t>MANAGEMENT/PROMOTOR</t>
  </si>
  <si>
    <t>8029.0</t>
  </si>
  <si>
    <t>876 875 291</t>
  </si>
  <si>
    <t>ALBERTO</t>
  </si>
  <si>
    <t>ALFONSO VÁZQUEZ</t>
  </si>
  <si>
    <t>GESTIÓN CULTURAL ART MUSIC AGENCY, S.L.</t>
  </si>
  <si>
    <t>alberto.alfonso@artmusicagency.es contratacion@artmusicagency.es</t>
  </si>
  <si>
    <t>981-500278 690-109731</t>
  </si>
  <si>
    <t>www.artmusicagency.es</t>
  </si>
  <si>
    <t>ARZUA</t>
  </si>
  <si>
    <t>A CORUÑA</t>
  </si>
  <si>
    <t>GALICIA</t>
  </si>
  <si>
    <t>C/ LUGO Nº40, PISO 1D</t>
  </si>
  <si>
    <t>MANAGEMENT/PROMOTOR/DIRECTOR FESTIVALES</t>
  </si>
  <si>
    <t>15810.0</t>
  </si>
  <si>
    <t>NIEVES</t>
  </si>
  <si>
    <t>ÁLVAREZ GONZÁLEZ</t>
  </si>
  <si>
    <t>ENE PRODUCCIONES DE EVENTOS SL</t>
  </si>
  <si>
    <t>nievesal@eneproducciones.com</t>
  </si>
  <si>
    <t>647-525772</t>
  </si>
  <si>
    <t>MÓSTOLES</t>
  </si>
  <si>
    <t xml:space="preserve"> C/ SIETE PICOS 51</t>
  </si>
  <si>
    <t>MANAGEMENT</t>
  </si>
  <si>
    <t>28935.0</t>
  </si>
  <si>
    <t>MANUEL</t>
  </si>
  <si>
    <t>ÁLVAREZ LÓPEZ PIRRONGELLI</t>
  </si>
  <si>
    <t>PIRRONGELLI MANAGEMENT</t>
  </si>
  <si>
    <t>manuel@pirrongelli.com</t>
  </si>
  <si>
    <t>609-030506</t>
  </si>
  <si>
    <t>www.pirrongelli.com</t>
  </si>
  <si>
    <t>C/ MANUEL LAMELA Nº2</t>
  </si>
  <si>
    <t>28025.0</t>
  </si>
  <si>
    <t>MARCOS</t>
  </si>
  <si>
    <t>ALVIR PINA</t>
  </si>
  <si>
    <t>GESTUROCIO ENTERTAIMENT, S.L.</t>
  </si>
  <si>
    <t>gesturocio@gmail.com oficina@gesturocio.com</t>
  </si>
  <si>
    <t>679-155225</t>
  </si>
  <si>
    <t>www.gesturocio.com</t>
  </si>
  <si>
    <t>VALENCIA</t>
  </si>
  <si>
    <t>COMUNIDAD VALENCIANA</t>
  </si>
  <si>
    <t>GRAN VÍA MARQUÉS DEL TURIA 49-1º-1ª</t>
  </si>
  <si>
    <t>46005.0</t>
  </si>
  <si>
    <t>AMARO LOZANO</t>
  </si>
  <si>
    <t>PUERCOESPÍN S.L.</t>
  </si>
  <si>
    <t>maria@puercoespin.es</t>
  </si>
  <si>
    <t>91-4095540</t>
  </si>
  <si>
    <t>https://puercoespin.es/</t>
  </si>
  <si>
    <t>C/ NURIA Nº36, 1º, 1</t>
  </si>
  <si>
    <t>28034.0</t>
  </si>
  <si>
    <t>XOSÉ ANTÓN</t>
  </si>
  <si>
    <t>ANTELO LEMA</t>
  </si>
  <si>
    <t>THINKING UP EVENTS S.L.</t>
  </si>
  <si>
    <t>info@thinkingupevents.com</t>
  </si>
  <si>
    <t>665-896920</t>
  </si>
  <si>
    <t>www.thinkingupevents.com</t>
  </si>
  <si>
    <t>SANTIAGO DE COMPOSTELA</t>
  </si>
  <si>
    <t>RUA CIDADE DO TRANSPORTE B, Nº74, COMPLEMEN. POLÍGONO INDUSTRIAL O TAMBRE</t>
  </si>
  <si>
    <t>15890.0</t>
  </si>
  <si>
    <t>PAZ</t>
  </si>
  <si>
    <t>APARICIO GREGORIO</t>
  </si>
  <si>
    <t>IMPULSA EVENTOS E INSTALACIONES / MOVISTAR ARENA</t>
  </si>
  <si>
    <t>pazaparicio@movistararena.es</t>
  </si>
  <si>
    <t>91-4449949 609-069714</t>
  </si>
  <si>
    <t>www.movistararena.es</t>
  </si>
  <si>
    <t>AVDA. FELIPE II S/N</t>
  </si>
  <si>
    <t>PATRICIA</t>
  </si>
  <si>
    <t>ARAGONESES RODRÍGUEZ</t>
  </si>
  <si>
    <t>ARA MUSIC ENTERTAINMENT</t>
  </si>
  <si>
    <t>info@aramusicgroup.com patri@aramusicgroup.com</t>
  </si>
  <si>
    <t>91-7023017  673-916431</t>
  </si>
  <si>
    <t>www.aramusicgroup.com</t>
  </si>
  <si>
    <t>C/ MORETO, 1</t>
  </si>
  <si>
    <t>28014.0</t>
  </si>
  <si>
    <t>OSCAR</t>
  </si>
  <si>
    <t>ARANZUEQUE SANJURJO</t>
  </si>
  <si>
    <t>LA CARBONERÍA MUSIC</t>
  </si>
  <si>
    <t>oscararanzueque@gmail.com</t>
  </si>
  <si>
    <t>667-400771</t>
  </si>
  <si>
    <t>www.lacarboneriamusic.com</t>
  </si>
  <si>
    <t>POZUELO DE ALARCÓN</t>
  </si>
  <si>
    <t>C/ ELENA APARICIO Nº3</t>
  </si>
  <si>
    <t>28224.0</t>
  </si>
  <si>
    <t>ÍÑIGO</t>
  </si>
  <si>
    <t>ARGOMANIZ BENGOETXEA</t>
  </si>
  <si>
    <t>PROMOCIONES MUSICALES GET IN, S.L.</t>
  </si>
  <si>
    <t>getin@getin.es</t>
  </si>
  <si>
    <t>943-316911</t>
  </si>
  <si>
    <t>www.getin.es</t>
  </si>
  <si>
    <t>SAN SEBASTIAN</t>
  </si>
  <si>
    <t>GUIPUZCOA</t>
  </si>
  <si>
    <t>EUSKADI</t>
  </si>
  <si>
    <t>CAMINO PORTUETXE, 53 A, 3º. OF. 305</t>
  </si>
  <si>
    <t>20018.0</t>
  </si>
  <si>
    <t>943-316557</t>
  </si>
  <si>
    <t>JOAN</t>
  </si>
  <si>
    <t>ARNEDO REJAS</t>
  </si>
  <si>
    <t>LA TRACA EVENTS</t>
  </si>
  <si>
    <t>joan@latracaevents.com</t>
  </si>
  <si>
    <t>973-248925</t>
  </si>
  <si>
    <t>www.latracaevents.com</t>
  </si>
  <si>
    <t>LLEIDA</t>
  </si>
  <si>
    <t>PAER CASANOVAS, 12 - ATIC. OF. 1ª</t>
  </si>
  <si>
    <t>AGENCIA DE ESPECTÁCULOS/PROMOTOR/SERVICIOS AUXILIARES</t>
  </si>
  <si>
    <t>25005.0</t>
  </si>
  <si>
    <t>973-230476</t>
  </si>
  <si>
    <t>JAVIER (POLAKO)</t>
  </si>
  <si>
    <t>ARRECHE IRIGOYEN</t>
  </si>
  <si>
    <t>CULTURA ROCK</t>
  </si>
  <si>
    <t>contratacion@culturarock.net polako@culturarock.net</t>
  </si>
  <si>
    <t>946-126045</t>
  </si>
  <si>
    <t>www.culturarock.net</t>
  </si>
  <si>
    <t>MUNGUIA</t>
  </si>
  <si>
    <t>VIZCAYA</t>
  </si>
  <si>
    <t>C/ ERRIBIDE Nº6, ENTREPLANTA</t>
  </si>
  <si>
    <t>48100.0</t>
  </si>
  <si>
    <t>946-126044</t>
  </si>
  <si>
    <t>JOSÉ ANTONIO</t>
  </si>
  <si>
    <t>BALLESTEROS OJEA</t>
  </si>
  <si>
    <t>PRODUCCIONES ARTÍSTICAS BALLESTEROS, S.L.</t>
  </si>
  <si>
    <t>espballesteros@yahoo.es</t>
  </si>
  <si>
    <t>925-866559 687-759063</t>
  </si>
  <si>
    <t>CEBOLLA</t>
  </si>
  <si>
    <t>TOLEDO</t>
  </si>
  <si>
    <t>CASTILLA-LA MANCHA</t>
  </si>
  <si>
    <t>C/ TOLEDO, 53</t>
  </si>
  <si>
    <t>45680.0</t>
  </si>
  <si>
    <t>YANN</t>
  </si>
  <si>
    <t>BARBOT MARÍN</t>
  </si>
  <si>
    <t xml:space="preserve">
GLOBAL TALENT SERVICES MUSIC ENTERTAINMENT SPAIN, S.L.U.</t>
  </si>
  <si>
    <t>yann.barbot@gtstalent.com</t>
  </si>
  <si>
    <t>659 495 787</t>
  </si>
  <si>
    <t>www.gtsmanagement.com</t>
  </si>
  <si>
    <t>Gran Vía, 4 – 4ª Planta</t>
  </si>
  <si>
    <t>28013.0</t>
  </si>
  <si>
    <t>JOSÉ</t>
  </si>
  <si>
    <t>BARROSO PERALES</t>
  </si>
  <si>
    <t>PEP´S MUSIC GROUP</t>
  </si>
  <si>
    <t>info@pepsrecords.es</t>
  </si>
  <si>
    <t>679-138919</t>
  </si>
  <si>
    <t>www.pepsmusicgroup.com</t>
  </si>
  <si>
    <t>AVENIDA RAMÓN Y CAJAL Nº 73</t>
  </si>
  <si>
    <t>28016.0</t>
  </si>
  <si>
    <t>91-5152767</t>
  </si>
  <si>
    <t>BAUZÁ ARQUÉS</t>
  </si>
  <si>
    <t>CENTRE MUSICAL ES GREMI S.L.</t>
  </si>
  <si>
    <t>pepe.bauza@esgremi.com noelia.jimenez@esgremi.com</t>
  </si>
  <si>
    <t>696-461210 971-911004</t>
  </si>
  <si>
    <t>www.esgremi.com</t>
  </si>
  <si>
    <t>SON CASTELLÓ</t>
  </si>
  <si>
    <t>PALMA DE MALLORCA</t>
  </si>
  <si>
    <t>ILLES BALEARS</t>
  </si>
  <si>
    <t>CARRER GREMI DE PORGADORS Nº16, COMPLEMEN. POLÍGONO SON CASTELLO</t>
  </si>
  <si>
    <t>PRODUCTOR/INFRAESTRUCTURA</t>
  </si>
  <si>
    <t>7009.0</t>
  </si>
  <si>
    <t>LUIS</t>
  </si>
  <si>
    <t>BERLANGA CRISTÓBAL</t>
  </si>
  <si>
    <t>FLUGE AUDIOVISUALES</t>
  </si>
  <si>
    <t>info@fluge.es lberlanga@fluge.es</t>
  </si>
  <si>
    <t>91-8231050</t>
  </si>
  <si>
    <t>www.fluge.es</t>
  </si>
  <si>
    <t>ARGANDA DEL REY</t>
  </si>
  <si>
    <t>SIERRA ALBARRACÍN Nº61</t>
  </si>
  <si>
    <t>PROMOTOR/INFRAESTRUCTURA</t>
  </si>
  <si>
    <t>28500.0</t>
  </si>
  <si>
    <t>DISORDER EVENTS S.L.</t>
  </si>
  <si>
    <t>j.lopez@disorderevents.com info@disorderevents.com</t>
  </si>
  <si>
    <t>91-8231050 626-054356</t>
  </si>
  <si>
    <t>www.asummerstory.com</t>
  </si>
  <si>
    <t>VIRGINIA</t>
  </si>
  <si>
    <t>BEZARES LASAGA</t>
  </si>
  <si>
    <t>PROMOCIONES MUSICALES IREGUA, S.L.</t>
  </si>
  <si>
    <t>info@promocionesiregua.es</t>
  </si>
  <si>
    <t>www.promocionesiregua.es</t>
  </si>
  <si>
    <t>LOGROÑO</t>
  </si>
  <si>
    <t>LA RIOJA</t>
  </si>
  <si>
    <t>PARQUE SAN ADRIAN, 17 BAJO</t>
  </si>
  <si>
    <t>26007.0</t>
  </si>
  <si>
    <t>941-204500</t>
  </si>
  <si>
    <t>ÁLVARO</t>
  </si>
  <si>
    <t>BLANCO FIDALGO</t>
  </si>
  <si>
    <t>WILMA PRODUCCIONES Y MANAGEMENT</t>
  </si>
  <si>
    <t>94 438 60 11  609 49 22 55</t>
  </si>
  <si>
    <t>www.wilmaproducciones.com</t>
  </si>
  <si>
    <t>BARAKALDO</t>
  </si>
  <si>
    <t>C/ QUEVEDO, Nº 1 BAJO</t>
  </si>
  <si>
    <t>MANAGEMENT/PROMOTOR/SERVICIOS AUXILIARES/INFRAESTRUCTURA</t>
  </si>
  <si>
    <t>48901.0</t>
  </si>
  <si>
    <t>BOADA GIL</t>
  </si>
  <si>
    <t>BONITO SOUND</t>
  </si>
  <si>
    <t>bonito@bonitosound.com dani@bonitosound.com</t>
  </si>
  <si>
    <t>656-865545</t>
  </si>
  <si>
    <t>www.daniboada.com www.bonitosound.com</t>
  </si>
  <si>
    <t>SABADELL</t>
  </si>
  <si>
    <t>CARRETERA DE TERRASSA Nº376, 4º, 2ª</t>
  </si>
  <si>
    <t>8026.0</t>
  </si>
  <si>
    <t>SANDRA</t>
  </si>
  <si>
    <t>BONA BENITO</t>
  </si>
  <si>
    <t>BONA ESPECTÁCULOS</t>
  </si>
  <si>
    <t>bona_espectaculos@hotmail.com</t>
  </si>
  <si>
    <t>657-536619</t>
  </si>
  <si>
    <t>ZARAGOZA</t>
  </si>
  <si>
    <t>ARAGÓN</t>
  </si>
  <si>
    <t>CALLE CELSO EMILIO FERREIRO Nº2</t>
  </si>
  <si>
    <t>50017.0</t>
  </si>
  <si>
    <t>DANIELA</t>
  </si>
  <si>
    <t>BOSÉ</t>
  </si>
  <si>
    <t>PALACIO VISTALEGRE ARENA</t>
  </si>
  <si>
    <t>daniela.bose@palaciovistalegre.com</t>
  </si>
  <si>
    <t>91-4220781 91-5639493</t>
  </si>
  <si>
    <t>www.palaciovistalegre.com</t>
  </si>
  <si>
    <t>C/ UTEBO Nº1</t>
  </si>
  <si>
    <t>RAQUEL</t>
  </si>
  <si>
    <t>BOULLOSA SEOANE</t>
  </si>
  <si>
    <t>RAQUEL BOULLOSA COMMUNICATION S.L.</t>
  </si>
  <si>
    <t>raquel@raquelboullosa.com</t>
  </si>
  <si>
    <t>695-408510</t>
  </si>
  <si>
    <t>C/ CONDE DE ROMANONES Nº10, 1ºB, EXTERIOR DERECHA</t>
  </si>
  <si>
    <t>28012.0</t>
  </si>
  <si>
    <t>CARLOS MIGUEL</t>
  </si>
  <si>
    <t>BRAVO MEDRANO</t>
  </si>
  <si>
    <t>BRAVO PROGRAMACIONES ARTISTICAS S.L.</t>
  </si>
  <si>
    <t>info@bravoprogramacionesartisticas.com</t>
  </si>
  <si>
    <t>941-160001 619-768603</t>
  </si>
  <si>
    <t>www.bravoprogramacionesartisticas.com</t>
  </si>
  <si>
    <t>RINCON DE SOTO</t>
  </si>
  <si>
    <t>AVDA. DE LA RIOJA, 16</t>
  </si>
  <si>
    <t>26550.0</t>
  </si>
  <si>
    <t>941-142001</t>
  </si>
  <si>
    <t>ADOLFO</t>
  </si>
  <si>
    <t>BRITOS SAN MARTÍN</t>
  </si>
  <si>
    <t>MORGAN BRITOS, S.L.</t>
  </si>
  <si>
    <t>morganbritos@morganbritos.net</t>
  </si>
  <si>
    <t>91-5411732</t>
  </si>
  <si>
    <t>www.morganbritos.net</t>
  </si>
  <si>
    <t>C/ SAN BERNARDO Nº20, 2º, OFICINA 2</t>
  </si>
  <si>
    <t>28015.0</t>
  </si>
  <si>
    <t>91-5413291</t>
  </si>
  <si>
    <t>RODOLFO</t>
  </si>
  <si>
    <t>BRITOS SÁNCHEZ</t>
  </si>
  <si>
    <t>R. BRITOS S.L.</t>
  </si>
  <si>
    <t>mjesus@espectaculosrbritos.com</t>
  </si>
  <si>
    <t>650-455303 626-474649</t>
  </si>
  <si>
    <t>www.espectaculosrbritos.com</t>
  </si>
  <si>
    <t>ALAGON DEL RIO</t>
  </si>
  <si>
    <t>CÁCERES</t>
  </si>
  <si>
    <t>EXTREMADURA</t>
  </si>
  <si>
    <t>NERVION, 15</t>
  </si>
  <si>
    <t>10690.0</t>
  </si>
  <si>
    <t>927-454025</t>
  </si>
  <si>
    <t>ANA BELÉN</t>
  </si>
  <si>
    <t>CAAMAÑO VILLAR</t>
  </si>
  <si>
    <t>ESCENA EVENTOS S.L.</t>
  </si>
  <si>
    <t>ana@escenaeventos.com</t>
  </si>
  <si>
    <t>988-62109 677-408087</t>
  </si>
  <si>
    <t>www.escenaeventos.com</t>
  </si>
  <si>
    <t>CASTRO DE BEIRO</t>
  </si>
  <si>
    <t>ORENSE</t>
  </si>
  <si>
    <t>L.g. NOGUEIRA 6</t>
  </si>
  <si>
    <t>PRODUCTOR/INFRAESTRUCTURA/SERVICIOS AUXILIARES</t>
  </si>
  <si>
    <t>32980.0</t>
  </si>
  <si>
    <t>ANTONIO</t>
  </si>
  <si>
    <t>CABERO NEGRE</t>
  </si>
  <si>
    <t>toni@latraevents.com</t>
  </si>
  <si>
    <t>PAER CASANOVAS, 12 ATICO. OF. 1</t>
  </si>
  <si>
    <t>CABRERIZO RICO</t>
  </si>
  <si>
    <t>MANSI PRODUCCIONES, S.L.</t>
  </si>
  <si>
    <t>mansi@pedroguerra.com</t>
  </si>
  <si>
    <t>609-751883</t>
  </si>
  <si>
    <t>C/ GÓMEZ DE MORA, 1</t>
  </si>
  <si>
    <t>28005.0</t>
  </si>
  <si>
    <t>91-6669787</t>
  </si>
  <si>
    <t>CALVO GONZÁLEZ</t>
  </si>
  <si>
    <t>L.A. ROCK ENTERTAINMENT S.L.</t>
  </si>
  <si>
    <t>contratacion@larock.com.es</t>
  </si>
  <si>
    <t>www.larock.com.es</t>
  </si>
  <si>
    <t>LAS MATAS</t>
  </si>
  <si>
    <t>C/ PONIENTE, 31 POSTERIOR</t>
  </si>
  <si>
    <t>28290.0</t>
  </si>
  <si>
    <t>91-6303714</t>
  </si>
  <si>
    <t>DAVID</t>
  </si>
  <si>
    <t>CAMACHO PÉREZ DE LA BLANCA</t>
  </si>
  <si>
    <t>DIAGONAL PRODUCCIONES, S.L.</t>
  </si>
  <si>
    <t>diagonal@diagonalproducciones.com</t>
  </si>
  <si>
    <t>958-226666</t>
  </si>
  <si>
    <t>www.diagonalproducciones.com</t>
  </si>
  <si>
    <t>GRANADA</t>
  </si>
  <si>
    <t>C/ ÁNGEL GANIVET Nº6, ESCALERA IZDA. 1º CENTRO</t>
  </si>
  <si>
    <t>18009.0</t>
  </si>
  <si>
    <t>958-226223</t>
  </si>
  <si>
    <t>CAMÍN MARTÍNEZ</t>
  </si>
  <si>
    <t>MUSIK FLYN PRODUCCIONES</t>
  </si>
  <si>
    <t>contacto@flyn.com</t>
  </si>
  <si>
    <t>623-482027</t>
  </si>
  <si>
    <t>www.flyn.es</t>
  </si>
  <si>
    <t>BILBAO</t>
  </si>
  <si>
    <t>C/ HURTADO DE AMENAZAGA Nº27, 3º- DPTO 6</t>
  </si>
  <si>
    <t>PROMOTOR/PRODUCTOR</t>
  </si>
  <si>
    <t>48008.0</t>
  </si>
  <si>
    <t>DÁMASO</t>
  </si>
  <si>
    <t>CAMINERO</t>
  </si>
  <si>
    <t>ÉXITO ENTERTAINMENT</t>
  </si>
  <si>
    <t>manager@damasocaminero.com</t>
  </si>
  <si>
    <t>695-566 301</t>
  </si>
  <si>
    <t>www.damasocaminero.com</t>
  </si>
  <si>
    <t>VALDEPEÑAS</t>
  </si>
  <si>
    <t>CIUDAD REAL</t>
  </si>
  <si>
    <t>AVDA. PRIMERO DE JULIO Nº103, BAJO H</t>
  </si>
  <si>
    <t>13300.0</t>
  </si>
  <si>
    <t>CAMPOS MACHUCA</t>
  </si>
  <si>
    <t>PRODUCCIONES ARTÍSTICAS MANUEL CAMPOS S.L.</t>
  </si>
  <si>
    <t>camposespectaculos@hotmail.com</t>
  </si>
  <si>
    <t>608-917829 606-334215</t>
  </si>
  <si>
    <t>www.espectaculoscampos.es</t>
  </si>
  <si>
    <t>TALAVERA DE LA REINA</t>
  </si>
  <si>
    <t>C/ PRADO, 8 3º-B</t>
  </si>
  <si>
    <t>45600.0</t>
  </si>
  <si>
    <t>925-808317</t>
  </si>
  <si>
    <t>RICARDO</t>
  </si>
  <si>
    <t>CAMPOY LLORIA</t>
  </si>
  <si>
    <t>ROSTER MUSIC S.L.</t>
  </si>
  <si>
    <t>booking@rostermusic.com</t>
  </si>
  <si>
    <t>609-359655</t>
  </si>
  <si>
    <t>www.rostermusic.com</t>
  </si>
  <si>
    <t>AVENIDA DIAGONAL Nº 459 (Principal)</t>
  </si>
  <si>
    <t>MANAGEMENT/DISCOGRÁFICA</t>
  </si>
  <si>
    <t>8036.0</t>
  </si>
  <si>
    <t>PERE</t>
  </si>
  <si>
    <t>CAMPS CAMPOS</t>
  </si>
  <si>
    <t>PRODUCCIONS D’AUTOR S.L.</t>
  </si>
  <si>
    <t>93-4322305
670-299499</t>
  </si>
  <si>
    <t>www.barnasants.com</t>
  </si>
  <si>
    <t>CRTA. DE LA BORDETA, 90 2N 3A</t>
  </si>
  <si>
    <t>AGENCIA DE ESPECTÁCULOS/PROMOTOR/PRODUCTOR</t>
  </si>
  <si>
    <t>8014.0</t>
  </si>
  <si>
    <t>CARLOS</t>
  </si>
  <si>
    <t>CANCHO ORTEGA</t>
  </si>
  <si>
    <t>SÓLIDO SHOW</t>
  </si>
  <si>
    <t>cancho@solidoshow.com</t>
  </si>
  <si>
    <t>630-942211</t>
  </si>
  <si>
    <t>www.solidoshow.com</t>
  </si>
  <si>
    <t>ENRIQUE</t>
  </si>
  <si>
    <t>CANIVE RENOBALES</t>
  </si>
  <si>
    <t>FOKKER EVENTOS S.L.U.</t>
  </si>
  <si>
    <t>kikecanive@gmail.com</t>
  </si>
  <si>
    <t>696-492099</t>
  </si>
  <si>
    <t>www.fokkereventos.es</t>
  </si>
  <si>
    <t>BALMASEDA</t>
  </si>
  <si>
    <t>BARRIO PEÑUECO Nº2, POL.IND. EL PARAMO</t>
  </si>
  <si>
    <t>48800.0</t>
  </si>
  <si>
    <t>RUBÉN</t>
  </si>
  <si>
    <t>CAÑIZARES HERRAEZ</t>
  </si>
  <si>
    <t>CANDEHU GLOBAL SL</t>
  </si>
  <si>
    <t>ruben@candehu.com</t>
  </si>
  <si>
    <t>616-089141</t>
  </si>
  <si>
    <t>www.candehu.com</t>
  </si>
  <si>
    <t>TORREJÓN DE ARDOZ</t>
  </si>
  <si>
    <t>AVDA. DE LOS FRESNOS 12, 2ºB</t>
  </si>
  <si>
    <t>MANAGEMENT/PRODUCTOR</t>
  </si>
  <si>
    <t>28850.0</t>
  </si>
  <si>
    <t>CAÑIZARES LÓPEZ</t>
  </si>
  <si>
    <t>SPYRO MUSIC S.L.</t>
  </si>
  <si>
    <t>www.spyromusic.com</t>
  </si>
  <si>
    <t>SEVILLA</t>
  </si>
  <si>
    <t>PLAZA SAN ANTONIO DE PADUA Nº7-8 LOCAL</t>
  </si>
  <si>
    <t>41002.0</t>
  </si>
  <si>
    <t>CARO LÓPEZ</t>
  </si>
  <si>
    <t>ESPECTÁCULOS HÉCTOR OCIO S.L.</t>
  </si>
  <si>
    <t>contacto@hectorocio.com</t>
  </si>
  <si>
    <t>958-662357 958-662247</t>
  </si>
  <si>
    <t>www.hectorocio.es</t>
  </si>
  <si>
    <t>GUADIX</t>
  </si>
  <si>
    <t>AVDA. BUENOS AIRES, 128</t>
  </si>
  <si>
    <t>AGENCIA DE ESPECTÁCULOS/PROMOTOR</t>
  </si>
  <si>
    <t>18500.0</t>
  </si>
  <si>
    <t>958-662357</t>
  </si>
  <si>
    <t>IBERIA PRODUCCIONES S.L.</t>
  </si>
  <si>
    <t>contratacion@iberiaproducciones.es</t>
  </si>
  <si>
    <t>958-665551</t>
  </si>
  <si>
    <t>www.iberiaproducciones.es</t>
  </si>
  <si>
    <t>POLG. IND. M-8, PARC. 26</t>
  </si>
  <si>
    <t>PABLO</t>
  </si>
  <si>
    <t>CARRERA GONZÁLEZ</t>
  </si>
  <si>
    <t>A MANSALVA</t>
  </si>
  <si>
    <t>info@amansalva.es</t>
  </si>
  <si>
    <t>667-252611</t>
  </si>
  <si>
    <t>www.amansalva.es</t>
  </si>
  <si>
    <t>LA FELGUERA (LLANGRÉU)</t>
  </si>
  <si>
    <t>ASTURIAS</t>
  </si>
  <si>
    <t>PRINCIPADO DE ASTURIAS</t>
  </si>
  <si>
    <t>C/ RAFAEL BELDERRAIN 6</t>
  </si>
  <si>
    <t>MANAGEMENT/PRODUCTOR/DISCOGRÁFICA</t>
  </si>
  <si>
    <t>33930.0</t>
  </si>
  <si>
    <t>CARRION VERA</t>
  </si>
  <si>
    <t>CARVER PRODUCCIONES</t>
  </si>
  <si>
    <t>jcarrion@carverespectaculos.com fhernandez@carverespectaculos.com</t>
  </si>
  <si>
    <t>968-558737  658-987161 658-987162</t>
  </si>
  <si>
    <t>www.carverespectaculos.com</t>
  </si>
  <si>
    <t>FUENTE ÁLAMO</t>
  </si>
  <si>
    <t>MURCIA</t>
  </si>
  <si>
    <t>POL. INDUSTRIAL LA CANDELARIA  C/ POTASIO Nº 1.12  APDO CORREOS 222</t>
  </si>
  <si>
    <t>30320.0</t>
  </si>
  <si>
    <t>FÉLIX</t>
  </si>
  <si>
    <t>CARTAGENA REMACHA</t>
  </si>
  <si>
    <t>MAGAZINE SHOWBUSSINES</t>
  </si>
  <si>
    <t>felixcartagena@telefonica.net</t>
  </si>
  <si>
    <t>976-773132</t>
  </si>
  <si>
    <t>CASETAS</t>
  </si>
  <si>
    <t>C/ HUESCA, 1 1º B</t>
  </si>
  <si>
    <t>50620.0</t>
  </si>
  <si>
    <t>976-773736</t>
  </si>
  <si>
    <t>RAFAEL</t>
  </si>
  <si>
    <t>CASILLA MENACHO</t>
  </si>
  <si>
    <t>CONCERT TOUR GESTIONES S.L.</t>
  </si>
  <si>
    <t>grupoconcerttour@grupoconcerttour.com rocio@grupoconcerttour.com</t>
  </si>
  <si>
    <t>956-362512 956-360988</t>
  </si>
  <si>
    <t>www.grupoconcerttour.com/prod-guadalquivir</t>
  </si>
  <si>
    <t>SANLUCAR DE BARRAMEDA</t>
  </si>
  <si>
    <t>CÁDIZ</t>
  </si>
  <si>
    <t>C/ SAN JORGE Nº4, BAJO 4, BAJO IZQUIERDA</t>
  </si>
  <si>
    <t>PROMOTOR/PRODUCTOR/INFRAESTRUCTURAS</t>
  </si>
  <si>
    <t>11540.0</t>
  </si>
  <si>
    <t>956-381657</t>
  </si>
  <si>
    <t>CERDÁN PÉREZ</t>
  </si>
  <si>
    <t>PRODUARTCE, S.L.</t>
  </si>
  <si>
    <t>produartce@produartce.com</t>
  </si>
  <si>
    <t>96-5495170 609-661708</t>
  </si>
  <si>
    <t>www.producartce.com</t>
  </si>
  <si>
    <t>ASPE</t>
  </si>
  <si>
    <t>ALICANTE</t>
  </si>
  <si>
    <t>C/ SAGUNTO, 3 ESC. A, 1º-2</t>
  </si>
  <si>
    <t>3680.0</t>
  </si>
  <si>
    <t>96-5495979</t>
  </si>
  <si>
    <t>CERVERA DE ARCOS</t>
  </si>
  <si>
    <t>CERSA MUSIC S.L.</t>
  </si>
  <si>
    <t>cersamusic@cersamusic.com albertocervera@cersa.es</t>
  </si>
  <si>
    <t>91-6360505 636-572148</t>
  </si>
  <si>
    <t>www.cersamusic.com</t>
  </si>
  <si>
    <t>LAS ROZAS</t>
  </si>
  <si>
    <t>EUROPOLIS PARQUE INDUSTRIAL C/ TURIN Nº8</t>
  </si>
  <si>
    <t>28232.0</t>
  </si>
  <si>
    <t>PEDRO</t>
  </si>
  <si>
    <t>CERVERA SALAS</t>
  </si>
  <si>
    <t>CERSA PRODUCCIONES MUSICALES</t>
  </si>
  <si>
    <t>cersa@cersa.es</t>
  </si>
  <si>
    <t>91-6360505
619-198976</t>
  </si>
  <si>
    <t>EUROPOLIS PARQUE INDUSTRIAL C/ TURÍN, 8</t>
  </si>
  <si>
    <t>91-6361026</t>
  </si>
  <si>
    <t>JESÚS MANUEL</t>
  </si>
  <si>
    <t>COLÁS LASTRA</t>
  </si>
  <si>
    <t>THE IMAGOS</t>
  </si>
  <si>
    <t>info@imagoontour.com</t>
  </si>
  <si>
    <t>942-612987</t>
  </si>
  <si>
    <t>www.imagoontour.com</t>
  </si>
  <si>
    <t>LAREDO</t>
  </si>
  <si>
    <t>SANTANDER</t>
  </si>
  <si>
    <t>CANTABRIA</t>
  </si>
  <si>
    <t>GARELLY DE LA CAMARA Nº2</t>
  </si>
  <si>
    <t>39770.0</t>
  </si>
  <si>
    <t>IMAGO ON TOUR</t>
  </si>
  <si>
    <t>C/ RUALASAL, 1</t>
  </si>
  <si>
    <t>39001.0</t>
  </si>
  <si>
    <t>CONDE VÁZQUEZ</t>
  </si>
  <si>
    <t>ESPECTÁCULOS A. CONDE S.L.</t>
  </si>
  <si>
    <t>espectaculosaconde@gmail.com</t>
  </si>
  <si>
    <t>959-255163</t>
  </si>
  <si>
    <t>HUELVA</t>
  </si>
  <si>
    <t>AVDA. MANUEL SIUROT Nº25</t>
  </si>
  <si>
    <t>21004.0</t>
  </si>
  <si>
    <t>ALAIN</t>
  </si>
  <si>
    <t>CORNEJO ROSIER</t>
  </si>
  <si>
    <t>DIFFUSIO ARTES ESCÉNICAS S.L.U.</t>
  </si>
  <si>
    <t>director@diffusio.es</t>
  </si>
  <si>
    <t>91- 0699699</t>
  </si>
  <si>
    <t>www.diffusio.es</t>
  </si>
  <si>
    <t>VALLADOLID</t>
  </si>
  <si>
    <t>CASTILLA Y LEÓN</t>
  </si>
  <si>
    <t>C/ MONTERO CALVO Nº2,</t>
  </si>
  <si>
    <t>47001.0</t>
  </si>
  <si>
    <t>SEBASTIÁN</t>
  </si>
  <si>
    <t>CORRADINI FALOMIR</t>
  </si>
  <si>
    <t>ALIAS MUSIC S.L.</t>
  </si>
  <si>
    <t>aliasmusic@aliasmusic.com</t>
  </si>
  <si>
    <t>971-675298</t>
  </si>
  <si>
    <t>www.aliasmusic.com</t>
  </si>
  <si>
    <t>C/ MÓNACO Nº17, CASA 16</t>
  </si>
  <si>
    <t>7015.0</t>
  </si>
  <si>
    <t>CORTÉS SALAS</t>
  </si>
  <si>
    <t>ORIGINAL CONCERTS</t>
  </si>
  <si>
    <t>oscarcortes@originalconcerts.com</t>
  </si>
  <si>
    <t>679-739613</t>
  </si>
  <si>
    <t>www.originalconcerts.com</t>
  </si>
  <si>
    <t>CASTELLÓN</t>
  </si>
  <si>
    <t>C/ DE NAVARRA, Nº1, 4º PISO, PTA. U</t>
  </si>
  <si>
    <t>12594.0</t>
  </si>
  <si>
    <t>SUEÑOS MUSICALES</t>
  </si>
  <si>
    <t>oscar.cortes@suenosmusicales.es info@suenosmusicales.es</t>
  </si>
  <si>
    <t>964-631267</t>
  </si>
  <si>
    <t>www.sueñosmusicales.es</t>
  </si>
  <si>
    <t>PLAZA DEL MAR MEDITERRANEO Nº1, ENTRESUELO, OFICINA Nº8</t>
  </si>
  <si>
    <t>12005.0</t>
  </si>
  <si>
    <t>CRISTINA</t>
  </si>
  <si>
    <t>CUARTERO SÁNCHEZ</t>
  </si>
  <si>
    <t>STOP PRODUCCIONES, S.L.</t>
  </si>
  <si>
    <t>cristina@stop-producciones.com</t>
  </si>
  <si>
    <t>976-299638 699-313198</t>
  </si>
  <si>
    <t>www.stop-producciones.com</t>
  </si>
  <si>
    <t>C/ SANTA ISABEL, 11 ENTLO. DCHA. OFIC. 1</t>
  </si>
  <si>
    <t>AGENCIA DE ESPECTÁCULOS/MANAGEMENT/PROMOTOR/PRODUCTOR/DIRECTOR/SERVICIOS AUXILIARES</t>
  </si>
  <si>
    <t>50003.0</t>
  </si>
  <si>
    <t>976-203078</t>
  </si>
  <si>
    <t>JOSÉ MANUEL</t>
  </si>
  <si>
    <t>DE CEBALLOS LÓPEZ</t>
  </si>
  <si>
    <t>MUSIC BUS</t>
  </si>
  <si>
    <t>musicbus@musicbus.es produccion@musicbus.es</t>
  </si>
  <si>
    <t>93-3208292
93-3568013</t>
  </si>
  <si>
    <t>www.musicbus.es</t>
  </si>
  <si>
    <t>C/ PUJADES, 158 BIS 3º</t>
  </si>
  <si>
    <t>8005.0</t>
  </si>
  <si>
    <t>DE LA FUENTE MARTÍNEZ</t>
  </si>
  <si>
    <t>DE LA FUENTE PRODUCCIONES ARTÍSTICAS, S.L.</t>
  </si>
  <si>
    <t>contratacion@delafuentesl.com  info@delafuente.com</t>
  </si>
  <si>
    <t>942-606521 942-612304</t>
  </si>
  <si>
    <t>www.delafuentesl.com</t>
  </si>
  <si>
    <t>PZA. DE LA CONSTITUCION, 3</t>
  </si>
  <si>
    <t>942-608145</t>
  </si>
  <si>
    <t>JOSÉ LUIS</t>
  </si>
  <si>
    <t>DE LA PEÑA MIRA</t>
  </si>
  <si>
    <t>CLEVER MUSIC, S.L.</t>
  </si>
  <si>
    <t>joseluisdelapena@clevermusic.es</t>
  </si>
  <si>
    <t>91-7023010  620-233613</t>
  </si>
  <si>
    <t>www.clevermusic.es</t>
  </si>
  <si>
    <t>C/ RAFAEL CALVO, 18 3ª PLANTA</t>
  </si>
  <si>
    <t>28010.0</t>
  </si>
  <si>
    <t>GUILLERMO</t>
  </si>
  <si>
    <t>DE LA VEGA GANDARIAS</t>
  </si>
  <si>
    <t>MOURO PRODUCCIONES, S.L.U.</t>
  </si>
  <si>
    <t>942-270882 629-215966</t>
  </si>
  <si>
    <t>www.mouroproducciones.com</t>
  </si>
  <si>
    <t>C/ JUAN JOSÉ PÉREZ DEL MOLINO, 5, BAJO</t>
  </si>
  <si>
    <t>39006.0</t>
  </si>
  <si>
    <t>942-290920</t>
  </si>
  <si>
    <t>FRANCISCO</t>
  </si>
  <si>
    <t>DE MIGUEL MONTES</t>
  </si>
  <si>
    <t>PRODUCCIONES ARTÍSTICAS DE MIGUEL</t>
  </si>
  <si>
    <t>demiguelproduccion@telefonica.net</t>
  </si>
  <si>
    <t>607-427202</t>
  </si>
  <si>
    <t>www.produccionesdemiguel.com</t>
  </si>
  <si>
    <t>PAMPLONA</t>
  </si>
  <si>
    <t>NAVARRA</t>
  </si>
  <si>
    <t>VUELTA DEL CASTILLO, 7 1ºB, ESCALERA DCHA.</t>
  </si>
  <si>
    <t>31007.0</t>
  </si>
  <si>
    <t>FERNANDO</t>
  </si>
  <si>
    <t>948-269907</t>
  </si>
  <si>
    <t>948-197709</t>
  </si>
  <si>
    <t>DE SANTIAGO DORADO</t>
  </si>
  <si>
    <t>ASI KEM, S.L.</t>
  </si>
  <si>
    <t>asikem@telefonica.net</t>
  </si>
  <si>
    <t>629-174906</t>
  </si>
  <si>
    <t>www.asikem.com</t>
  </si>
  <si>
    <t>C/ CORREDERA BAJA DE SAN PABLO, 22</t>
  </si>
  <si>
    <t>28004.0</t>
  </si>
  <si>
    <t>JUAN CARLOS</t>
  </si>
  <si>
    <t>DEL VAL ESPINOSA</t>
  </si>
  <si>
    <t>BOLA 9</t>
  </si>
  <si>
    <t>contratacion@bolanueve.com cristobal@bolanueve.com</t>
  </si>
  <si>
    <t>www.bolanueve.com</t>
  </si>
  <si>
    <t>C/ MOGAMBO Nº10 LOCAL 8</t>
  </si>
  <si>
    <t>MANAGEMENT/PRODUCTOR/AGENCIA DE ESPECTÁCULOS/SERVICIOS AUXILIARES</t>
  </si>
  <si>
    <t>28018.0</t>
  </si>
  <si>
    <t>91-4771081</t>
  </si>
  <si>
    <t>ALAIN XABIER</t>
  </si>
  <si>
    <t>DÍAZ POZAS</t>
  </si>
  <si>
    <t>ESPECTÁCULOS TIC TAK S.L.</t>
  </si>
  <si>
    <t>tictak@espectaculostictak.com</t>
  </si>
  <si>
    <t>948-343353 661-682643</t>
  </si>
  <si>
    <t>www.espectaculostictak.com</t>
  </si>
  <si>
    <t>ORCOYEN</t>
  </si>
  <si>
    <t>POLÍGONO MENDIKUR NAVE 29</t>
  </si>
  <si>
    <t>31160.0</t>
  </si>
  <si>
    <t>MUNDY</t>
  </si>
  <si>
    <t>DOMINGO EPIFANIO</t>
  </si>
  <si>
    <t>TRIBAL PRODUCCIONES INTERNACIONALES S.L.</t>
  </si>
  <si>
    <t>mundye@yahoo.com</t>
  </si>
  <si>
    <t>620-105948</t>
  </si>
  <si>
    <t>C/ MALDONADAS Nº5, PLANTA 1 PTA IZQ.</t>
  </si>
  <si>
    <t>DOMÍNGUEZ AGUADO</t>
  </si>
  <si>
    <t>EDICIONES SENADOR, S.L.</t>
  </si>
  <si>
    <t>senador@senadormusica.com contratacion@senadormusica.com</t>
  </si>
  <si>
    <t>954-386381</t>
  </si>
  <si>
    <t>www.senadormusica.com</t>
  </si>
  <si>
    <t>C/ PESCADORES Nº8</t>
  </si>
  <si>
    <t>DOMÍNGUEZ MARTÍN</t>
  </si>
  <si>
    <t>LA FACTORÍA DEL SHOW</t>
  </si>
  <si>
    <t>alberto@lafactoriadelshow.com</t>
  </si>
  <si>
    <t>983-440072 620-036091</t>
  </si>
  <si>
    <t>www.lafactoriadelshow.com</t>
  </si>
  <si>
    <t>PLAZA DE ESPAÑA, 6-1º OFICINAS 13-14</t>
  </si>
  <si>
    <t>ÉCIJA SÁNCHEZ</t>
  </si>
  <si>
    <t>TEMPLO PRODUCCIONES</t>
  </si>
  <si>
    <t>produciones@espectaculostemplo.es joseluis@espectaculostemplo.es</t>
  </si>
  <si>
    <t>91-8837610 636-905345 605-852619</t>
  </si>
  <si>
    <t>www.espectaculostemplo.es</t>
  </si>
  <si>
    <t>VILLALBILLA</t>
  </si>
  <si>
    <t>C/ GIGANTES Nº14</t>
  </si>
  <si>
    <t>28810.0</t>
  </si>
  <si>
    <t>PASCUAL</t>
  </si>
  <si>
    <t>EGEA CARRILERO</t>
  </si>
  <si>
    <t>WK ENTERTAINMENT LLC</t>
  </si>
  <si>
    <t>pascual@walterkolm.com</t>
  </si>
  <si>
    <t>91- 3898729 606-060324</t>
  </si>
  <si>
    <t>www.fixmusic.es</t>
  </si>
  <si>
    <t>PASEO DE LA CASTELLANA Nº182, PLANTA 9ª D13</t>
  </si>
  <si>
    <t>28046.0</t>
  </si>
  <si>
    <t>ESCOBOSA PÉREZ</t>
  </si>
  <si>
    <t>TREINTA Y TRES PRODUCCIONES Y MANAGEMENT S.L.</t>
  </si>
  <si>
    <t>contratacion@33producciones.es</t>
  </si>
  <si>
    <t>91-5001883</t>
  </si>
  <si>
    <t>www.33producciones.es</t>
  </si>
  <si>
    <t>AVDA. ALBUFERA Nº 321, PISO 2, OFICINA 7</t>
  </si>
  <si>
    <t>28031.0</t>
  </si>
  <si>
    <t>FEDERICO</t>
  </si>
  <si>
    <t>ESCRIBANO IZQUIERDO</t>
  </si>
  <si>
    <t>EQUIPO E AL CUADRADO, S.L.</t>
  </si>
  <si>
    <t>info@equipoe2.com</t>
  </si>
  <si>
    <t>637-488566</t>
  </si>
  <si>
    <t>www.equipoe.2.com</t>
  </si>
  <si>
    <t>C/ VENERAS Nº7, PLANTS 3, PTA DCH</t>
  </si>
  <si>
    <t>ESPINOSA PÉREZ</t>
  </si>
  <si>
    <t>RIFF PRODUCCIONES S.L.</t>
  </si>
  <si>
    <t>carlos@riffmusic.es</t>
  </si>
  <si>
    <t>www.riffmusic.es</t>
  </si>
  <si>
    <t>CÓRDOBA</t>
  </si>
  <si>
    <t>AVENIDA GRAN CAPITÁN Nº23, 3-5</t>
  </si>
  <si>
    <t>14008.0</t>
  </si>
  <si>
    <t>JAVIER</t>
  </si>
  <si>
    <t>ESTEBAN ROMO</t>
  </si>
  <si>
    <t>GREEN COW MUSIC, S.L.</t>
  </si>
  <si>
    <t>info@greencowmusic.com</t>
  </si>
  <si>
    <t>601-518101</t>
  </si>
  <si>
    <t>www.greencowmusic.es</t>
  </si>
  <si>
    <t>C/ IMAGEN, Nº 8 5º C</t>
  </si>
  <si>
    <t>41003.0</t>
  </si>
  <si>
    <t>JAUME</t>
  </si>
  <si>
    <t>ESTRUCH NAVARRO</t>
  </si>
  <si>
    <t>BARCELONA ANIMACIÓ</t>
  </si>
  <si>
    <t>info@bcnanimacio.es</t>
  </si>
  <si>
    <t>629-305509</t>
  </si>
  <si>
    <t>www.bcnanimacio.com</t>
  </si>
  <si>
    <t>TERRASSA</t>
  </si>
  <si>
    <t>PASSEIG JOAN MIRÓ Nº10, LOCAL 6</t>
  </si>
  <si>
    <t>8222.0</t>
  </si>
  <si>
    <t>RODRIGO FELIPE</t>
  </si>
  <si>
    <t>EXPOSITO AGUIRRE</t>
  </si>
  <si>
    <t>FECO PRODUCCIONES ARTÍSTICAS S.L.</t>
  </si>
  <si>
    <t>info@fecoproducciones.com produccion@fecoproducciones.com</t>
  </si>
  <si>
    <t>953-690582 953-607048</t>
  </si>
  <si>
    <t>www.fecoproducciones.com</t>
  </si>
  <si>
    <t>LINARES</t>
  </si>
  <si>
    <t>JAÉN</t>
  </si>
  <si>
    <t>AVDA. SAN CRISTOBAL, 2 BAJO</t>
  </si>
  <si>
    <t>23700.0</t>
  </si>
  <si>
    <t>953-698804</t>
  </si>
  <si>
    <t>SERGIO</t>
  </si>
  <si>
    <t>FALCÓN HERNÁNDEZ</t>
  </si>
  <si>
    <t>FUERTEVENTURA PRODUCCIONES Y PROMOCIONES, S.L.</t>
  </si>
  <si>
    <t>sergio.falcon@zkproducciones.com belinda.sanchez@zkproducciones.com</t>
  </si>
  <si>
    <t>637-510052 620-501944</t>
  </si>
  <si>
    <t>www.zkproducciones.com</t>
  </si>
  <si>
    <t>PUERTO DEL ROSARIO</t>
  </si>
  <si>
    <t>LAS PALMAS</t>
  </si>
  <si>
    <t>ISLAS CANARIAS</t>
  </si>
  <si>
    <t>C/ LOS CARPINTEROS DE RIBERA Nº 29</t>
  </si>
  <si>
    <t>PROMOTOR/PRODUCCIÓN/AGENCIA DE ESPECTÁCULOS</t>
  </si>
  <si>
    <t>35600.0</t>
  </si>
  <si>
    <t>IGNACIO</t>
  </si>
  <si>
    <t>FAULÍN HIDALGO</t>
  </si>
  <si>
    <t>IGNACIO FAULÍN, S.L.</t>
  </si>
  <si>
    <t>ignaciofaulin@hotmail.es iberpop@hotmail.com</t>
  </si>
  <si>
    <t>941-223158 677-563858 687-432311</t>
  </si>
  <si>
    <t>www.iberpop.com</t>
  </si>
  <si>
    <t>C/ MIGUEL VILLANUEVA Nº6, 1º, 1ª</t>
  </si>
  <si>
    <t>26001.0</t>
  </si>
  <si>
    <t>941-235309</t>
  </si>
  <si>
    <t>FELICES SÁNCHEZ</t>
  </si>
  <si>
    <t>DIVERTIA SMILE COMPANY</t>
  </si>
  <si>
    <t>guillermo.felices@divertia.es</t>
  </si>
  <si>
    <t>91-3430320</t>
  </si>
  <si>
    <t>www.divertia.es</t>
  </si>
  <si>
    <t>C/ RAFAEL SALGADO Nº11, 1º DERECHA</t>
  </si>
  <si>
    <t>28036.0</t>
  </si>
  <si>
    <t>91-3456162</t>
  </si>
  <si>
    <t>ESTHER</t>
  </si>
  <si>
    <t>FERNÁNDEZ DÍAZ</t>
  </si>
  <si>
    <t>PLANET EVENTS, S.A.</t>
  </si>
  <si>
    <t>91-7810818  91-7817983 669-364601</t>
  </si>
  <si>
    <t>www.planetevents.es</t>
  </si>
  <si>
    <t>C/ GRAN VIA, 32 BIS 3ª PLANTA</t>
  </si>
  <si>
    <t>91-7817975</t>
  </si>
  <si>
    <t>FERNÁNDEZ ESPERÓN</t>
  </si>
  <si>
    <t>50PORCIENTOCONTRATACIONES S.L</t>
  </si>
  <si>
    <t>cincuentaporciento@gmail.com / oficina@produccionesinternacionales.com</t>
  </si>
  <si>
    <t>958-196277 / 664-334233 / 601635314</t>
  </si>
  <si>
    <t>MOTRIL</t>
  </si>
  <si>
    <t>C/ MARJALILLO Nº3,  BAJO</t>
  </si>
  <si>
    <t>AGENCIA DE ESPECTÁCULO</t>
  </si>
  <si>
    <t>18600.0</t>
  </si>
  <si>
    <t>VICTOR</t>
  </si>
  <si>
    <t>FERNÁNDEZ FERNÁNDEZ</t>
  </si>
  <si>
    <t>PRODUCCIONES ARTÍSTICAS FERNÁNDEZ SERRANO S.L.</t>
  </si>
  <si>
    <t>espectaculos@fernandezserrano.com</t>
  </si>
  <si>
    <t>925-180195 629-438707</t>
  </si>
  <si>
    <t>www.ohpera.es</t>
  </si>
  <si>
    <t>QUINTANAR DE LA ORDEN</t>
  </si>
  <si>
    <t>C/ CRISTO, 26</t>
  </si>
  <si>
    <t>45800.0</t>
  </si>
  <si>
    <t>925-180412</t>
  </si>
  <si>
    <t>TATIANA</t>
  </si>
  <si>
    <t>HELIO ESPECTÁCULOS</t>
  </si>
  <si>
    <t>heliodeleon@helioespectaculos.com 622030400@helioespectaculos.com</t>
  </si>
  <si>
    <t>987-846682 622-030400</t>
  </si>
  <si>
    <t>www.helioespectaculos.com</t>
  </si>
  <si>
    <t>VILLABALTER</t>
  </si>
  <si>
    <t>LEÓN</t>
  </si>
  <si>
    <t>C/ LA FUENTE, 84</t>
  </si>
  <si>
    <t>24010.0</t>
  </si>
  <si>
    <t>987-846182</t>
  </si>
  <si>
    <t>IRENE</t>
  </si>
  <si>
    <t>McB EVENTS</t>
  </si>
  <si>
    <t>management@mcbevents.com</t>
  </si>
  <si>
    <t>609-005600</t>
  </si>
  <si>
    <t>C/ ALCÁNTARA Nº5, 1ª D</t>
  </si>
  <si>
    <t>MANAGEMENT/PROMOTOR/SERVICIOS AUXILIARES</t>
  </si>
  <si>
    <t>28006.0</t>
  </si>
  <si>
    <t>FERNÁNDEZ RAMOS</t>
  </si>
  <si>
    <t>SIRA MÚSICA</t>
  </si>
  <si>
    <t>javier@siramusica.com</t>
  </si>
  <si>
    <t>654-707845</t>
  </si>
  <si>
    <t>www.siramusica.com</t>
  </si>
  <si>
    <t>C/ TOLEDO Nº87, 1 B</t>
  </si>
  <si>
    <t>FERNÁNDEZ SANZ</t>
  </si>
  <si>
    <t>SONIDO MUCHACHO S.L.</t>
  </si>
  <si>
    <t>luis@sonidomuchacho.com</t>
  </si>
  <si>
    <t>616-035639</t>
  </si>
  <si>
    <t>www.sonidomuchacho.com</t>
  </si>
  <si>
    <t>C/ TOMÁS BRETÓN Nº14, LOCAL DCHA</t>
  </si>
  <si>
    <t>AGENCIA DE REPRESENTACIÓN/DISCOGRÁFICA/EDITORIAL</t>
  </si>
  <si>
    <t>28045.0</t>
  </si>
  <si>
    <t>FERRAGUT SALVÁ</t>
  </si>
  <si>
    <t>AUDITORIUM DE PALMA DE MALLORCA</t>
  </si>
  <si>
    <t>marcos@auditoriumpalma.com info@auditoriumpalma.com</t>
  </si>
  <si>
    <t>971-735328 619-0404755</t>
  </si>
  <si>
    <t>www.auditoriumpalma.com</t>
  </si>
  <si>
    <t>C/ FEDERICO GARCÍA LORCA Nº1</t>
  </si>
  <si>
    <t>7014.0</t>
  </si>
  <si>
    <t>JOSÉ LUIS (PEPE)</t>
  </si>
  <si>
    <t>FERRÁNDEZ PÉREZ</t>
  </si>
  <si>
    <t>SOUL MATTERS</t>
  </si>
  <si>
    <t>booking@soulmatterscompany.com administracion@soulmatterscompany.com</t>
  </si>
  <si>
    <t>617-984269 620-294797</t>
  </si>
  <si>
    <t>www.soulmatterscompany.com</t>
  </si>
  <si>
    <t>GALAPAGAR</t>
  </si>
  <si>
    <t>CALLE SEVERO OCHOA Nº8</t>
  </si>
  <si>
    <t>28260.0</t>
  </si>
  <si>
    <t>IVAN</t>
  </si>
  <si>
    <t>FRAUCA GOST</t>
  </si>
  <si>
    <t>NEVERLAND CONCERTS SL</t>
  </si>
  <si>
    <t>ivan@neverlandconcerts.com</t>
  </si>
  <si>
    <t>646-947681</t>
  </si>
  <si>
    <t>www.neverlandconcerts.com</t>
  </si>
  <si>
    <t>SANT CUGAT DEL VALLÈS</t>
  </si>
  <si>
    <t>CASTELLVÍ 27 B 2-1</t>
  </si>
  <si>
    <t>PROMOTOR/MANAGEMENT</t>
  </si>
  <si>
    <t>8173.0</t>
  </si>
  <si>
    <t>GALÁN PASCUAL</t>
  </si>
  <si>
    <t>SUBTERFUGE RECORDS S.L.</t>
  </si>
  <si>
    <t>info@subterfuge.com</t>
  </si>
  <si>
    <t>91-7000036</t>
  </si>
  <si>
    <t>www.subterfuge.com</t>
  </si>
  <si>
    <t>C/ ALMIRANTE Nº30, 1 DERECHA</t>
  </si>
  <si>
    <t>MANAGEMENT/PROMOTOR/DISCOGRÁFICA</t>
  </si>
  <si>
    <t>GORKA</t>
  </si>
  <si>
    <t>GARCÍA AROCENA</t>
  </si>
  <si>
    <t>gorka.garcia@getin.es</t>
  </si>
  <si>
    <t>91-7454200</t>
  </si>
  <si>
    <t>CUESTA DE SAN VICENTE, 44</t>
  </si>
  <si>
    <t>28008.0</t>
  </si>
  <si>
    <t>GARCÍA DEL AMO</t>
  </si>
  <si>
    <t>SENDA PRODUCCIONES S.L.</t>
  </si>
  <si>
    <t>oficina@sendaproducciones.com</t>
  </si>
  <si>
    <t>629-478102</t>
  </si>
  <si>
    <t>www.sendaproducciones.com</t>
  </si>
  <si>
    <t>ALCALÁ DE HENARES</t>
  </si>
  <si>
    <t>C/ DAMASO ALONSO Nº11, PLANTA 3, PUERTA A</t>
  </si>
  <si>
    <t>AGENCIA DE ESPECTÁCULOS / PROMOTOR</t>
  </si>
  <si>
    <t>28806.0</t>
  </si>
  <si>
    <t>GABRIEL</t>
  </si>
  <si>
    <t>GARCÍA MÁRMOL</t>
  </si>
  <si>
    <t>DOBLE GG MANAGEMENT</t>
  </si>
  <si>
    <t>gabriel@vammrecords.es</t>
  </si>
  <si>
    <t>96-1558731 686-505207</t>
  </si>
  <si>
    <t>TORRENTE</t>
  </si>
  <si>
    <t>C/ UTIEL, 44</t>
  </si>
  <si>
    <t>46900.0</t>
  </si>
  <si>
    <t>ANGELINES</t>
  </si>
  <si>
    <t>GARCÍA RODRÍGUEZ</t>
  </si>
  <si>
    <t>SOL PRODUCCIONES, S.L.</t>
  </si>
  <si>
    <t>info@solproducciones.es</t>
  </si>
  <si>
    <t>91-5615379  91-5615380</t>
  </si>
  <si>
    <t>www.solproducciones.es</t>
  </si>
  <si>
    <t>C/ JUAN BRAVO, 3 A</t>
  </si>
  <si>
    <t>CUATRO GATOS MANAGEMENT S.L.</t>
  </si>
  <si>
    <t>administracion@cuatrogatos.com</t>
  </si>
  <si>
    <t>91-3540442</t>
  </si>
  <si>
    <t>BOADILLA DEL MONTE</t>
  </si>
  <si>
    <t>C/ VALLEFRANCO Nº36 BIS URBANIZACIÓN LAS LOMAS</t>
  </si>
  <si>
    <t>28660.0</t>
  </si>
  <si>
    <t>91-3645095</t>
  </si>
  <si>
    <t>LUIS OSCAR</t>
  </si>
  <si>
    <t>GARCÍA SORIANO</t>
  </si>
  <si>
    <t>PRODUCCIONS METRONOM, S.L.</t>
  </si>
  <si>
    <t>luisoscar@metronom.es</t>
  </si>
  <si>
    <t>964-236571</t>
  </si>
  <si>
    <t>www.metronom.es</t>
  </si>
  <si>
    <t>CASTELLÓ DE LA PLANA</t>
  </si>
  <si>
    <t>AVDA. DR CLARÁ 12</t>
  </si>
  <si>
    <t>MANAGEMENT/PRODUCCIÓN/INFRAESTRUCTURA</t>
  </si>
  <si>
    <t>12002.0</t>
  </si>
  <si>
    <t>KEINA</t>
  </si>
  <si>
    <t>GARCÍA VARELA</t>
  </si>
  <si>
    <t>ARTICA BOOKING AGENCY, S.L.</t>
  </si>
  <si>
    <t>info@articapro.com</t>
  </si>
  <si>
    <t>91-5319130</t>
  </si>
  <si>
    <t>www.articapro.com</t>
  </si>
  <si>
    <t>Mª JOSÉ</t>
  </si>
  <si>
    <t>GARGALLO QUEROL</t>
  </si>
  <si>
    <t>ESPECTÁCULOS F. GARGALLO, S.L.</t>
  </si>
  <si>
    <t>maise@espectaculosgargallo.com</t>
  </si>
  <si>
    <t>96-3736254 606-429406</t>
  </si>
  <si>
    <t>www.espectaculosgargallo.com</t>
  </si>
  <si>
    <t>AVDA. DE LA PLATA, 11 1º 2ª</t>
  </si>
  <si>
    <t>46013.0</t>
  </si>
  <si>
    <t>96-3736254</t>
  </si>
  <si>
    <t>JOSÉ FÉLIX</t>
  </si>
  <si>
    <t>GARIJO ESTEBAN</t>
  </si>
  <si>
    <t>PROGRAMACIONES ARTÍSTICAS GARIJO</t>
  </si>
  <si>
    <t>jofges@yahoo.es</t>
  </si>
  <si>
    <t>608-830887 975-213207</t>
  </si>
  <si>
    <t>SORIA</t>
  </si>
  <si>
    <t>C/ FIEL DE LA TIERRA 55</t>
  </si>
  <si>
    <t>42003.0</t>
  </si>
  <si>
    <t>GÁZQUEZ DEL CASTILLO</t>
  </si>
  <si>
    <t>SENSACIONES, OCIO Y ESPECTACULO, S.L.</t>
  </si>
  <si>
    <t>sensaciones08@telefonica.net</t>
  </si>
  <si>
    <t>953-651403 609-577623</t>
  </si>
  <si>
    <t>C/ FERNANDO EL CATÓLICO Nº28</t>
  </si>
  <si>
    <t>953-698534</t>
  </si>
  <si>
    <t>GIL RODRÍGUEZ</t>
  </si>
  <si>
    <t>GIL BROSS MANAGEMENT / FTI MUSIC</t>
  </si>
  <si>
    <t>ftimusicsl@hotmail.es ftimusic@gbmusic.e.telefonica.net</t>
  </si>
  <si>
    <t>91-2612090 649-824295</t>
  </si>
  <si>
    <t>SAN SEBASTIÁN DE LOS REYES</t>
  </si>
  <si>
    <t>PASEO DE ALBACETE, 11</t>
  </si>
  <si>
    <t>28700.0</t>
  </si>
  <si>
    <t>ABILIO</t>
  </si>
  <si>
    <t>GILAR NAVARRO</t>
  </si>
  <si>
    <t>NINONA PRODUCCIONES &amp; MANAGEMENT S.L.</t>
  </si>
  <si>
    <t>abilio@ninonaproducciones.com</t>
  </si>
  <si>
    <t>608-426899</t>
  </si>
  <si>
    <t>www.ninonaproducciones.com</t>
  </si>
  <si>
    <t>C/ PLATERÍA Nº 44, 1ºB, ENTRESUELO 1ºB</t>
  </si>
  <si>
    <t>30001.0</t>
  </si>
  <si>
    <t>GÓMEZ SANCHO</t>
  </si>
  <si>
    <t>VENTILADOR MUSIC</t>
  </si>
  <si>
    <t>jgomez@ventilador-music.com live@ventilador-music.com</t>
  </si>
  <si>
    <t>93-3327658</t>
  </si>
  <si>
    <t>www.ventilador-music.com</t>
  </si>
  <si>
    <t>C/ GAYARRE Nº 72-74, BAJOS 1ª</t>
  </si>
  <si>
    <t>GÓMEZ-VIZCAINO PAGAN</t>
  </si>
  <si>
    <t>SILBATO PRODUCCIONES S.L.</t>
  </si>
  <si>
    <t>rafa@silbato.net</t>
  </si>
  <si>
    <t>625-661335</t>
  </si>
  <si>
    <t>www.silbato.net</t>
  </si>
  <si>
    <t>C/ GONZALEZ ADALID, 13, 2º IZQ OFIC 12</t>
  </si>
  <si>
    <t>DIEGO</t>
  </si>
  <si>
    <t>GONZÁLEZ BRAVO</t>
  </si>
  <si>
    <t>MÚSICA MAESTRO, S.L. / DGB PRODUCCIONES</t>
  </si>
  <si>
    <t>info@dgbproducciones.com</t>
  </si>
  <si>
    <t>659-838991</t>
  </si>
  <si>
    <t>www.dgbproducciones.com</t>
  </si>
  <si>
    <t>CUEVAS DE ALMANZORA</t>
  </si>
  <si>
    <t>ALMERÍA</t>
  </si>
  <si>
    <t>C/ EL AIRE, 44</t>
  </si>
  <si>
    <t>4610.0</t>
  </si>
  <si>
    <t>IOSU</t>
  </si>
  <si>
    <t>GONZÁLEZ ERRO</t>
  </si>
  <si>
    <t>SERVICIOS DE ESPECTÁCULOS DE NAVARRA S.L. SERESNA</t>
  </si>
  <si>
    <t xml:space="preserve">  seresna@seresna.es</t>
  </si>
  <si>
    <t>948-600756 679-875666</t>
  </si>
  <si>
    <t>IRURTZUN</t>
  </si>
  <si>
    <t>C/ PLAZAOLA, 19, 2º, A</t>
  </si>
  <si>
    <t>31860.0</t>
  </si>
  <si>
    <t>GONZÁLEZ MARTÍNEZ</t>
  </si>
  <si>
    <t>PACME ESPECTÁCULOS</t>
  </si>
  <si>
    <t>admin@pacme.es</t>
  </si>
  <si>
    <t>949-216999 667-780531</t>
  </si>
  <si>
    <t>www.pacme.es</t>
  </si>
  <si>
    <t>GUADALAJARA</t>
  </si>
  <si>
    <t>C/ EXPOSICION, 3ºB IZDA.</t>
  </si>
  <si>
    <t>19001.0</t>
  </si>
  <si>
    <t>949-230770</t>
  </si>
  <si>
    <t>LUIS ALBERTO</t>
  </si>
  <si>
    <t>GONZÁLEZ PÉREZ</t>
  </si>
  <si>
    <t>luis.gonzalez@suenosmusicales.es</t>
  </si>
  <si>
    <t>964-631267 / 645-890065</t>
  </si>
  <si>
    <t>www.suenosmusicales.es</t>
  </si>
  <si>
    <t>CASTELLÓN DE LA PLANA</t>
  </si>
  <si>
    <t>PLAZA DEL MAR MEDITERRÁNEO Nº1, ENTRESUELO Nº8</t>
  </si>
  <si>
    <t>JORGE JAVIER</t>
  </si>
  <si>
    <t>GONZÁLEZ PRADA</t>
  </si>
  <si>
    <t>MUNDO TRIBUTO</t>
  </si>
  <si>
    <t>info@mundotributo.es jorgeprada@mundotributo.es</t>
  </si>
  <si>
    <t>628-122922 618-430233 983-584036</t>
  </si>
  <si>
    <t>www.mundotributo.com</t>
  </si>
  <si>
    <t>FUENSALDAÑA</t>
  </si>
  <si>
    <t>CR VALLADOLID-FUENSALDAÑA 4 B</t>
  </si>
  <si>
    <t>47194.0</t>
  </si>
  <si>
    <t>GONZÁLEZ-QUEVEDO VEGA</t>
  </si>
  <si>
    <t>MONOPROD, S.L.</t>
  </si>
  <si>
    <t>javi@monoprod.es</t>
  </si>
  <si>
    <t>www.monoprod.es</t>
  </si>
  <si>
    <t>C/ TORNEO 23, LOCAL 1-A</t>
  </si>
  <si>
    <t>GRANADO AGUILAR</t>
  </si>
  <si>
    <t>EMEDEMUSICA</t>
  </si>
  <si>
    <t>contratacionemedemusica@gmail.com</t>
  </si>
  <si>
    <t>954-819307 655-891131</t>
  </si>
  <si>
    <t>www.emedemusica.es</t>
  </si>
  <si>
    <t>PEDRERA</t>
  </si>
  <si>
    <t>C/ LAS HUERTAS Nº26</t>
  </si>
  <si>
    <t>OFICINA DE CONTRATACIÓN</t>
  </si>
  <si>
    <t>41566.0</t>
  </si>
  <si>
    <t>GRANDA ORVIZ</t>
  </si>
  <si>
    <t>SANTO GRIAL PRODUCCIONES, S.L</t>
  </si>
  <si>
    <t>enrique.santogrial@gmail.com</t>
  </si>
  <si>
    <t>985-114473</t>
  </si>
  <si>
    <t>www.santogrialproducciones.com</t>
  </si>
  <si>
    <t>OVIEDO</t>
  </si>
  <si>
    <t>C/ PICASSO Nº 4 PLANTA BJ</t>
  </si>
  <si>
    <t>MANAGEMENT/PROMOTOR/PRODUCTOR/FESTIVALES</t>
  </si>
  <si>
    <t>33001.0</t>
  </si>
  <si>
    <t>ALEX</t>
  </si>
  <si>
    <t>GRANERI ENRICH</t>
  </si>
  <si>
    <t>EN GIRA / INVERFEST</t>
  </si>
  <si>
    <t>artistas@engira.net</t>
  </si>
  <si>
    <t>91-5735803</t>
  </si>
  <si>
    <t>www.engira.net www.inverfest.com www.supersonica.live</t>
  </si>
  <si>
    <t>C/ JILOCA Nº3, BAJO</t>
  </si>
  <si>
    <t>MANAGEMENT/PROMOTOR/AGENCIA DE ESPECTÁCULOS</t>
  </si>
  <si>
    <t>EDUARDO</t>
  </si>
  <si>
    <t>GUERVOS LÓPEZ</t>
  </si>
  <si>
    <t>PANELES PORTADORES PUBLICITARIOS, S.L.</t>
  </si>
  <si>
    <t>eduardo@guergonespectaculos.com</t>
  </si>
  <si>
    <t>91-5484911</t>
  </si>
  <si>
    <t>PLAZA DE LOS MOSTENSES, 1  4º-1</t>
  </si>
  <si>
    <t>JULIO</t>
  </si>
  <si>
    <t>GUIU MARQUINA</t>
  </si>
  <si>
    <t>CLIPPER´S LIVE</t>
  </si>
  <si>
    <t>www.clippersmusic.org</t>
  </si>
  <si>
    <t>C/ AULÉSTIA I PIJOAN Nº 21, LOCAL</t>
  </si>
  <si>
    <t>MANAGEMENT / PROMOTOR /DIRECTOR FESTIVALES</t>
  </si>
  <si>
    <t>8012.0</t>
  </si>
  <si>
    <t>MARÍA ÁNGELES</t>
  </si>
  <si>
    <t>GUTIÉRREZ ALBILLA</t>
  </si>
  <si>
    <t>MARIAN GUTIÉRREZ ALBILLA</t>
  </si>
  <si>
    <t>marian.management@gmail.com</t>
  </si>
  <si>
    <t>639-483604</t>
  </si>
  <si>
    <t>C/ CALERUEGA, 88, PORTAL B, 2ºA</t>
  </si>
  <si>
    <t>28033.0</t>
  </si>
  <si>
    <t>JOSÉ Mª</t>
  </si>
  <si>
    <t>GUTIÉRREZ BARRERO</t>
  </si>
  <si>
    <t>PRODUCCIONES ARTÍSTICAS ORANGE, S.L.</t>
  </si>
  <si>
    <t>josemaria@espectaculosorange.com</t>
  </si>
  <si>
    <t>www.espectaculosorange.es</t>
  </si>
  <si>
    <t>C/ LÉRIDA Nº30, ESCALERA B, PISO 1</t>
  </si>
  <si>
    <t>AGENCIA DE ESPECTÁCULOS/INFRAESTRUCTURAS/PROMOTOR/DIRECTOR FESTIVAL</t>
  </si>
  <si>
    <t>46009.0</t>
  </si>
  <si>
    <t>THE MUSIC REPUBLIC S.L.</t>
  </si>
  <si>
    <t>info@themusicrepublic.es</t>
  </si>
  <si>
    <t>www.themusicrepublic.es</t>
  </si>
  <si>
    <t>C/ DE LA JUSTICIA Nº4, 2ª PLANTA</t>
  </si>
  <si>
    <t>MANAGEMENT/PROMOTOR/DIRECTOR FESTIVAL</t>
  </si>
  <si>
    <t>46004.0</t>
  </si>
  <si>
    <t>GUTIÉRREZ FERNÁNDEZ</t>
  </si>
  <si>
    <t>GUTI PRODUCCIONES, S.L.</t>
  </si>
  <si>
    <t>guti@gutiproducciones.com</t>
  </si>
  <si>
    <t>91-6761123 667-611039</t>
  </si>
  <si>
    <t>www.gutiproducciones.com</t>
  </si>
  <si>
    <t>C/ POLO NORTE, 15</t>
  </si>
  <si>
    <t>GUTIÉRREZ LÓPEZ</t>
  </si>
  <si>
    <t>MG PRODUCCIONES</t>
  </si>
  <si>
    <t>manuel@mgproducciones.com</t>
  </si>
  <si>
    <t>606958523</t>
  </si>
  <si>
    <t>www.mgproducciones.com</t>
  </si>
  <si>
    <t>C/ VIOLETA Nº7, A2</t>
  </si>
  <si>
    <t>39010.0</t>
  </si>
  <si>
    <t>942-337 707</t>
  </si>
  <si>
    <t>JESÚS</t>
  </si>
  <si>
    <t>HEREDIA CARMONA</t>
  </si>
  <si>
    <t>PRODUCCIONES ARTÍSTICAS HEREDIA, S.L.</t>
  </si>
  <si>
    <t>heredia@herediaproducciones.com</t>
  </si>
  <si>
    <t>www.herediaproducciones.com</t>
  </si>
  <si>
    <t>TOMELLOSO</t>
  </si>
  <si>
    <t>C/ SOCUELLAMOS, 3 2º B</t>
  </si>
  <si>
    <t>MANAGEMENT/PROMOTOR/PRODUCTOR/AGENCIA DE ESPECTÁCULOS/SERVICIOS AUXILIARES</t>
  </si>
  <si>
    <t>13700.0</t>
  </si>
  <si>
    <t>91-5002300</t>
  </si>
  <si>
    <t>VILLAVICIOSA DE ODÓN</t>
  </si>
  <si>
    <t>PARQUE EMPRESARIAL VILLAPARK AVDA. QUITAPESARES Nº56</t>
  </si>
  <si>
    <t>28670.0</t>
  </si>
  <si>
    <t>91-5002011</t>
  </si>
  <si>
    <t>VICENTE (TITEJO)</t>
  </si>
  <si>
    <t>HEREDIA FERNÁNDEZ</t>
  </si>
  <si>
    <t>tito@herediaproducciones.com heredia@herediaproducciones.com</t>
  </si>
  <si>
    <t>IGUALADA LEÓN</t>
  </si>
  <si>
    <t>AQO PRODUCCIONES</t>
  </si>
  <si>
    <t>info@aqoproducciones.com administracion@aqoproducciones.com</t>
  </si>
  <si>
    <t>617-398740 624-566408</t>
  </si>
  <si>
    <t>www.aqoproducciones.com</t>
  </si>
  <si>
    <t>ALBACETE</t>
  </si>
  <si>
    <t>C/ PASEO DE LA INNOVACIÓN Nº 1</t>
  </si>
  <si>
    <t>PRODUCTOR</t>
  </si>
  <si>
    <t>2006.0</t>
  </si>
  <si>
    <t>ILLANA LÓPEZ</t>
  </si>
  <si>
    <t>GRUPO FRIENDS</t>
  </si>
  <si>
    <t>francisco@grupofriends.com</t>
  </si>
  <si>
    <t>91-6980834 607-802461</t>
  </si>
  <si>
    <t>www.grupofriends.com</t>
  </si>
  <si>
    <t>GRIÑÓN</t>
  </si>
  <si>
    <t>CRTA M-404 KM 21,400</t>
  </si>
  <si>
    <t>PROMOTOR/PRODUCTOR/SERVICIOS AUXILIARES</t>
  </si>
  <si>
    <t>28971.0</t>
  </si>
  <si>
    <t>IRAVEDRA DÍAZ</t>
  </si>
  <si>
    <t>DISPARATE ENTERTAIMENT</t>
  </si>
  <si>
    <t>joseluis@disparate.pro</t>
  </si>
  <si>
    <t>653-749429</t>
  </si>
  <si>
    <t>www.disparate.pro</t>
  </si>
  <si>
    <t>C/ GOYA Nº55, PLANTA 5 PTA. IZQ.</t>
  </si>
  <si>
    <t>28001.0</t>
  </si>
  <si>
    <t>MIKI</t>
  </si>
  <si>
    <t>JAUME COLL</t>
  </si>
  <si>
    <t>GRUP TRUI</t>
  </si>
  <si>
    <t>971-605506 615-358802</t>
  </si>
  <si>
    <t>www.trui.es</t>
  </si>
  <si>
    <t>MARRATXI</t>
  </si>
  <si>
    <t>C/ LICORERS, 13</t>
  </si>
  <si>
    <t>7141.0</t>
  </si>
  <si>
    <t>971-605223</t>
  </si>
  <si>
    <t>JOSÉ JAVIER</t>
  </si>
  <si>
    <t>LACUNZA ARRAIZA</t>
  </si>
  <si>
    <t>PROVENUE GESTIÓN DE INSTALACIONES Y EVENTOS S.L.</t>
  </si>
  <si>
    <t>javierlacunza@provenue.es</t>
  </si>
  <si>
    <t>636-968906</t>
  </si>
  <si>
    <t>www.provenue.es</t>
  </si>
  <si>
    <t>AVDA. FELIPE II, S/N</t>
  </si>
  <si>
    <t>INFRAESTRUCTURA</t>
  </si>
  <si>
    <t>ROSA</t>
  </si>
  <si>
    <t>LAGARRIGUE ECHENIQUE</t>
  </si>
  <si>
    <t>GLOBAL TALENT SERVICES MUSIC ENTERTAINMENT SPAIN, S.L.U.</t>
  </si>
  <si>
    <t>Rosa.lagarrigue@gtstalent.com</t>
  </si>
  <si>
    <t>MARÍA CRUZ</t>
  </si>
  <si>
    <t>LAGUNA SANTOS</t>
  </si>
  <si>
    <t>GLOBAL TALENT SERVICES, S.L.U.</t>
  </si>
  <si>
    <t>Maricruz.laguna@gtstalent.com</t>
  </si>
  <si>
    <t>91-7445500</t>
  </si>
  <si>
    <t>C/ TORRELAGUNA Nº64, 3ª PLANTA</t>
  </si>
  <si>
    <t>ANDRÉS</t>
  </si>
  <si>
    <t>LAMOSA BARROS</t>
  </si>
  <si>
    <t>PLAYPLAN CULTURAL</t>
  </si>
  <si>
    <t>andres@playplan.es</t>
  </si>
  <si>
    <t>986-903509</t>
  </si>
  <si>
    <t>www.playplan.es</t>
  </si>
  <si>
    <t>BUEU</t>
  </si>
  <si>
    <t>PONTEVEDRA</t>
  </si>
  <si>
    <t>C/ DO SANTÁN Nº3 BAJO B</t>
  </si>
  <si>
    <t>36930.0</t>
  </si>
  <si>
    <t>LAPUENTE ORTIZ</t>
  </si>
  <si>
    <t>BIG STAR MUSIC, S.L</t>
  </si>
  <si>
    <t xml:space="preserve"> jose@bigstarmusic.es admin@bigstarmusic.es</t>
  </si>
  <si>
    <t>876-664978</t>
  </si>
  <si>
    <t>www.bigstarmusic.es</t>
  </si>
  <si>
    <t>PZA. MARIANO DE CAVIA Nº 2</t>
  </si>
  <si>
    <t>LIÑÁN GUTIÉRREZ</t>
  </si>
  <si>
    <t>EL VOLCÁN PRODUCCIONES MUSICALES S.L</t>
  </si>
  <si>
    <t>javier.linan@elvolcanmusica.com contratacion@elvolcanmusica.com</t>
  </si>
  <si>
    <t>91-5217671</t>
  </si>
  <si>
    <t>www.elvolcanmusica.com</t>
  </si>
  <si>
    <t>C/ CASTELLÓ Nº 32, 3º IZDA</t>
  </si>
  <si>
    <t>ALICIA</t>
  </si>
  <si>
    <t>LLEDÓ LÓPEZ</t>
  </si>
  <si>
    <t>KAMALA PRODUCCIONES</t>
  </si>
  <si>
    <t>alledo@kamalaproducciones.com</t>
  </si>
  <si>
    <t>659-169984</t>
  </si>
  <si>
    <t>www.kamalaproducciones.com</t>
  </si>
  <si>
    <t>C/ URUGUAY Nº18</t>
  </si>
  <si>
    <t>MANAGEMENT/AGENCIA ESPECTÁCULOS</t>
  </si>
  <si>
    <t>LOBATÓN MARTÍNEZ</t>
  </si>
  <si>
    <t>LA PIRÁMIDE ESPECTÁCULOS, S.L.</t>
  </si>
  <si>
    <t>info@lapiramide.es</t>
  </si>
  <si>
    <t>949-265923  666-435363</t>
  </si>
  <si>
    <t>www.lapiramide.es</t>
  </si>
  <si>
    <t>AZUQUECA DE HENARES</t>
  </si>
  <si>
    <t>POLIG. IND. AIDA I, AVDA DE MILAN, Nº16 NAVE C-5</t>
  </si>
  <si>
    <t>19200.0</t>
  </si>
  <si>
    <t>NESTOR EDUARDO</t>
  </si>
  <si>
    <t>LOMBARDI</t>
  </si>
  <si>
    <t>RASTALÓN PRODUCCIONES S.L.</t>
  </si>
  <si>
    <t>lombardi@ismaelserrano.com</t>
  </si>
  <si>
    <t>630-739846</t>
  </si>
  <si>
    <t>www.unagiramas.com</t>
  </si>
  <si>
    <t>C/ ALMENDRO Nº21, PISO 1</t>
  </si>
  <si>
    <t>ISIDORO</t>
  </si>
  <si>
    <t>LÓPEZ FERNÁNDEZ</t>
  </si>
  <si>
    <t>PRONES 1, S.L.</t>
  </si>
  <si>
    <t>prones@prones.com</t>
  </si>
  <si>
    <t>942-701165 610-217153</t>
  </si>
  <si>
    <t>www.prones.com</t>
  </si>
  <si>
    <t>CABEZÓN DE LA SAL</t>
  </si>
  <si>
    <t>URB. EL PARQUE, 6 BAJO</t>
  </si>
  <si>
    <t>39500.0</t>
  </si>
  <si>
    <t>942-700802</t>
  </si>
  <si>
    <t>CARLOS JAVIER</t>
  </si>
  <si>
    <t>LÓPEZ FIDES</t>
  </si>
  <si>
    <t>SUMMUM MUSIC</t>
  </si>
  <si>
    <t>carlos@summummusic.com</t>
  </si>
  <si>
    <t>www.summummusic.com</t>
  </si>
  <si>
    <t>GUADARRAMA</t>
  </si>
  <si>
    <t>C/ CALLEJA DEL POTRO, Nº5, PORTAL 3, PISO 1ºA</t>
  </si>
  <si>
    <t>28440.0</t>
  </si>
  <si>
    <t>LÓPEZ MARTÍN</t>
  </si>
  <si>
    <t>ATTRACTION MANAGEMENT, S.L.</t>
  </si>
  <si>
    <t>attraction@attraction-management.com</t>
  </si>
  <si>
    <t>91-8430298</t>
  </si>
  <si>
    <t>www.attraction-management.com</t>
  </si>
  <si>
    <t>TORRELAGUNA</t>
  </si>
  <si>
    <t>C/ SANTA BARBARA, 1 BAJO-local</t>
  </si>
  <si>
    <t>28180.0</t>
  </si>
  <si>
    <t>91-8430743</t>
  </si>
  <si>
    <t>ALFONSO</t>
  </si>
  <si>
    <t>LÓPEZ MÉNDEZ</t>
  </si>
  <si>
    <t>SIDERAL MUSIC S.L,.</t>
  </si>
  <si>
    <t>alfonso@sideralmusic.com</t>
  </si>
  <si>
    <t>678-611441</t>
  </si>
  <si>
    <t>www.sideralmusic.com</t>
  </si>
  <si>
    <t>C/ MIGUEL FLUITERS Nº4, PLANTA 1</t>
  </si>
  <si>
    <t>JORGE</t>
  </si>
  <si>
    <t>LOZANO DUEÑAS</t>
  </si>
  <si>
    <t>DOBLEA SERVICIOS ARTÍSTICOS, S.L.U.</t>
  </si>
  <si>
    <t>doblea@espectaculosdoblea.es</t>
  </si>
  <si>
    <t>957-130444 687-805320</t>
  </si>
  <si>
    <t>POZOBLANCO</t>
  </si>
  <si>
    <t>C/ ANA MARIA MATUTE, 8 2º</t>
  </si>
  <si>
    <t>AGENCIA DE ESPECTÁCULOS/MANAGEMENT/PROMOTOR/PRODUCTOR/DIRECTOR FESTIVALES/SERVICIOS AUXILIARES</t>
  </si>
  <si>
    <t>14400.0</t>
  </si>
  <si>
    <t>957-130818</t>
  </si>
  <si>
    <t>JUAN ANTONIO</t>
  </si>
  <si>
    <t>LOZANO HUESCA</t>
  </si>
  <si>
    <t>HORIZONTE MUSICAL, S.L.</t>
  </si>
  <si>
    <t>contrata@horizonte-musical.com</t>
  </si>
  <si>
    <t>965-251755</t>
  </si>
  <si>
    <t>www.horizonte-musical.com</t>
  </si>
  <si>
    <t>C/ CAPITAN AMADOR, 9 1ºIZDA.</t>
  </si>
  <si>
    <t>3004.0</t>
  </si>
  <si>
    <t>965-251711</t>
  </si>
  <si>
    <t>RAÚL</t>
  </si>
  <si>
    <t>MADROÑAL MARINA</t>
  </si>
  <si>
    <t>M2 MUSIC GROUP PROMOCIONES DISCOGRÁFICAS Y GESTIÓN, S.L.</t>
  </si>
  <si>
    <t>raul@m2musicgroup.com</t>
  </si>
  <si>
    <t>685-239665</t>
  </si>
  <si>
    <t>www.m2musicgroup.es</t>
  </si>
  <si>
    <t>C/ BELFAST Nº13 BLOQUE 1, PISO 5, PUERTA E</t>
  </si>
  <si>
    <t>28022.0</t>
  </si>
  <si>
    <t>MAÑAS DEL FRESNO</t>
  </si>
  <si>
    <t>EL DANUBIO AZUL</t>
  </si>
  <si>
    <t>producciones@eldanubioazul.es</t>
  </si>
  <si>
    <t>926-325310 629-438544</t>
  </si>
  <si>
    <t>www.eldanubioazul.es www.lafincaeventos.es</t>
  </si>
  <si>
    <t>C/ BUENSUCESO, 46 1ºD</t>
  </si>
  <si>
    <t>926-313255</t>
  </si>
  <si>
    <t>VICENTE</t>
  </si>
  <si>
    <t>MAÑO GUILLEN</t>
  </si>
  <si>
    <t>TRATOS PRODUCCIONES, S.L.</t>
  </si>
  <si>
    <t>tratos@tratos.com</t>
  </si>
  <si>
    <t>96-3393650</t>
  </si>
  <si>
    <t>www.tratos.com</t>
  </si>
  <si>
    <t>C/ GUARDIA CIVIL, 22 ESC. 3, 1º 1ª</t>
  </si>
  <si>
    <t>46020.0</t>
  </si>
  <si>
    <t>96-3933760</t>
  </si>
  <si>
    <t>JONATHAN</t>
  </si>
  <si>
    <t>MARCHENA PÉREZ</t>
  </si>
  <si>
    <t>ETERNIDAD EVENTOS</t>
  </si>
  <si>
    <t>jmarchena@eternidadeventos.com info@eternidadeventos.com</t>
  </si>
  <si>
    <t>658-907178</t>
  </si>
  <si>
    <t>www.eternidadeventos.com</t>
  </si>
  <si>
    <t>LÍNEA DE LA CONCEPCIÓN</t>
  </si>
  <si>
    <t>C/ TER Nº47</t>
  </si>
  <si>
    <t>PROMOTOR7PRODUCTOR</t>
  </si>
  <si>
    <t>11300.0</t>
  </si>
  <si>
    <t>MARCOS ANDRÉS</t>
  </si>
  <si>
    <t>ARTISTI-K PRODUCCIONES MUSICALES Y CULTURALES S.L.U.</t>
  </si>
  <si>
    <t>646-478009</t>
  </si>
  <si>
    <t>www.artistikproducciones.com</t>
  </si>
  <si>
    <t>C/ ALFONSO IX Nº9,4º A</t>
  </si>
  <si>
    <t>24009.0</t>
  </si>
  <si>
    <t>987-262331</t>
  </si>
  <si>
    <t>MARCOS PARRA</t>
  </si>
  <si>
    <t>HIT21 PRODUCCIONES Y MANAGEMENT</t>
  </si>
  <si>
    <t>contratacion@hit21producciones.com</t>
  </si>
  <si>
    <t>659-926247 / 616-693608</t>
  </si>
  <si>
    <t>www.hit21producciones.net</t>
  </si>
  <si>
    <t>C/ HERMANO JUAN FERNÁNDEZ Nº1, 1ºF</t>
  </si>
  <si>
    <t>14007.0</t>
  </si>
  <si>
    <t>MARIÑO MONTERO</t>
  </si>
  <si>
    <t>SPANISH BOMBS MANAGEMENT</t>
  </si>
  <si>
    <t>carlos.marino@spanishbombs.com</t>
  </si>
  <si>
    <t>91-4295679</t>
  </si>
  <si>
    <t>www.spanishbombs.com</t>
  </si>
  <si>
    <t>C/ COSTANILLA DE LOS ÁNGELES, 12 ESC. 1 1ºA</t>
  </si>
  <si>
    <t>MANAGEMENT/ORGANIZADOR DE FESTIVAL</t>
  </si>
  <si>
    <t>91-5594178</t>
  </si>
  <si>
    <t>MARTÍ CORRAL</t>
  </si>
  <si>
    <t>FUNDACIÓN EXCELENTIA</t>
  </si>
  <si>
    <t>info@fundacionexcelentia.org javier@fundacionexcelentia.org</t>
  </si>
  <si>
    <t>91-4583089</t>
  </si>
  <si>
    <t>www.fundacionexcelentia.org</t>
  </si>
  <si>
    <t>C/ POTOSÍ, Nº 10 BAJO A</t>
  </si>
  <si>
    <t>MARTÍ MOSCARDO</t>
  </si>
  <si>
    <t>SERIOUSFANMUSIC</t>
  </si>
  <si>
    <t>elvira@sfmusic.es laura@sfmusic.es</t>
  </si>
  <si>
    <t>963-287708</t>
  </si>
  <si>
    <t>www.sfmusic.es</t>
  </si>
  <si>
    <t>AVDA DEL REINO DE VALENCIA Nº15,PTA 11</t>
  </si>
  <si>
    <t>PROMOTOR/DIRECTOR FESTIVALES/AGENCIA DE ESPECTÁCULOS</t>
  </si>
  <si>
    <t>MARTIN ROBBA</t>
  </si>
  <si>
    <t>DEVECEM SL</t>
  </si>
  <si>
    <t>emartin@devecem.com</t>
  </si>
  <si>
    <t>685-413711</t>
  </si>
  <si>
    <t>C/ MAYOR NUM. 82, Planta EN PTA. 34</t>
  </si>
  <si>
    <t>PRODUCCIÓN /ESTRUCTURAS</t>
  </si>
  <si>
    <t>12001.0</t>
  </si>
  <si>
    <t>BAUTISTA</t>
  </si>
  <si>
    <t>MARTÍNEZ BUCETA</t>
  </si>
  <si>
    <t>2 GIRAS MANAGEMENT, S.L.</t>
  </si>
  <si>
    <t>hola@2giras.com</t>
  </si>
  <si>
    <t>925298614</t>
  </si>
  <si>
    <t>www.2giras.com</t>
  </si>
  <si>
    <t>AVDA. DE MADRID, 20 ESC. 1 BAJO i</t>
  </si>
  <si>
    <t>45003.0</t>
  </si>
  <si>
    <t>PRODUCEME S.L.</t>
  </si>
  <si>
    <t>bmartinez@produceme.es www.eldanubioazul.es www.lafincaeventos.es</t>
  </si>
  <si>
    <t>91-9198090</t>
  </si>
  <si>
    <t>www.produceme.es</t>
  </si>
  <si>
    <t>AVENIDA FELIPE II S/N WIZINK CENTER</t>
  </si>
  <si>
    <t>MARTÍNEZ OTERO</t>
  </si>
  <si>
    <t>CONTRA-TAME PRODUCCIONES Y CONTRATACIÓN</t>
  </si>
  <si>
    <t>contratacion@contra-tame.com</t>
  </si>
  <si>
    <t>666-339154</t>
  </si>
  <si>
    <t>C/ ELBA Nº17, 6º B</t>
  </si>
  <si>
    <t>MANAGEMENT/OFICINA DE CONTRATACIÓN</t>
  </si>
  <si>
    <t>28002.0</t>
  </si>
  <si>
    <t>FRANCISCO (PACO)</t>
  </si>
  <si>
    <t>MARTÍNEZ PELAEZ</t>
  </si>
  <si>
    <t>LIVE NATION ESPAÑA S.A.U.</t>
  </si>
  <si>
    <t>www.livenation.es</t>
  </si>
  <si>
    <t>PASEO SAN JUAN Nº104 PISO 6 PTA 2</t>
  </si>
  <si>
    <t>8037.0</t>
  </si>
  <si>
    <t>JOAQUÍN</t>
  </si>
  <si>
    <t>MARTÍNEZ SILVA</t>
  </si>
  <si>
    <t>ESMERARTE INDUSTRIAS CREATIVAS S.L.U.</t>
  </si>
  <si>
    <t>kin@esmerarte.com montse@esmerarte.com</t>
  </si>
  <si>
    <t>986-135884</t>
  </si>
  <si>
    <t>www.esmerarte.com</t>
  </si>
  <si>
    <t>VIGO</t>
  </si>
  <si>
    <t>C/ URZÁIZ Nº5, 5º A</t>
  </si>
  <si>
    <t>36201.0</t>
  </si>
  <si>
    <t>MIGUEL</t>
  </si>
  <si>
    <t>MAXIMILIANO MATEO</t>
  </si>
  <si>
    <t>ESPECTÁCULOS LA BRUJA S.L.</t>
  </si>
  <si>
    <t>miguel@espectaculoslabruja.com</t>
  </si>
  <si>
    <t>949-248837 629-058614</t>
  </si>
  <si>
    <t>www.espectaculoslabruja.com</t>
  </si>
  <si>
    <t>C/ ZARAGOZA Nº 23 C</t>
  </si>
  <si>
    <t>19005.0</t>
  </si>
  <si>
    <t>MEDIAVILLA EZCURRA</t>
  </si>
  <si>
    <t>BMD MÚSICA / CREMA.</t>
  </si>
  <si>
    <t>inigo@bmdmusica.com</t>
  </si>
  <si>
    <t>650-165079</t>
  </si>
  <si>
    <t>www.bmdmusica.com www.cremacremacrema.com</t>
  </si>
  <si>
    <t>C/ ROS DE OLANO Nº 5, 5ºA</t>
  </si>
  <si>
    <t>MANAGEMENT/SERVICIOS AUXILIARES</t>
  </si>
  <si>
    <t>MENÉNDEZ ARIAS</t>
  </si>
  <si>
    <t>TIRITITANGO MANAGEMENT S.L.</t>
  </si>
  <si>
    <t>contratacion@tirititango.com info@tirititango.com</t>
  </si>
  <si>
    <t>925-133188 654-187590</t>
  </si>
  <si>
    <t>www.tirititango.com</t>
  </si>
  <si>
    <t>ONTÍGOLA</t>
  </si>
  <si>
    <t>C/ RÍO GUADIELA Nº 24, URB. LOS ALTOS DE ARANJUEZ</t>
  </si>
  <si>
    <t>45340.0</t>
  </si>
  <si>
    <t>MERINO ÑACLE</t>
  </si>
  <si>
    <t>MERINO Y MERINO PRODUCCIONES, S.L.</t>
  </si>
  <si>
    <t>mym@merinoymerino.com</t>
  </si>
  <si>
    <t>91-4177500 91-6237100</t>
  </si>
  <si>
    <t>www.merinoymerino.com</t>
  </si>
  <si>
    <t>C/ ORENSE, 14</t>
  </si>
  <si>
    <t>SERVICIOS AUXILIARES</t>
  </si>
  <si>
    <t>28020.0</t>
  </si>
  <si>
    <t>91-4176882</t>
  </si>
  <si>
    <t>ALEJANDRO</t>
  </si>
  <si>
    <t>MOLINA GIL</t>
  </si>
  <si>
    <t>CRASH MUSIC S.L.</t>
  </si>
  <si>
    <t xml:space="preserve"> info@crashmusic.es</t>
  </si>
  <si>
    <t>678-271230</t>
  </si>
  <si>
    <t>www.crashmusic.es</t>
  </si>
  <si>
    <t>HUÉRCAL DE ALMERÍA</t>
  </si>
  <si>
    <t>C/ EL ALMENDRO Nº8</t>
  </si>
  <si>
    <t>MANAGEMENT/PRODUCTOR/INFRAESTRUCTURAS</t>
  </si>
  <si>
    <t>4230.0</t>
  </si>
  <si>
    <t>ANDREA</t>
  </si>
  <si>
    <t>MOMIGLIANO</t>
  </si>
  <si>
    <t>URBANIA ENTERTAIMENT SL</t>
  </si>
  <si>
    <t>andrea@urbaniaent.com</t>
  </si>
  <si>
    <t>626-721149</t>
  </si>
  <si>
    <t>www.urbaniaevents.com</t>
  </si>
  <si>
    <t>C/ MAQUEDA Nº10</t>
  </si>
  <si>
    <t>MANAGEMENT /AGENCIA DE ESPECTÁCULOS</t>
  </si>
  <si>
    <t>28024.0</t>
  </si>
  <si>
    <t>IÑAKI</t>
  </si>
  <si>
    <t>MONSALVE PERAL</t>
  </si>
  <si>
    <t>VIRTUAL MUSIC MANAGEMENT S.L.</t>
  </si>
  <si>
    <t>inaki@virtualmusic.es</t>
  </si>
  <si>
    <t>93-4175265 663-775248</t>
  </si>
  <si>
    <t>www.virtualmusic.es</t>
  </si>
  <si>
    <t>C/ JOSÉ ORTEGA Y GASSET Nº65, 3º DCHA</t>
  </si>
  <si>
    <t>MUSIC HIT FACTORY</t>
  </si>
  <si>
    <t>inaki@musichitfactory.com</t>
  </si>
  <si>
    <t>www.musichitfactory.com</t>
  </si>
  <si>
    <t>TRINIDAD</t>
  </si>
  <si>
    <t>MONTERO DÍAZ</t>
  </si>
  <si>
    <t>POWER MUSIC S.C.</t>
  </si>
  <si>
    <t>powermusic18@hotmail.es</t>
  </si>
  <si>
    <t>639-881909</t>
  </si>
  <si>
    <t>www.powermusicevents.com</t>
  </si>
  <si>
    <t>BENALMADENA</t>
  </si>
  <si>
    <t>MÁLAGA</t>
  </si>
  <si>
    <t>AV. FEDERICO GARCIA LORCA Nº28</t>
  </si>
  <si>
    <t>MANAGEMENT/PRODUCCIÓN</t>
  </si>
  <si>
    <t>29631.0</t>
  </si>
  <si>
    <t>MONTERO GARCÍA</t>
  </si>
  <si>
    <t>AE PRODUCCIONES</t>
  </si>
  <si>
    <t>imontero@almansaeventos.com</t>
  </si>
  <si>
    <t>606-055693</t>
  </si>
  <si>
    <t>www.almansaeventos.com</t>
  </si>
  <si>
    <t>ALMANSA</t>
  </si>
  <si>
    <t>PASEO DE LA LIBERTAD Nº26, 2º IZQ.</t>
  </si>
  <si>
    <t>2640.0</t>
  </si>
  <si>
    <t>SUSANA</t>
  </si>
  <si>
    <t>MONTES CARO</t>
  </si>
  <si>
    <t>LUNAS ROTAS, S.L.</t>
  </si>
  <si>
    <t>lr@lunasrotas.es</t>
  </si>
  <si>
    <t>91-7130800</t>
  </si>
  <si>
    <t>www.rosana.net</t>
  </si>
  <si>
    <t>C/ EDUARDO VICENTE, 7 - LOCAL</t>
  </si>
  <si>
    <t>28028.0</t>
  </si>
  <si>
    <t>91-7260863</t>
  </si>
  <si>
    <t>JOSÉ "PEPE"</t>
  </si>
  <si>
    <t>MORANT PASTOR</t>
  </si>
  <si>
    <t>GLOBALY LIVE</t>
  </si>
  <si>
    <t>pepe@globalylive.com lara@globalylive.com</t>
  </si>
  <si>
    <t>647-519661- 627912663</t>
  </si>
  <si>
    <t xml:space="preserve"> www.globalylive.com</t>
  </si>
  <si>
    <t>MARISA</t>
  </si>
  <si>
    <t>MOYA TERUEL</t>
  </si>
  <si>
    <t>EMERGE PRODUCCIONES</t>
  </si>
  <si>
    <t>marisa@emergeproducciones.com tomas@emergeproducciones.com</t>
  </si>
  <si>
    <t>91-1123232</t>
  </si>
  <si>
    <t>www.emergeproducciones.com</t>
  </si>
  <si>
    <t>GRAN VÍA Nº69 PISO 4 PTA 411</t>
  </si>
  <si>
    <t>ERNESTO JESÚS</t>
  </si>
  <si>
    <t>MUÑOZ MUÑOZ</t>
  </si>
  <si>
    <t>PINK HOUSE MANAGEMENT S.L.</t>
  </si>
  <si>
    <t>ernesto@pinkhousemanagement.com</t>
  </si>
  <si>
    <t>953-043905</t>
  </si>
  <si>
    <t>www.pinkhousemanagement.com</t>
  </si>
  <si>
    <t>BAEZA</t>
  </si>
  <si>
    <t>C/ CIPRIANO ALHAMBRA Nº18, DESPACHO 6 (PATIO DE EMPRESAS)</t>
  </si>
  <si>
    <t>MANAGEMENT/OFICINA DE CONTRATACIÓN/PRODUCTOR</t>
  </si>
  <si>
    <t>23440.0</t>
  </si>
  <si>
    <t>MUÑOZ SÁNCHEZ</t>
  </si>
  <si>
    <t>DIAMANTE SHOW SLU</t>
  </si>
  <si>
    <t>carlosmunoz@diamanteshowproducciones.com  administracion@diamanteelshowdelcalvo.com</t>
  </si>
  <si>
    <t>608-002128</t>
  </si>
  <si>
    <t>www.diamanteshow.es</t>
  </si>
  <si>
    <t>CALLE DEL TRINQUETE Nº5, 3B</t>
  </si>
  <si>
    <t>ARMANDO JAVIER</t>
  </si>
  <si>
    <t>NAVARRO HORCAS</t>
  </si>
  <si>
    <t>NAVARROCK SIGLO XXI, S.L.</t>
  </si>
  <si>
    <t>espectaculosarmando@gmail.com</t>
  </si>
  <si>
    <t>957-485253 609-610965</t>
  </si>
  <si>
    <t>www.navarrocksigloxxi.es</t>
  </si>
  <si>
    <t>C/ ESTONIA Nº2</t>
  </si>
  <si>
    <t>14014.0</t>
  </si>
  <si>
    <t>957-485218</t>
  </si>
  <si>
    <t>AEROLINEAS MUSICALES S.L.</t>
  </si>
  <si>
    <t>aerolineas@aerolineasmusicales.com</t>
  </si>
  <si>
    <t>www.aerolineasmusicales.com</t>
  </si>
  <si>
    <t>MAIRENA DEL ALJARAFE</t>
  </si>
  <si>
    <t>AVDA DEL CONOCIMIENTO Nº17, BLOQUE 2, PORTAL 4, 4ºB</t>
  </si>
  <si>
    <t>41927.0</t>
  </si>
  <si>
    <t>CARMEN MARÍA</t>
  </si>
  <si>
    <t>ESPECTÁCULOS ARMANDO, S.L.</t>
  </si>
  <si>
    <t>957-485253 609-610965 649-711805</t>
  </si>
  <si>
    <t>www.espectaculosarmando.es</t>
  </si>
  <si>
    <t>C/ ESTONIA 2</t>
  </si>
  <si>
    <t>JOSÉ EMILIO</t>
  </si>
  <si>
    <t>NAVARRO VIÑA</t>
  </si>
  <si>
    <t>BERRY PRODUCCIONES, S.L.</t>
  </si>
  <si>
    <t>berryproducciones@berryproducciones.com</t>
  </si>
  <si>
    <t>91-4250356</t>
  </si>
  <si>
    <t>PASEO DE LA CASTELLANA, 161 12º ESTUDIO D</t>
  </si>
  <si>
    <t>91-5797321</t>
  </si>
  <si>
    <t>MARIOLA</t>
  </si>
  <si>
    <t>ORELLANA GUGLIERI</t>
  </si>
  <si>
    <t>ENTREARTE Y GESTIÓN S.L.</t>
  </si>
  <si>
    <t>mariola@entre-arte.es cocorellana@hotmail.com prensa@entre-arte.es</t>
  </si>
  <si>
    <t>627-169594</t>
  </si>
  <si>
    <t>https://www.entre-arte.es/</t>
  </si>
  <si>
    <t>C/ PINTOR ROSALES Nº 60, 1º IZQ.</t>
  </si>
  <si>
    <t>CLAUDIA</t>
  </si>
  <si>
    <t>ORELLANA SANZ</t>
  </si>
  <si>
    <t>SON BUENOS SL</t>
  </si>
  <si>
    <t>claudia@sonbuenos.com</t>
  </si>
  <si>
    <t>696-409965</t>
  </si>
  <si>
    <t>www.sonbuenos.com</t>
  </si>
  <si>
    <t>C/ INFANTA CRISTINA Nº3 ESC. 2, PLANTA 02 PTA. 0A</t>
  </si>
  <si>
    <t>30007.0</t>
  </si>
  <si>
    <t>ORTIZ PÉREZ</t>
  </si>
  <si>
    <t>BACKSTAGEON</t>
  </si>
  <si>
    <t>hola@backstageon.com</t>
  </si>
  <si>
    <t>927-289435 607-180997</t>
  </si>
  <si>
    <t>www.backstageon.com</t>
  </si>
  <si>
    <t>AVDA. DE ESPAÑA Nº9, 6º, DESPACHO 4</t>
  </si>
  <si>
    <t>10002.0</t>
  </si>
  <si>
    <t>PALAZÓN RIQUELME</t>
  </si>
  <si>
    <t>METEÓRICA ENTERTAINMENT S.L.L.</t>
  </si>
  <si>
    <t>contratacion@meteorica.net</t>
  </si>
  <si>
    <t>670-215324</t>
  </si>
  <si>
    <t>www.meteorica.net</t>
  </si>
  <si>
    <t>MOLINA DE SEGURA</t>
  </si>
  <si>
    <t>C/ ALFONSO X EL SABIO Nº61</t>
  </si>
  <si>
    <t>30500.0</t>
  </si>
  <si>
    <t>FRANCISCO JAVIER</t>
  </si>
  <si>
    <t>PARDO ALONSO</t>
  </si>
  <si>
    <t>PRODUCCIONES ARTÍSTICAS EXTREMEÑAS, S.L.</t>
  </si>
  <si>
    <t>info@actuaproducciones.es</t>
  </si>
  <si>
    <t>924-434545 666-042753</t>
  </si>
  <si>
    <t>www.actuaproducciones.es</t>
  </si>
  <si>
    <t>BADAJOZ</t>
  </si>
  <si>
    <t>POL. IND. EL NEVERO, CALLE NEVERO Nº21, NAVE 3</t>
  </si>
  <si>
    <t>6006.0</t>
  </si>
  <si>
    <t>PARDOS MELERO</t>
  </si>
  <si>
    <t>PRODUCCIONES TEATRALES LUIS PARDOS</t>
  </si>
  <si>
    <t>info@luispardos.com luis@luispardos.com</t>
  </si>
  <si>
    <t>976-126101 617-394040</t>
  </si>
  <si>
    <t>www.luispardos.com</t>
  </si>
  <si>
    <t>AVDA. COMPROMISO DE CASPE, 18</t>
  </si>
  <si>
    <t>50002.0</t>
  </si>
  <si>
    <t>976-126101</t>
  </si>
  <si>
    <t>GLORIA</t>
  </si>
  <si>
    <t>PARRA MUÑOZ</t>
  </si>
  <si>
    <t>YEIYEBA S.L.</t>
  </si>
  <si>
    <t>gloria@yeiyeba.com 	informacion@yeiyeba.com</t>
  </si>
  <si>
    <t>91-7136844</t>
  </si>
  <si>
    <t>www.yeiyeba.com</t>
  </si>
  <si>
    <t>RIVAS VACIAMADRID</t>
  </si>
  <si>
    <t>APARTADO DE CORREOS 131</t>
  </si>
  <si>
    <t>MANAGEMENT/AGENCIA DE ESPECTÁCULOS</t>
  </si>
  <si>
    <t>28080.0</t>
  </si>
  <si>
    <t>PATRICIO GARCÍA</t>
  </si>
  <si>
    <t>EP MANAGEMENT</t>
  </si>
  <si>
    <t>epmanagement@epmusica.net</t>
  </si>
  <si>
    <t>985-215012 609-892541</t>
  </si>
  <si>
    <t>www.epmusica.net</t>
  </si>
  <si>
    <t>C/ FRAY CEFERINO, 51 B BAJO</t>
  </si>
  <si>
    <t>PELLICER LARA</t>
  </si>
  <si>
    <t>A VOLAR MUSIC SL</t>
  </si>
  <si>
    <t>maria.pellicer@eomusica.es</t>
  </si>
  <si>
    <t>670-661275</t>
  </si>
  <si>
    <t>MOLLINA</t>
  </si>
  <si>
    <t>C/ OCHO DE MARZO Nº2</t>
  </si>
  <si>
    <t>MANAGEMENT/PROMOTOR/PRODUCCIÓN</t>
  </si>
  <si>
    <t>29532.0</t>
  </si>
  <si>
    <t>PEÑA HERRANZ</t>
  </si>
  <si>
    <t>BÚHO MANAGEMENT</t>
  </si>
  <si>
    <t>buhomanagement@buhomanagement.com antonio@buhomanagement.com</t>
  </si>
  <si>
    <t>648-101757 651-654645</t>
  </si>
  <si>
    <t>www.buhomanagement.com</t>
  </si>
  <si>
    <t>C/ SANTIAGO DE COMPOSTELA, 60</t>
  </si>
  <si>
    <t>ELOY</t>
  </si>
  <si>
    <t>PÉREZ HIDALGO</t>
  </si>
  <si>
    <t>ACORDES EDICIONES MUSICALES</t>
  </si>
  <si>
    <t>eloy.phidalgo@gmail.com fabiopmartin@gmail.com</t>
  </si>
  <si>
    <t>95-5867844 647-647580 647-647577</t>
  </si>
  <si>
    <t>www.fodsrecords.com</t>
  </si>
  <si>
    <t>UTRERA</t>
  </si>
  <si>
    <t>P.I. EL TORNO / RONDA DE LOS TORNEROS, 24</t>
  </si>
  <si>
    <t>41710.0</t>
  </si>
  <si>
    <t>954-863901</t>
  </si>
  <si>
    <t>MARTÍN</t>
  </si>
  <si>
    <t>PÉREZ LOMBARTE</t>
  </si>
  <si>
    <t>CONCERT STUDIO S.L.</t>
  </si>
  <si>
    <t>mperez@concertstudio.com</t>
  </si>
  <si>
    <t>www.concertstudio.com</t>
  </si>
  <si>
    <t>C/ MOIA Nº14, BAJO</t>
  </si>
  <si>
    <t>8006.0</t>
  </si>
  <si>
    <t>EDUARDO LUIS</t>
  </si>
  <si>
    <t>PÉREZ MARTÍN</t>
  </si>
  <si>
    <t>AVENIDA EVENTS SHOWS</t>
  </si>
  <si>
    <t>info@avenidaeventsshows.es</t>
  </si>
  <si>
    <t>639-646824</t>
  </si>
  <si>
    <t>www.avenidaeventsshows.es</t>
  </si>
  <si>
    <t>CALANDA</t>
  </si>
  <si>
    <t>TERUEL</t>
  </si>
  <si>
    <t>POLÍGONO CUEVA SAN JOSÉ 8/9</t>
  </si>
  <si>
    <t>PROMOTOR/AGENCIA DE ESPECTÁCULOS</t>
  </si>
  <si>
    <t>44570.0</t>
  </si>
  <si>
    <t>GONZALO</t>
  </si>
  <si>
    <t>PÉREZ PASTOR</t>
  </si>
  <si>
    <t>VERTIGO PRODUCCIONES E IDEAS SL</t>
  </si>
  <si>
    <t>gonzalo.vertigo@me.com</t>
  </si>
  <si>
    <t>609-428872</t>
  </si>
  <si>
    <t xml:space="preserve">	CARRERAR DE SAN FRANCISCO Nº1515, 4ºA</t>
  </si>
  <si>
    <t>ISRAEL</t>
  </si>
  <si>
    <t>PÉREZ PUENTES</t>
  </si>
  <si>
    <t>MOON PROJECT</t>
  </si>
  <si>
    <t>hola@thisismoonproject.com</t>
  </si>
  <si>
    <t>680-255332</t>
  </si>
  <si>
    <t>C/ TERUEL S/N PORTAL 11, PLANTA 5, PTA 6</t>
  </si>
  <si>
    <t>JAIME</t>
  </si>
  <si>
    <t>PEROZO AYUSO</t>
  </si>
  <si>
    <t>HERMANOS BROTHERS PRODUCCIONES</t>
  </si>
  <si>
    <t>direccion@hermanosbrothers.es</t>
  </si>
  <si>
    <t>699-176870</t>
  </si>
  <si>
    <t>GONDOMAR</t>
  </si>
  <si>
    <t>RUA SAN BIEITO Nº3, BAJO</t>
  </si>
  <si>
    <t>36380.0</t>
  </si>
  <si>
    <t>ESTEBAN</t>
  </si>
  <si>
    <t>PIÑERO CAMACHO</t>
  </si>
  <si>
    <t>NOCTURNA TEAM SL</t>
  </si>
  <si>
    <t>dcbmusic@hotmail.com</t>
  </si>
  <si>
    <t>653-797581</t>
  </si>
  <si>
    <t>www.lamisionoficial.com</t>
  </si>
  <si>
    <t>MADRD</t>
  </si>
  <si>
    <t>C/ ARISTÓTELES Nº1</t>
  </si>
  <si>
    <t>28521.0</t>
  </si>
  <si>
    <t>PIÑERO TENDERO</t>
  </si>
  <si>
    <t>PRODUCCIONES BALTIMORE SL</t>
  </si>
  <si>
    <t>jose@produccionesbaltimore.es</t>
  </si>
  <si>
    <t>966-375395</t>
  </si>
  <si>
    <t>www.produccionesbaltimore.es/</t>
  </si>
  <si>
    <t>C/ ALVAREZ SEREIX Nº12, ENTREPLANTA DCHA</t>
  </si>
  <si>
    <t>PROMOTOR/PRODUCCIÓN/DIRECTOR FESTIVALES</t>
  </si>
  <si>
    <t>3001.0</t>
  </si>
  <si>
    <t>POLO DOÑORO</t>
  </si>
  <si>
    <t>ABEJA SONORA S.L.U.</t>
  </si>
  <si>
    <t>javierpolo@comecialpolo.es</t>
  </si>
  <si>
    <t>629-429072</t>
  </si>
  <si>
    <t>BULEV. ENTREPEÑAS Nº1 D, PLANTA 1, PUERTA A</t>
  </si>
  <si>
    <t>ANNA</t>
  </si>
  <si>
    <t>PORTOMEÑE MARQUES</t>
  </si>
  <si>
    <t>MPC MANAGEMENT</t>
  </si>
  <si>
    <t>contacto@mpcmanagement.es</t>
  </si>
  <si>
    <t>93-2744798</t>
  </si>
  <si>
    <t>www.mpcmanagement.es</t>
  </si>
  <si>
    <t>AVDA. MERIDIANA, Nº358, 7ª PLANTA</t>
  </si>
  <si>
    <t>8027.0</t>
  </si>
  <si>
    <t>PUENTES RUIZ</t>
  </si>
  <si>
    <t>PRODUCCIONES PUENTES, S.L.</t>
  </si>
  <si>
    <t>info@produccionespuentes.es</t>
  </si>
  <si>
    <t>953-607580 902-401850</t>
  </si>
  <si>
    <t>www.produccionespuentes.es</t>
  </si>
  <si>
    <t>PROLONGACION C/ JEREZ, Nº1</t>
  </si>
  <si>
    <t>953-601489</t>
  </si>
  <si>
    <t>PUYUELO BARRIOS</t>
  </si>
  <si>
    <t>MALIKIAN S.L.</t>
  </si>
  <si>
    <t>booking@aramalikian.com j@greycoda.com</t>
  </si>
  <si>
    <t>670-085481</t>
  </si>
  <si>
    <t>www.aramalikian.com</t>
  </si>
  <si>
    <t>C/ COSO Nº67, 3A</t>
  </si>
  <si>
    <t>50001.0</t>
  </si>
  <si>
    <t>GREY CODA S.L.</t>
  </si>
  <si>
    <t>j@greycoda.com</t>
  </si>
  <si>
    <t>661-637413</t>
  </si>
  <si>
    <t>www.greycoda.com</t>
  </si>
  <si>
    <t>C/ DOCTOR ALEJANDRO PALOMAR 7-9</t>
  </si>
  <si>
    <t>GERMÁN</t>
  </si>
  <si>
    <t>QUIMASÓ SEVILLANO</t>
  </si>
  <si>
    <t>SONDE 3 PRODUCCIONES</t>
  </si>
  <si>
    <t>german@sonde3.com</t>
  </si>
  <si>
    <t>91-0145480</t>
  </si>
  <si>
    <t>www.sonde3.com</t>
  </si>
  <si>
    <t>C/ JULIÁN CAMARILLO 10 – 102</t>
  </si>
  <si>
    <t>28037.0</t>
  </si>
  <si>
    <t>ÁLVARO RENE</t>
  </si>
  <si>
    <t>RAMOS GARCÍA</t>
  </si>
  <si>
    <t>R3MO PRODUCTIONS S.L</t>
  </si>
  <si>
    <t>mt@r3mo.es</t>
  </si>
  <si>
    <t>669503602</t>
  </si>
  <si>
    <t>www.rl20music.com</t>
  </si>
  <si>
    <t>PLAZA DE LA LEALTAD Nº3</t>
  </si>
  <si>
    <t>NARCÍS</t>
  </si>
  <si>
    <t>REBOLLO MELCIO</t>
  </si>
  <si>
    <t>narcis.rebollo@gtstalent.com</t>
  </si>
  <si>
    <t>91-7445633</t>
  </si>
  <si>
    <t>www.gtsmanagement.es</t>
  </si>
  <si>
    <t>MANAGEMENT/ PRODUCTOR</t>
  </si>
  <si>
    <t>RECIO CORTÉS</t>
  </si>
  <si>
    <t>REN-CORE EVENTS</t>
  </si>
  <si>
    <t>info@ren-core.es gorkarc@ren-core.es</t>
  </si>
  <si>
    <t>923-250480 635-921993</t>
  </si>
  <si>
    <t>www.ren-core.es</t>
  </si>
  <si>
    <t>LOS VILLARES</t>
  </si>
  <si>
    <t>SALAMANCA</t>
  </si>
  <si>
    <t>C/ MEDINA Nº19</t>
  </si>
  <si>
    <t>MANAGEMENT/PRODUCTOR/INFRAESTRUCTURA</t>
  </si>
  <si>
    <t>37184.0</t>
  </si>
  <si>
    <t>CARMEN</t>
  </si>
  <si>
    <t>RECIO PASTOR</t>
  </si>
  <si>
    <t>MELA MUSIC</t>
  </si>
  <si>
    <t>melamusic@melamusic.es</t>
  </si>
  <si>
    <t>697-383566</t>
  </si>
  <si>
    <t>www.sergiodalma.es</t>
  </si>
  <si>
    <t>C/ VALDERRIBAS Nº14, LOCAL</t>
  </si>
  <si>
    <t>28007.0</t>
  </si>
  <si>
    <t>MIGUEL ÁNGEL</t>
  </si>
  <si>
    <t>REGALADO RUANO</t>
  </si>
  <si>
    <t>TOTI PRODUCCIONES</t>
  </si>
  <si>
    <t>totiproducciones@hotmail.es</t>
  </si>
  <si>
    <t>676-996200</t>
  </si>
  <si>
    <t>Pº CASTELLANA, 123 ESC DCHA 9º A</t>
  </si>
  <si>
    <t>ALONSO</t>
  </si>
  <si>
    <t>REMEDIOS MORGADO</t>
  </si>
  <si>
    <t>OSO POLITA RECORDS S.L.</t>
  </si>
  <si>
    <t>beatriz@lasttour.net</t>
  </si>
  <si>
    <t>944-154551</t>
  </si>
  <si>
    <t>www.osopolita.com</t>
  </si>
  <si>
    <t>C/ VENTOSA BIDEA Nº46, 1º DERECHA</t>
  </si>
  <si>
    <t>DISCOGRÁFICA</t>
  </si>
  <si>
    <t>48013.0</t>
  </si>
  <si>
    <t>LAST TOUR</t>
  </si>
  <si>
    <t>alonso@lasttour.net</t>
  </si>
  <si>
    <t>www.lasttour.net</t>
  </si>
  <si>
    <t>C/ GRAN VÍA Nº 431 ENT.1</t>
  </si>
  <si>
    <t>8015.0</t>
  </si>
  <si>
    <t>ANSOÁIN</t>
  </si>
  <si>
    <t>C/ AIZOAIN Nº 10 OFICINA 18</t>
  </si>
  <si>
    <t>31013.0</t>
  </si>
  <si>
    <t>C/ VENTOSA BIDEA Nº46, 1º-D</t>
  </si>
  <si>
    <t>JOSÉ JAIME</t>
  </si>
  <si>
    <t>REYES GARCÍA</t>
  </si>
  <si>
    <t>JAIME REYES PRODUCCIONES S.L.U.</t>
  </si>
  <si>
    <t>infojaimereyesproducciones@gmail.com direccion@jaimereyesproducciones.com</t>
  </si>
  <si>
    <t>650-335027 655-881978</t>
  </si>
  <si>
    <t>www.jaimereyesproducciones.com</t>
  </si>
  <si>
    <t>AVENIDA VIRGEN DE LA MONTAÑA Nº13, 1º B</t>
  </si>
  <si>
    <t>BLANCA</t>
  </si>
  <si>
    <t>RIOJA JEREZ</t>
  </si>
  <si>
    <t>BRAVA BOOKING</t>
  </si>
  <si>
    <t>blanca@bravabooking.com</t>
  </si>
  <si>
    <t>617-441041</t>
  </si>
  <si>
    <t>C/ ESCULTOR LLIMONA Nº38-40, PLANTA 1, PTA 5</t>
  </si>
  <si>
    <t>BOOKING</t>
  </si>
  <si>
    <t>8031.0</t>
  </si>
  <si>
    <t>RIVAS MELCHOR</t>
  </si>
  <si>
    <t>VÉRTIGO PRODUCCIONES &amp; MANAGEMENT</t>
  </si>
  <si>
    <t>contacto@espectaculosvertigo.com</t>
  </si>
  <si>
    <t>956-092965 630-362659</t>
  </si>
  <si>
    <t>www.espectaculosvertigo.com</t>
  </si>
  <si>
    <t>ALGECIRAS</t>
  </si>
  <si>
    <t>AVDA. VIRGEN DEL CARMEN, 77 1ªA - EDIF. OMEYA</t>
  </si>
  <si>
    <t>11202.0</t>
  </si>
  <si>
    <t>956-092954</t>
  </si>
  <si>
    <t>RIVERO LEÓN</t>
  </si>
  <si>
    <t>RAÚL RIVERO Y ASOCIADOS, S.L.U.</t>
  </si>
  <si>
    <t>raul@raulriveroasociados.com</t>
  </si>
  <si>
    <t>928-481417  629-262262</t>
  </si>
  <si>
    <t>www.raulriveroasociados.com</t>
  </si>
  <si>
    <t>LAS PALMAS DE GRAN CANARIA</t>
  </si>
  <si>
    <t>POLG. IND. DÍAZ CASANOVA. C/ MATAGALPA. PARCELA K. NAVE 5</t>
  </si>
  <si>
    <t>35010.0</t>
  </si>
  <si>
    <t>928-485840</t>
  </si>
  <si>
    <t>ANA MARÍA</t>
  </si>
  <si>
    <t>RODRÍGUEZ ALMEYDA CALVO</t>
  </si>
  <si>
    <t>PRODUCCIONES CHARRAS, S.L.</t>
  </si>
  <si>
    <t>contratacion@produccionescharras.com pcharras@produccionescharras.com</t>
  </si>
  <si>
    <t>91-4462466 607-784800</t>
  </si>
  <si>
    <t>www.produccionescharras.es</t>
  </si>
  <si>
    <t>C/ FERNÁNDEZ DE LOS RIOS Nº15 BIS, OFICINA</t>
  </si>
  <si>
    <t>91-4459867</t>
  </si>
  <si>
    <t>JUAN PABLO</t>
  </si>
  <si>
    <t>RODRÍGUEZ ANTÓN</t>
  </si>
  <si>
    <t>LA AGENCIA MUSIC</t>
  </si>
  <si>
    <t>contratacion@laagenciamusic.es</t>
  </si>
  <si>
    <t>943-340061 649-435874</t>
  </si>
  <si>
    <t>www.laagenciamusic.es</t>
  </si>
  <si>
    <t>RENTERIA</t>
  </si>
  <si>
    <t>C/ ASTIGARRAGA, 11 BAJO</t>
  </si>
  <si>
    <t>20100.0</t>
  </si>
  <si>
    <t>ANA Mª</t>
  </si>
  <si>
    <t>RODRÍGUEZ CALVO</t>
  </si>
  <si>
    <t>FAMA ACAPULCO ESPECTÁCULOS</t>
  </si>
  <si>
    <t>famacapulco@hotmail.com</t>
  </si>
  <si>
    <t>926-117281 926-428089 615-993943</t>
  </si>
  <si>
    <t>PUERTOLLANO</t>
  </si>
  <si>
    <t>PZA. TOMELLOSO, 1 4ºDCHA.</t>
  </si>
  <si>
    <t>13500.0</t>
  </si>
  <si>
    <t>926-430932</t>
  </si>
  <si>
    <t>RODRÍGUEZ FERNÁNDEZ</t>
  </si>
  <si>
    <t>GRUPO ESPECTÁCULOS MUNDO</t>
  </si>
  <si>
    <t>info@grupomundo.es</t>
  </si>
  <si>
    <t>www.grupomundo.es</t>
  </si>
  <si>
    <t>C/ ALEJANDRO CASONA Nº42 POLÍGONO GUADALHORCE</t>
  </si>
  <si>
    <t>MANAGEMENTE/AGENCIA DE ESPECTÁCULOS/PROMOTOR/PRODUCTOR/SERVICIOS AUXILIARES</t>
  </si>
  <si>
    <t>29004.0</t>
  </si>
  <si>
    <t>952-361524</t>
  </si>
  <si>
    <t>mundo@grupomundo.es comunicacion@grupomundo.es</t>
  </si>
  <si>
    <t>MANAGEMENT/PROMOTOR/INFRAESTRUCTURAS</t>
  </si>
  <si>
    <t>JUANJO</t>
  </si>
  <si>
    <t>RODRÍGUEZ GARCÍA</t>
  </si>
  <si>
    <t>PANDORA PRODUCCIONES</t>
  </si>
  <si>
    <t>juanjo@pandoraproducciones.com produccion@pandoraproducciones.com</t>
  </si>
  <si>
    <t>983-409271</t>
  </si>
  <si>
    <t>www.pandoraproducciones.com</t>
  </si>
  <si>
    <t>ARROYO DE LA ENCOMIENDA</t>
  </si>
  <si>
    <t>C/ FRANCISCO VITORIA Nº18, 1ºC</t>
  </si>
  <si>
    <t>47195.0</t>
  </si>
  <si>
    <t>RODRÍGUEZ GONZÁLEZ</t>
  </si>
  <si>
    <t>THE SHOW BUSINESS PARTNER S.L. / INVERFEST</t>
  </si>
  <si>
    <t>info@showbpartner.com</t>
  </si>
  <si>
    <t>91-8195352</t>
  </si>
  <si>
    <t>www.showbpartner.com www.inverfest.com</t>
  </si>
  <si>
    <t>C/ FRANCISCO SILVELA Nº77- BIS, 5 CENTRO</t>
  </si>
  <si>
    <t>JOSÉ RAMON (PEPE)</t>
  </si>
  <si>
    <t>RODRÍGUEZ MARTÍN</t>
  </si>
  <si>
    <t>PROEXA</t>
  </si>
  <si>
    <t>pepe@proexa.es</t>
  </si>
  <si>
    <t>609-281600</t>
  </si>
  <si>
    <t>www.proexa.es</t>
  </si>
  <si>
    <t>CÁJAR</t>
  </si>
  <si>
    <t>C/ MORAL Nº 7</t>
  </si>
  <si>
    <t>18199.0</t>
  </si>
  <si>
    <t>RODRÍGUEZ RODELAS</t>
  </si>
  <si>
    <t>NO TE OLVIDES DE MI SL</t>
  </si>
  <si>
    <t>elfararodriguez@gmail.com contrataciondiananavarro@gmail.com</t>
  </si>
  <si>
    <t>605-275975</t>
  </si>
  <si>
    <t>ALBOLOTE</t>
  </si>
  <si>
    <t>PASEO DEL AIRE Nº2</t>
  </si>
  <si>
    <t>18220.0</t>
  </si>
  <si>
    <t>RODRÍGUEZ RODRÍGUEZ</t>
  </si>
  <si>
    <t>drodriguez@grupomundo.es</t>
  </si>
  <si>
    <t>ROMERO FERNÁNDEZ</t>
  </si>
  <si>
    <t>RCK, S.L.</t>
  </si>
  <si>
    <t>alvaro@rck.es</t>
  </si>
  <si>
    <t>661-839720</t>
  </si>
  <si>
    <t>www.rck.es</t>
  </si>
  <si>
    <t>C/ ANCHA DE LA VIRGEN Nº27</t>
  </si>
  <si>
    <t>PRODUCTOR/PROMOTOR</t>
  </si>
  <si>
    <t>MARTA</t>
  </si>
  <si>
    <t>ROMERO JIMÉNEZ</t>
  </si>
  <si>
    <t>CHICKEN HAT SL</t>
  </si>
  <si>
    <t>contratacion@chickenhat.es</t>
  </si>
  <si>
    <t>DOS HERMANAS</t>
  </si>
  <si>
    <t>C/ LUZ Nº1</t>
  </si>
  <si>
    <t>AGENCIA DE ESPECTÁCULOS/MANAGEMENT</t>
  </si>
  <si>
    <t>41703.0</t>
  </si>
  <si>
    <t>SERGI</t>
  </si>
  <si>
    <t>ROSELLÓ SALA</t>
  </si>
  <si>
    <t>THE PROJECT</t>
  </si>
  <si>
    <t>srosello@theproject.es  theproject@theproject.es</t>
  </si>
  <si>
    <t>www.theproject.es</t>
  </si>
  <si>
    <t>C/ DIAGONAL Nº 482, 2-2</t>
  </si>
  <si>
    <t>MARINA</t>
  </si>
  <si>
    <t>ROVETA VELA</t>
  </si>
  <si>
    <t>PRODUCCIONES SUBMARINAS S.L.</t>
  </si>
  <si>
    <t>marina.roveta@gmail.com</t>
  </si>
  <si>
    <t>670-556141</t>
  </si>
  <si>
    <t>www.produccionessubmarinas.com</t>
  </si>
  <si>
    <t>ALCOBENDAS</t>
  </si>
  <si>
    <t>C/ CAMINO DEL CURA Nº99, PORTAL 1, BAJO A</t>
  </si>
  <si>
    <t>28109.0</t>
  </si>
  <si>
    <t>LUIS IGNACIO (NACHO)</t>
  </si>
  <si>
    <t>ROYO SERRANO</t>
  </si>
  <si>
    <t>ROCK &amp; CHICKEN S.L.</t>
  </si>
  <si>
    <t>nroyomx@gmail.com</t>
  </si>
  <si>
    <t>629-604027</t>
  </si>
  <si>
    <t>C/ ALFONSO I Nº17, 2º-11</t>
  </si>
  <si>
    <t>RUIZ DE ZARATE CARVAJAL</t>
  </si>
  <si>
    <t>LOCAMALA S.L.</t>
  </si>
  <si>
    <t>booking@isabelaaiun.com  saulo@locamala.com</t>
  </si>
  <si>
    <t>654-415417</t>
  </si>
  <si>
    <t>AVDA. DEL FERROCARRIL, Nº7, BAJO</t>
  </si>
  <si>
    <t>48012.0</t>
  </si>
  <si>
    <t>RUIZ MARTÍNEZ</t>
  </si>
  <si>
    <t>BELLMART EVENTOS MUSICALES S.R.L.</t>
  </si>
  <si>
    <t>vicente@bellmart.es bellmarteventosmusicales@bellmart.es</t>
  </si>
  <si>
    <t>652-799523</t>
  </si>
  <si>
    <t>www.bellmart.es</t>
  </si>
  <si>
    <t>C/ EL BIERZO 10, D</t>
  </si>
  <si>
    <t>41701.0</t>
  </si>
  <si>
    <t>95-5664873</t>
  </si>
  <si>
    <t>RUIZ PARRA</t>
  </si>
  <si>
    <t>INDALO PRODUCCIONES</t>
  </si>
  <si>
    <t>info@indaloproducciones.com</t>
  </si>
  <si>
    <t>670-662000</t>
  </si>
  <si>
    <t>www.indaloproducciones.com</t>
  </si>
  <si>
    <t>HUÉRCAL-OVERA</t>
  </si>
  <si>
    <t>AVDA. GUILLERMO REYNA, Nº1, COMPLEMEN. APARTADO DE CORREOS 10</t>
  </si>
  <si>
    <t>4600.0</t>
  </si>
  <si>
    <t>AMADA</t>
  </si>
  <si>
    <t>SAEZ RUBIO</t>
  </si>
  <si>
    <t>ESPECTÁCULOS SAEZ, S.L.</t>
  </si>
  <si>
    <t>espsaez@gmail.com</t>
  </si>
  <si>
    <t>967-511018 967-228062 606-339486</t>
  </si>
  <si>
    <t>C/ ARCÁNGEL SAN GABRIEL Nº23, PORTAL 5, 3ºB</t>
  </si>
  <si>
    <t>2002.0</t>
  </si>
  <si>
    <t>IÑIGO</t>
  </si>
  <si>
    <t>SALVADOR LACUNZA</t>
  </si>
  <si>
    <t>TASTE THE FLOOR</t>
  </si>
  <si>
    <t>inigo@tastethefloor.es</t>
  </si>
  <si>
    <t>680-670184</t>
  </si>
  <si>
    <t>www.tastethefloor.es</t>
  </si>
  <si>
    <t>C/ ANICETO MARINAS Nº16, BJ</t>
  </si>
  <si>
    <t>MANAGEMENT/BOOKING/PRODUCCIÓN</t>
  </si>
  <si>
    <t>JESÚS VICENTE</t>
  </si>
  <si>
    <t>SÁNCHEZ BARTOLOMÉ</t>
  </si>
  <si>
    <t>MAPACHE EVENTS S.L.</t>
  </si>
  <si>
    <t>info@mapache-events.com jesus@mapache-events.com</t>
  </si>
  <si>
    <t>967-246761 692-695812</t>
  </si>
  <si>
    <t>www.mapache-events.com</t>
  </si>
  <si>
    <t>C/ DE DULCE CHACÓN Nº4, BAJO</t>
  </si>
  <si>
    <t>ANTONIO JESÚS</t>
  </si>
  <si>
    <t>SÁNCHEZ GAMEZ</t>
  </si>
  <si>
    <t>TISCAR PRODUCCIONES ARTÍSTICAS</t>
  </si>
  <si>
    <t>correo@espectaculostiscar.es</t>
  </si>
  <si>
    <t>953-733901</t>
  </si>
  <si>
    <t>www.tiscarproducciones.com</t>
  </si>
  <si>
    <t>QUESADA</t>
  </si>
  <si>
    <t>PZA. CORONACION, 5</t>
  </si>
  <si>
    <t>23480.0</t>
  </si>
  <si>
    <t>953-714056</t>
  </si>
  <si>
    <t>MANOLITO</t>
  </si>
  <si>
    <t>SÁNCHEZ LUQUE</t>
  </si>
  <si>
    <t>DOSCONDOS MANAGEMENT Y COMUNICACIÓN, S.L.</t>
  </si>
  <si>
    <t>manolito.sanchez@doscondos.es</t>
  </si>
  <si>
    <t>686-370203</t>
  </si>
  <si>
    <t>www.doscondos.es</t>
  </si>
  <si>
    <t>C/ LIMÓN Nº17, 1 EXTERIOR DERECHA</t>
  </si>
  <si>
    <t>JUAN LUIS</t>
  </si>
  <si>
    <t>SÁNCHEZ-PANTOJA CHECA</t>
  </si>
  <si>
    <t>AMADEUS GLOBAL S.L.</t>
  </si>
  <si>
    <t>contratacion@amadeusglobal.es info@amadeusglobal.es</t>
  </si>
  <si>
    <t>670-704038</t>
  </si>
  <si>
    <t>C/ ANTONIO LÓPEZ AGUADO Nº9, 11 G</t>
  </si>
  <si>
    <t>28029.0</t>
  </si>
  <si>
    <t>SANTAFÉ LEÓN</t>
  </si>
  <si>
    <t>RAÚL SANTAFÉ Y ARMANDO ESPECTÁCULOS, S.L.</t>
  </si>
  <si>
    <t>espectaculossantafe@hotmail.com</t>
  </si>
  <si>
    <t>978-730272</t>
  </si>
  <si>
    <t>www.espectaculossantafe.com</t>
  </si>
  <si>
    <t>CALAMOCHA</t>
  </si>
  <si>
    <t>CTRA. SAGUNTO BURGOS KM 193</t>
  </si>
  <si>
    <t>44200.0</t>
  </si>
  <si>
    <t>SANTOS CALZADA</t>
  </si>
  <si>
    <t>ESPECTÁCULOS BENÍTEZ S.L.</t>
  </si>
  <si>
    <t>armando@espectaculosbenitez.com</t>
  </si>
  <si>
    <t>676-857858 615-350289</t>
  </si>
  <si>
    <t>VILLAMAYOR DE ARMUÑA</t>
  </si>
  <si>
    <t>C/ ACUEDUCTO Nº2</t>
  </si>
  <si>
    <t>37185.0</t>
  </si>
  <si>
    <t>OLGA</t>
  </si>
  <si>
    <t>SANTOS LÓPEZ</t>
  </si>
  <si>
    <t>XITA PROMOTORA S.C.</t>
  </si>
  <si>
    <t>info@xitapromotora.com</t>
  </si>
  <si>
    <t>661-911081</t>
  </si>
  <si>
    <t>AVDA. ARTEIXO Nº90, PISO 1 I</t>
  </si>
  <si>
    <t>15008.0</t>
  </si>
  <si>
    <t>SANTOS SÁNCHEZ</t>
  </si>
  <si>
    <t>JOSÉ SANTOS SÁNCHEZ</t>
  </si>
  <si>
    <t>santos@limac.net</t>
  </si>
  <si>
    <t>91-5042063 696-932990</t>
  </si>
  <si>
    <t>C/ DOCTOR ESQUERDO Nº 52, 8º B</t>
  </si>
  <si>
    <t>ARMANDO</t>
  </si>
  <si>
    <t>SANTOS TORREJÓN</t>
  </si>
  <si>
    <t>ESPECTÁCULOS MUSICALES ARMANDO S.L.</t>
  </si>
  <si>
    <t>armando@musicalesarmando.com</t>
  </si>
  <si>
    <t>676-090519</t>
  </si>
  <si>
    <t>FRANCISCO JOSÉ</t>
  </si>
  <si>
    <t>SANZ FERRER</t>
  </si>
  <si>
    <t>MAESTRAT ESPECTACLES, S.L.</t>
  </si>
  <si>
    <t>vinaros@grupomaestrat.com</t>
  </si>
  <si>
    <t>964-455554</t>
  </si>
  <si>
    <t>www.espectaclesmaestrat.com</t>
  </si>
  <si>
    <t>VINAROS</t>
  </si>
  <si>
    <t>CTRA. N-340, KM.1053, APDO. DE CORREOS, 391</t>
  </si>
  <si>
    <t>AGENCIA DE ESPECTÁCULOS/INFRAESTRUCTURAS</t>
  </si>
  <si>
    <t>12500.0</t>
  </si>
  <si>
    <t>964-454969</t>
  </si>
  <si>
    <t>CRISTIAN</t>
  </si>
  <si>
    <t>SANZ LOU</t>
  </si>
  <si>
    <t>LEYENDA S.L.</t>
  </si>
  <si>
    <t>comunicacion@leyendasl.com info@leyendasl.com</t>
  </si>
  <si>
    <t>662-043698 976-653883</t>
  </si>
  <si>
    <t>www.leyendasl.com</t>
  </si>
  <si>
    <t>UTEBO</t>
  </si>
  <si>
    <t>CARRETERA DE LOGROÑO Nº38</t>
  </si>
  <si>
    <t>INFRAESTRUCTURA/PRODUCTOR</t>
  </si>
  <si>
    <t>50180.0</t>
  </si>
  <si>
    <t>SANZ VALLES</t>
  </si>
  <si>
    <t>CALLE UNDERGROUND</t>
  </si>
  <si>
    <t>contratacion@calleunderground.es</t>
  </si>
  <si>
    <t>616-878776</t>
  </si>
  <si>
    <t>www.calleunderground.es</t>
  </si>
  <si>
    <t>C/ LOZA Nº2 PLANTA BAJA</t>
  </si>
  <si>
    <t>47004.0</t>
  </si>
  <si>
    <t>SARABIA FERNÁNDEZ</t>
  </si>
  <si>
    <t>CMBBOOKING / GALILEO GALILEI</t>
  </si>
  <si>
    <t>pedrosarabia@cmbbooking.com programacion@salagalileo.es</t>
  </si>
  <si>
    <t>91-1699299 617-398190</t>
  </si>
  <si>
    <t>www.cmbbooking.com www.salagalileo.es</t>
  </si>
  <si>
    <t>COLLADO VILLALBA</t>
  </si>
  <si>
    <t>C/ ISLA DE LOBEIRA Nº48</t>
  </si>
  <si>
    <t>28400.0</t>
  </si>
  <si>
    <t>JOSÉ M.</t>
  </si>
  <si>
    <t>SEGURANA ALBESA</t>
  </si>
  <si>
    <t>PRODUCCIONES SEGURANA, S.L.</t>
  </si>
  <si>
    <t>producciones.segurana@yahoo.es segurana@segurana.com</t>
  </si>
  <si>
    <t>978-830153
978-830212</t>
  </si>
  <si>
    <t>www.segurana.com</t>
  </si>
  <si>
    <t>ALCAÑIZ</t>
  </si>
  <si>
    <t>C/ VALDERROBRES, 7</t>
  </si>
  <si>
    <t>44600.0</t>
  </si>
  <si>
    <t>978-870985</t>
  </si>
  <si>
    <t>MATHIEU (MAT)</t>
  </si>
  <si>
    <t>SENA REUBRECHT</t>
  </si>
  <si>
    <t>SENA PRODUCTIONS</t>
  </si>
  <si>
    <t>matsena@senaproductions.es</t>
  </si>
  <si>
    <t>658-875461</t>
  </si>
  <si>
    <t>www.senaproductions.es</t>
  </si>
  <si>
    <t>C/ DE LOS CENTELLES Nº21-9</t>
  </si>
  <si>
    <t>46006.0</t>
  </si>
  <si>
    <t>JUAN FRAN</t>
  </si>
  <si>
    <t>SENABRE PASTOR</t>
  </si>
  <si>
    <t>MOON WORLD RECORDS S.L.</t>
  </si>
  <si>
    <t>contratacion@moonwrecords.com</t>
  </si>
  <si>
    <t>96-6897921</t>
  </si>
  <si>
    <t>www.moonwrecords.com</t>
  </si>
  <si>
    <t>LA NUCÍA</t>
  </si>
  <si>
    <t>AVDA. MARINA BAIXA Nº11 EDIF. EDIMAR LOCAL 6-7 
(APDO. CORREOS 036)</t>
  </si>
  <si>
    <t>3530.0</t>
  </si>
  <si>
    <t>ANTONIO (TONNY)</t>
  </si>
  <si>
    <t>SERRANO PÉREZ</t>
  </si>
  <si>
    <t>RAW MUSIC CITY SL</t>
  </si>
  <si>
    <t>tonny@rawmusic.es</t>
  </si>
  <si>
    <t>622-127799</t>
  </si>
  <si>
    <t>www.rawmusic.es</t>
  </si>
  <si>
    <t>CARTAGENA</t>
  </si>
  <si>
    <t>C/ BUCAREST 28.4 POLIGONO INDUSTRIAL CABEZO BEAZA</t>
  </si>
  <si>
    <t>30353.0</t>
  </si>
  <si>
    <t>SERRANO SUAREZ</t>
  </si>
  <si>
    <t>ASTURCÓN PRODUCCIONES ARTÍSTICAS S.L.</t>
  </si>
  <si>
    <t>produccionesasturcon@gmail.com sergioproduccionesasturcon@gmail.com</t>
  </si>
  <si>
    <t>985-176215</t>
  </si>
  <si>
    <t>www.asturcon.es</t>
  </si>
  <si>
    <t>GIJÓN</t>
  </si>
  <si>
    <t>C/ EUSEBIO MIRANDA, 2, 3ºD</t>
  </si>
  <si>
    <t>33201.0</t>
  </si>
  <si>
    <t>SEVILLA SOLANO</t>
  </si>
  <si>
    <t>ESPECTÁCULOS FARO, S.L.</t>
  </si>
  <si>
    <t>espefaro@yahoo.es</t>
  </si>
  <si>
    <t>629-690344 657-297039</t>
  </si>
  <si>
    <t>PLAZA RISUEÑO (DE) Nº12 PLANTA BJ</t>
  </si>
  <si>
    <t>30202.0</t>
  </si>
  <si>
    <t>968-330013</t>
  </si>
  <si>
    <t>ÁNGEL LUIS</t>
  </si>
  <si>
    <t>SIERRA PLAZA</t>
  </si>
  <si>
    <t>TERRITORIO MUSICAL S.L.</t>
  </si>
  <si>
    <t>angel@territoriomusical.es info@territoriomusical.es contable@territoriomusical.es</t>
  </si>
  <si>
    <t>629-270257 963-214392</t>
  </si>
  <si>
    <t>www.territoriomusical.es</t>
  </si>
  <si>
    <t>AVDA. CONSTITUCIÓN Nº246, PUERTA 17</t>
  </si>
  <si>
    <t>46019.0</t>
  </si>
  <si>
    <t>SOLANO SOLA</t>
  </si>
  <si>
    <t>EXCLUSIVAS MILLÁN</t>
  </si>
  <si>
    <t>ps@exclusivasmillan.com camaya@exclusivasmillan.com</t>
  </si>
  <si>
    <t>607-144685 600-533610 651-954299</t>
  </si>
  <si>
    <t>www.exclusivasmillan.com</t>
  </si>
  <si>
    <t>C/ PACHECO Y NUÑEZ DEL PRADO Nº65, BAJO 1</t>
  </si>
  <si>
    <t>SOLÍS BARON</t>
  </si>
  <si>
    <t>LINE UP MUSIC</t>
  </si>
  <si>
    <t xml:space="preserve"> sergio@lineupmusic.es luis@lineupmusic.es</t>
  </si>
  <si>
    <t>630-072 352  646-110 567 660-885443</t>
  </si>
  <si>
    <t>www.lineupmusic.es</t>
  </si>
  <si>
    <t>TARRAGONA</t>
  </si>
  <si>
    <t>PASEO ESQUIROL 5, CASA 24</t>
  </si>
  <si>
    <t>43008.0</t>
  </si>
  <si>
    <t>977-253906</t>
  </si>
  <si>
    <t>SOTOMAYOR CONTRERAS</t>
  </si>
  <si>
    <t>VISUAL EVENTS COMUNICACIÓN Y PRODUCCIONES S.L.</t>
  </si>
  <si>
    <t>visualeventscomunicacion@gmail.com</t>
  </si>
  <si>
    <t>606-993104</t>
  </si>
  <si>
    <t>ALCANTARILLA</t>
  </si>
  <si>
    <t>AVDA. MARTÍNEZ CAMPOS Nº96, ESC.1,PLANTA 1,PTA OD</t>
  </si>
  <si>
    <t>PROMOTOR/AGENCIA DE COMUNICACIÓN</t>
  </si>
  <si>
    <t>30820.0</t>
  </si>
  <si>
    <t>SUÁREZ DE TOLEDO</t>
  </si>
  <si>
    <t>VOLTERETA RECORDS, S.L.</t>
  </si>
  <si>
    <t>www.volteretarecords.com</t>
  </si>
  <si>
    <t>C/ ISLA DE OZA, Nº 16</t>
  </si>
  <si>
    <t>28035.0</t>
  </si>
  <si>
    <t>MARUCHY</t>
  </si>
  <si>
    <t>SUÁREZ GARCÍA</t>
  </si>
  <si>
    <t>MIRMIDÓN PRODUCCIONES</t>
  </si>
  <si>
    <t>Maruchy.mirmidon@gmail.com</t>
  </si>
  <si>
    <t>667-706241</t>
  </si>
  <si>
    <t>www.mirmidon.es</t>
  </si>
  <si>
    <t>SADA</t>
  </si>
  <si>
    <t>C/ CASTELO OSEDO Nº 56 B</t>
  </si>
  <si>
    <t>15168.0</t>
  </si>
  <si>
    <t>SUBIRÓS MASANA</t>
  </si>
  <si>
    <t>REPRESENTACIONES ARTÍSTICAS SUBIRÓS,S.L.</t>
  </si>
  <si>
    <t>subiros@subiros.net</t>
  </si>
  <si>
    <t>973-600945</t>
  </si>
  <si>
    <t>www.subiros.net</t>
  </si>
  <si>
    <t>MOLLERUSA</t>
  </si>
  <si>
    <t>C/ FERRER i BUSQUETS, 64-66</t>
  </si>
  <si>
    <t>25230.0</t>
  </si>
  <si>
    <t>973-600644</t>
  </si>
  <si>
    <t>IVÁN</t>
  </si>
  <si>
    <t>TAGUA RODRÍGUEZ</t>
  </si>
  <si>
    <t>INDICA ENTERTAIMENT</t>
  </si>
  <si>
    <t>indicacanarias@gmail.com ivan.tagua@indicaproducciones.com</t>
  </si>
  <si>
    <t>616-181293</t>
  </si>
  <si>
    <t>www.indicaproducciones.com</t>
  </si>
  <si>
    <t>PASEO DE LA CASTELLANA Nº 210, PLANTA 7, PUERTA 10</t>
  </si>
  <si>
    <t>ALEXANDER</t>
  </si>
  <si>
    <t>TALAVERA MARTÍN</t>
  </si>
  <si>
    <t>SHOWLAND PRODUCCIONES, S.L.</t>
  </si>
  <si>
    <t>alex.talavera@showland.es</t>
  </si>
  <si>
    <t>677 133 221/Ext 4</t>
  </si>
  <si>
    <t xml:space="preserve"> www.showland.es</t>
  </si>
  <si>
    <t>PEPINO</t>
  </si>
  <si>
    <t>C/ BUENAVISTA Nº 6. POLÍGONO INDUSTRIAL BUENAVISTA</t>
  </si>
  <si>
    <t>AGENCIA DE ESPECTÁCULOS/PRODUCTOR/INFRAESTRUCTURAS</t>
  </si>
  <si>
    <t>45638.0</t>
  </si>
  <si>
    <t>TEN SÁNCHEZ</t>
  </si>
  <si>
    <t>SHIROTEN 10 SLU</t>
  </si>
  <si>
    <t>contratacion@shiroten.es info@shiroten.es</t>
  </si>
  <si>
    <t>649-093777</t>
  </si>
  <si>
    <t>www.shiroten.es</t>
  </si>
  <si>
    <t>"LIFE" AVDA. LOCUTOR VICENTE HIPÓLITO 39</t>
  </si>
  <si>
    <t>3540.0</t>
  </si>
  <si>
    <t>TOMÁS TIO</t>
  </si>
  <si>
    <t>DARLALATA ENTERTAINMENT</t>
  </si>
  <si>
    <t>contratacion@darlalata.net</t>
  </si>
  <si>
    <t>629-180416</t>
  </si>
  <si>
    <t>www.darlalata.net</t>
  </si>
  <si>
    <t>C/ MINISTRO ERNEST LLUCH Nº1, 1º B</t>
  </si>
  <si>
    <t>JOSÉ MARÍA (CHEMA)</t>
  </si>
  <si>
    <t>TORIJA RODRÍGUEZ</t>
  </si>
  <si>
    <t>LOCOS POR LA MÚSICA EVENTOS</t>
  </si>
  <si>
    <t>info@locosporlamusica.com</t>
  </si>
  <si>
    <t>639-146960</t>
  </si>
  <si>
    <t>www. locosporlamusica.com</t>
  </si>
  <si>
    <t>LOS HUEROS</t>
  </si>
  <si>
    <t>C/ HERRADURA Nº17</t>
  </si>
  <si>
    <t>TORRANO DÍAZ</t>
  </si>
  <si>
    <t>EMOTIONAL EVENTS</t>
  </si>
  <si>
    <t>www.emotionalevents.es</t>
  </si>
  <si>
    <t>C/ INFANTE DON LUIS Nº3, PISO 4, PTA. B</t>
  </si>
  <si>
    <t>28803.0</t>
  </si>
  <si>
    <t>MAGÍN</t>
  </si>
  <si>
    <t>TORRAS MORENO</t>
  </si>
  <si>
    <t>MUST PRODUCCIONES</t>
  </si>
  <si>
    <t>mtorras@mustproducciones.com management@mustproducciones.com</t>
  </si>
  <si>
    <t>637-396465</t>
  </si>
  <si>
    <t>www.mustproducciones.com</t>
  </si>
  <si>
    <t>C/ ALTAMIRANO, 50, BAJO LOCAL 2</t>
  </si>
  <si>
    <t>TORREJÓN GARVÍA</t>
  </si>
  <si>
    <t>PURO NERVIO S.L.</t>
  </si>
  <si>
    <t>maria@somospuronervio.com</t>
  </si>
  <si>
    <t>661-226753</t>
  </si>
  <si>
    <t>www.somospuronervio.com</t>
  </si>
  <si>
    <t>C/ ALEJANDRO SAINT AUBIN Nº5, BAJO 3</t>
  </si>
  <si>
    <t>EMILIO</t>
  </si>
  <si>
    <t>TORRES ECHEVARRIA</t>
  </si>
  <si>
    <t>ACTIVIDADES ARTÍSTICAS DEL ESPECTACULO, S.L.</t>
  </si>
  <si>
    <t>super@transluminaria.es</t>
  </si>
  <si>
    <t>91-8706742 699-924922</t>
  </si>
  <si>
    <t>www.transluminaria.es</t>
  </si>
  <si>
    <t>C/ PUERTO DE LA CRUZ VERDE Nº 23</t>
  </si>
  <si>
    <t>91-8706741</t>
  </si>
  <si>
    <t>TORRES HERNÁNDEZ</t>
  </si>
  <si>
    <t>rosa.torres@gtstalent.com</t>
  </si>
  <si>
    <t>TIZIANA</t>
  </si>
  <si>
    <t>VALENTINI</t>
  </si>
  <si>
    <t>TT MUSIC</t>
  </si>
  <si>
    <t>tiziana@ttmusic.es</t>
  </si>
  <si>
    <t>667-910544</t>
  </si>
  <si>
    <t>www.ttmusic.es</t>
  </si>
  <si>
    <t>PALMA</t>
  </si>
  <si>
    <t>CAMINO DE SON RAPINYA Nº 8 – 1ºB</t>
  </si>
  <si>
    <t>7013.0</t>
  </si>
  <si>
    <t>VALIÑO SUÁREZ</t>
  </si>
  <si>
    <t>OCKAM RECORDS, S.L.</t>
  </si>
  <si>
    <t>javier@ockamrecords.com noelia@ockamrecords.com</t>
  </si>
  <si>
    <t>633-055276 690-067713</t>
  </si>
  <si>
    <t>www.ockamrecords.com</t>
  </si>
  <si>
    <t>C/ SOR ÁNGELA DE LA CRUZ Nº26, PLANTA 8 – 01</t>
  </si>
  <si>
    <t>JUAN JOSÉ</t>
  </si>
  <si>
    <t>VEGA IGLESIAS</t>
  </si>
  <si>
    <t>VESAN MUSIC S.L.</t>
  </si>
  <si>
    <t>contrataciones@vesanmusic.es</t>
  </si>
  <si>
    <t>954-461369 629-682353</t>
  </si>
  <si>
    <t>ISLA DE LA CARTUJA</t>
  </si>
  <si>
    <t>C/ MATEMÁTICOS REY PASTOR Y CASTRO Nº3</t>
  </si>
  <si>
    <t>41092.0</t>
  </si>
  <si>
    <t>VEGARA ARANDA</t>
  </si>
  <si>
    <t>MONKEY PRO</t>
  </si>
  <si>
    <t>alberto@monkeyproduccion.com</t>
  </si>
  <si>
    <t>671-424028</t>
  </si>
  <si>
    <t>www.monkeyproduccion.com</t>
  </si>
  <si>
    <t>C/ VICENTE ALEIXANDRE Nº7, 5º F</t>
  </si>
  <si>
    <t>30011.0</t>
  </si>
  <si>
    <t>VIEDMA FRAGOSO</t>
  </si>
  <si>
    <t>IRUFEST PRODUCCIONES S.L.</t>
  </si>
  <si>
    <t>juanjo@irufest.com</t>
  </si>
  <si>
    <t>659-824373</t>
  </si>
  <si>
    <t>www.irufest.com</t>
  </si>
  <si>
    <t>AVDA. DE VILLAVA, 8, 1º D</t>
  </si>
  <si>
    <t>PRODUCTOR/DIRECTOR FESTIVAL</t>
  </si>
  <si>
    <t>31015.0</t>
  </si>
  <si>
    <t>BEATRIZ</t>
  </si>
  <si>
    <t>VILAR SAYAR</t>
  </si>
  <si>
    <t>EL DROMEDARIO RECORDS</t>
  </si>
  <si>
    <t>contratacion@eldromedariorecords.com</t>
  </si>
  <si>
    <t>948-111263</t>
  </si>
  <si>
    <t>www.eldromedariorecords.com</t>
  </si>
  <si>
    <t>BARAÑAIN</t>
  </si>
  <si>
    <t>AVDA. DE LOS DEPORTES Nº4, 1ºA</t>
  </si>
  <si>
    <t>PRODUCTOR/DISCOGRÁFICA</t>
  </si>
  <si>
    <t>31010.0</t>
  </si>
  <si>
    <t>GUSTAVO</t>
  </si>
  <si>
    <t>VILLAMAR CRESPO</t>
  </si>
  <si>
    <t>VENUES IBÉRICA S.L.</t>
  </si>
  <si>
    <t>gvillamar@venues.es info@venues.es</t>
  </si>
  <si>
    <t>609-832349</t>
  </si>
  <si>
    <t>CAMBRE</t>
  </si>
  <si>
    <t>POLÍGONO ESPÍRITU SANTO C/ ZEPPELING Nº23, NAVE 11</t>
  </si>
  <si>
    <t>15650.0</t>
  </si>
  <si>
    <t>MANUEL JOSÉ</t>
  </si>
  <si>
    <t>VILLEGAS</t>
  </si>
  <si>
    <t>TOTALISIMO, S.L.</t>
  </si>
  <si>
    <t>direccion@totalisimo.com</t>
  </si>
  <si>
    <t xml:space="preserve"> 670-666023</t>
  </si>
  <si>
    <t>www.totalisimo.com www.manuelvillegas.com</t>
  </si>
  <si>
    <t>TORREMOLINOS</t>
  </si>
  <si>
    <t>C/ CASABLANCA 9-11 BAJO</t>
  </si>
  <si>
    <t>29620.0</t>
  </si>
  <si>
    <t>VINNUESA</t>
  </si>
  <si>
    <t>VVV ARTIST MANAGEMENT</t>
  </si>
  <si>
    <t>carlosvinnuesa@gmail.com</t>
  </si>
  <si>
    <t>636-506500</t>
  </si>
  <si>
    <t>PASAJE DE PRADILLO Nº19, Esc 1, Planta 01, Pta Izq,1ºA</t>
  </si>
  <si>
    <t>MANAGEMEMT</t>
  </si>
  <si>
    <t>JOKIN</t>
  </si>
  <si>
    <t>ZAMARBIDE BACAIOCA</t>
  </si>
  <si>
    <t>IN&amp;OUT PRODUCCIONES</t>
  </si>
  <si>
    <t>jzamarbide@inoutproducciones.com</t>
  </si>
  <si>
    <t>629-474309</t>
  </si>
  <si>
    <t>www.inoutproducciones.com</t>
  </si>
  <si>
    <t>C/ ZAPATERÍA Nº50 ENTREPLANTA A</t>
  </si>
  <si>
    <t>AGENCIA DE ESPECTÁCULOS/PROMOTOR/MANAGEMENT/PRODUCTOR/DIRECTOR/SERVICIOS AUXILIARES</t>
  </si>
  <si>
    <t>31003.0</t>
  </si>
  <si>
    <t>948-226139</t>
  </si>
  <si>
    <t>CÉSAR</t>
  </si>
  <si>
    <t>ZAPPA</t>
  </si>
  <si>
    <t>ROCK &amp; FASHION</t>
  </si>
  <si>
    <t>zappa@rockandfashion.es</t>
  </si>
  <si>
    <t>91-2622681 672-601309</t>
  </si>
  <si>
    <t xml:space="preserve"> www.rockandfashion.es</t>
  </si>
  <si>
    <t>C/ CANILLAS Nº64 – LOCAL</t>
  </si>
  <si>
    <t>Especialidad</t>
  </si>
  <si>
    <t>Representante</t>
  </si>
  <si>
    <t>Dirección Representante</t>
  </si>
  <si>
    <t>Teléfono Representante</t>
  </si>
  <si>
    <t>Correo Representante</t>
  </si>
  <si>
    <t>Web Representante</t>
  </si>
  <si>
    <t>10&amp;10 Danza S.L</t>
  </si>
  <si>
    <t>mrunde@10y10danza.com</t>
  </si>
  <si>
    <t>649 356 600</t>
  </si>
  <si>
    <t>https://www.teatro.es/guiarte/10-10-danza-s-l-64270</t>
  </si>
  <si>
    <t>C/ Calle de la Paz, 9, 4º - Madrid (Madrid)</t>
  </si>
  <si>
    <t>Mónica Runde</t>
  </si>
  <si>
    <t>Compañía Teatro/Danza</t>
  </si>
  <si>
    <t>Teatro-danza</t>
  </si>
  <si>
    <t>Clara Pérez Distribución. Pérez y Goldstein S.L</t>
  </si>
  <si>
    <t>Apartado de Correos 23 - 28210 - Valdemorillo (Madrid)</t>
  </si>
  <si>
    <t>918 977 770 - 619 189 284</t>
  </si>
  <si>
    <t>clarape90@hotmail.com; info@claraperezdistribucion.com</t>
  </si>
  <si>
    <t>www.claraperezdistribucion.com</t>
  </si>
  <si>
    <t>13días</t>
  </si>
  <si>
    <t>germandelaru@gmail.com</t>
  </si>
  <si>
    <t>679 165 558</t>
  </si>
  <si>
    <t>https://www.teatro.es/guiarte/13dias-65001</t>
  </si>
  <si>
    <t>C/ Alcalde López Casero, 16 6B - 28027 - Madrid (Madrid)</t>
  </si>
  <si>
    <t>Itsaso Iribarren; Germán de la Riva</t>
  </si>
  <si>
    <t>Teatro-danza; Performance-Acciones-Instalaciones; Circo; Animaciones; Teatro-circo</t>
  </si>
  <si>
    <t>2 Galeras Producciones</t>
  </si>
  <si>
    <t>info@2galerasproducciones.com</t>
  </si>
  <si>
    <t>627 597 936</t>
  </si>
  <si>
    <t>https://www.teatro.es/guiarte/2-galeras-producciones-101495</t>
  </si>
  <si>
    <t>Urrácal</t>
  </si>
  <si>
    <t>C/ Fraile Pepe, 21 - 04879 - Urrácal (Almería)</t>
  </si>
  <si>
    <t>Teatro de objetos; Teatro-danza; Performance-Acciones-Instalaciones; Teatro musical; Narración oral escénica; Variedades; Animaciones; Teatro gestual - Teatro del movimiento; Teatro de texto</t>
  </si>
  <si>
    <t>23 Arts-Brothers Projections</t>
  </si>
  <si>
    <t>arts@abaforum.es</t>
  </si>
  <si>
    <t>938 480 499</t>
  </si>
  <si>
    <t>https://www.teatro.es/guiarte/23-arts-brothers-projections-31824</t>
  </si>
  <si>
    <t>Santa Maria de Palautordera</t>
  </si>
  <si>
    <t>Apartado de Correos 47 - 08460 - Santa Maria de Palautordera (Barcelona)</t>
  </si>
  <si>
    <t>Roser Vilà Puig; Jordi Fábregas Vilà; Angels Serra Busoms</t>
  </si>
  <si>
    <t>Teatro de objetos; Teatro-danza; Performance-Acciones-Instalaciones; Variedades; Circo; Animaciones; Teatro gestual - Teatro del movimiento; Teatro de texto; Teatro-circo</t>
  </si>
  <si>
    <t>23 Razones Creaciones Artísticas</t>
  </si>
  <si>
    <t>23razones@gmail.com</t>
  </si>
  <si>
    <t>917 256 107</t>
  </si>
  <si>
    <t>https://www.teatro.es/guiarte/23-razones-creaciones-artisticas-65150</t>
  </si>
  <si>
    <t>C/ Alejandrina Morán 27 2º Izq - 28047 - Madrid (Madrid)</t>
  </si>
  <si>
    <t>Lolo Martín</t>
  </si>
  <si>
    <t>Teatro-danza; Teatro musical; Teatro de texto</t>
  </si>
  <si>
    <t>A Pie de Guerra</t>
  </si>
  <si>
    <t>ahoracien@gmail.com</t>
  </si>
  <si>
    <t>652 542 980</t>
  </si>
  <si>
    <t>https://www.teatro.es/guiarte/a-pie-de-guerra-93968</t>
  </si>
  <si>
    <t>Santa Isabel, 27, 1º Ext - 28012 - Madrid (Madrid)</t>
  </si>
  <si>
    <t>Marina Barba; Esteban Bruno</t>
  </si>
  <si>
    <t>Teatro-danza; Teatro de texto</t>
  </si>
  <si>
    <t>A Produccions Artísticas S, S.L. A Artística</t>
  </si>
  <si>
    <t>aartisticavigo@gmail.com</t>
  </si>
  <si>
    <t>679 449 976 - 986 425 392</t>
  </si>
  <si>
    <t>https://www.teatro.es/guiarte/a-produccions-artisticas-s-s-l-a-artistica-54839</t>
  </si>
  <si>
    <t>Calle Barcelona 35, Baixo - 36203 - Vigo (Pontevedra)</t>
  </si>
  <si>
    <t>Olga Cameselle Estévez; Alfredo Rodríguez Fernández</t>
  </si>
  <si>
    <t>Teatro-danza; Performance-Acciones-Instalaciones; Teatro de texto</t>
  </si>
  <si>
    <t>A Ras</t>
  </si>
  <si>
    <t>a.ras.contacto@gmail.com</t>
  </si>
  <si>
    <t>666 114 518</t>
  </si>
  <si>
    <t>https://www.teatro.es/guiarte/a-ras-36726</t>
  </si>
  <si>
    <t>Calle Aldea del Fresno, 23 - 28045 - Madrid (Madrid)</t>
  </si>
  <si>
    <t>Alberto Menéndez García; Evelyn Viamonte Borges</t>
  </si>
  <si>
    <t>A.C. Nada en la Nevera</t>
  </si>
  <si>
    <t>confesiones.produccion@gmail.com</t>
  </si>
  <si>
    <t>676 391 938 - 607 857 577</t>
  </si>
  <si>
    <t>https://www.teatro.es/guiarte/a-c-nada-en-la-nevera-62954</t>
  </si>
  <si>
    <t>Paseo de la Florida, 27 - Madrid (Madrid)</t>
  </si>
  <si>
    <t>Jon Corcuera; Arturo Turón; Ana López; Eva Marcelo</t>
  </si>
  <si>
    <t>Teatro-danza; Narración oral escénica; Teatro de texto</t>
  </si>
  <si>
    <t>AIREnoAR</t>
  </si>
  <si>
    <t>alyama_22@yahoo.es; airenoar@gmail.com</t>
  </si>
  <si>
    <t>645 496 375 - 699 570 188</t>
  </si>
  <si>
    <t>https://www.teatro.es/guiarte/airenoar-65173</t>
  </si>
  <si>
    <t>C/Juan Canalejo, 18A , 1ºA - 15003 - A Coruña (A Coruña)</t>
  </si>
  <si>
    <t>Maria Rodriguez Ramos; Alvar Reboredo Ortega</t>
  </si>
  <si>
    <t>Teatro de objetos; Teatro-danza; Circo; Teatro gestual - Teatro del movimiento</t>
  </si>
  <si>
    <t>Abocca Volta</t>
  </si>
  <si>
    <t>laforastera@live.com</t>
  </si>
  <si>
    <t>639 577 053 - 699 96 84 81 - 913 546 182</t>
  </si>
  <si>
    <t>https://www.teatro.es/guiarte/abocca-volta-34138</t>
  </si>
  <si>
    <t>Paloma, 5, 3º 5 - 28005 - Madrid (Madrid)</t>
  </si>
  <si>
    <t>Maryluz Arcas; María Burgos</t>
  </si>
  <si>
    <t>Abocca Volta Danza</t>
  </si>
  <si>
    <t>Ferraz, 37, 1º Centro - Madrid (Madrid)</t>
  </si>
  <si>
    <t>Aborigine Producciones</t>
  </si>
  <si>
    <t>aborigineproducciones@gmail.com</t>
  </si>
  <si>
    <t>946 315 574 - 661 924  387</t>
  </si>
  <si>
    <t>https://www.teatro.es/guiarte/aborigine-producciones-35178</t>
  </si>
  <si>
    <t>Igorre</t>
  </si>
  <si>
    <t>Mikele Deuna, 26 - 48140 - Igorre (Vizcaya)</t>
  </si>
  <si>
    <t>Marisa Lafuente Rodríguez; Peru C. Saban</t>
  </si>
  <si>
    <t>Larrua Creaciones</t>
  </si>
  <si>
    <t>Pgno. Ind. Landetxe, 27 - 48480 - Zaratamo (Vizcaya)</t>
  </si>
  <si>
    <t>946 711 289 - 669 266 146</t>
  </si>
  <si>
    <t>www.larrua.net</t>
  </si>
  <si>
    <t>Acierto Artistas S.L</t>
  </si>
  <si>
    <t>info@aciertoartistas.com</t>
  </si>
  <si>
    <t>656 666 310 - 963 366 623</t>
  </si>
  <si>
    <t>https://www.teatro.es/guiarte/acierto-artistas-s-l-34908</t>
  </si>
  <si>
    <t>Historiador Diago, 21, Pt 4 - 46007 - Valencia (Valencia)</t>
  </si>
  <si>
    <t>Rafa Murgui Muñoz; Lomi Szil</t>
  </si>
  <si>
    <t>Teatro de objetos; Teatro-danza; Performance-Acciones-Instalaciones; Variedades; Circo; Animaciones; Teatro gestual - Teatro del movimiento; Teatro-circo</t>
  </si>
  <si>
    <t>Acrónica Producciones S.L</t>
  </si>
  <si>
    <t>info@acronicaproducciones.com</t>
  </si>
  <si>
    <t>620 836 486</t>
  </si>
  <si>
    <t>https://www.teatro.es/guiarte/acronica-producciones-s-l-65200</t>
  </si>
  <si>
    <t>C/ Luis Morondo, 14, 4ºA - 31006 - Pamplona (Navarra)</t>
  </si>
  <si>
    <t>David Bernués Suárez</t>
  </si>
  <si>
    <t>Acting Jack Flash. AJF</t>
  </si>
  <si>
    <t>cia.actingjackflash@gmail.com</t>
  </si>
  <si>
    <t>609 366 851</t>
  </si>
  <si>
    <t>https://www.teatro.es/guiarte/acting-jack-flash-ajf-35017</t>
  </si>
  <si>
    <t>Pere IV 228 - 08005 - Barcelona (Barcelona)</t>
  </si>
  <si>
    <t>Christian Renault</t>
  </si>
  <si>
    <t>Teatro-danza; Animaciones; Teatro de texto</t>
  </si>
  <si>
    <t>Ada Vilaró</t>
  </si>
  <si>
    <t>adavilarocasals@yahoo.es</t>
  </si>
  <si>
    <t>660 071 814</t>
  </si>
  <si>
    <t>https://www.teatro.es/guiarte/ada-vilaro-103663</t>
  </si>
  <si>
    <t>Carrer pallars, 277 - 28005 - Barcelona (Barcelona)</t>
  </si>
  <si>
    <t>Ada Vilaró Casals</t>
  </si>
  <si>
    <t>Teatro-danza; Performance-Acciones-Instalaciones</t>
  </si>
  <si>
    <t>Addaura Teatre Visual</t>
  </si>
  <si>
    <t>teiamoner@gmail.com</t>
  </si>
  <si>
    <t>600 510 639 - 938 645 834</t>
  </si>
  <si>
    <t>https://www.teatro.es/guiarte/addaura-teatre-visual-102396</t>
  </si>
  <si>
    <t>Palau-Solità i Plegamans</t>
  </si>
  <si>
    <t>c/ Sant Miquel, 4 - 08184 - Palau-Solità i Plegamans (Barcelona)</t>
  </si>
  <si>
    <t>Teia Moner</t>
  </si>
  <si>
    <t>Teatro de objetos; Teatro-danza; Variedades; Animaciones; Teatro gestual - Teatro del movimiento</t>
  </si>
  <si>
    <t>Ados Teatroa S.L.</t>
  </si>
  <si>
    <t>adosteatroa@adosteatroa.com; nekane@adosteatroa.com</t>
  </si>
  <si>
    <t>943 278 109</t>
  </si>
  <si>
    <t>https://www.teatro.es/guiarte/ados-teatroa-s-l-3147</t>
  </si>
  <si>
    <t>Astigarraga</t>
  </si>
  <si>
    <t>Guipúzcoa</t>
  </si>
  <si>
    <t>Donostia Ibilbidea, 102, Pabellón 2 - 2015 - Astigarraga (Guipúzcoa)</t>
  </si>
  <si>
    <t>José Antonio Vitoria Armendáriz; Garbi Losada Atutxa</t>
  </si>
  <si>
    <t>Teatro-danza; Teatro musical; Teatro gestual - Teatro del movimiento; Teatro de texto</t>
  </si>
  <si>
    <t>Akántaros</t>
  </si>
  <si>
    <t>akantaros@gmail.com</t>
  </si>
  <si>
    <t>677 446 177</t>
  </si>
  <si>
    <t>https://www.teatro.es/guiarte/akantaros-5336</t>
  </si>
  <si>
    <t>Maestro Arbós 3 0f 106 - 28045 - Madrid (Madrid)</t>
  </si>
  <si>
    <t>Laura Szwarc</t>
  </si>
  <si>
    <t>Teatro-danza; Performance-Acciones-Instalaciones; Narración oral escénica; Teatro de texto</t>
  </si>
  <si>
    <t>Al Descubierto Teatro</t>
  </si>
  <si>
    <t>inventoprod@gmail.com; nataliya.andru@gmail.com</t>
  </si>
  <si>
    <t>622 310 792 - 665 798 472</t>
  </si>
  <si>
    <t>https://www.teatro.es/guiarte/al-descubierto-teatro-101116</t>
  </si>
  <si>
    <t>Calle Brígida Alonso, 5, 4a - 28038 - Madrid (Madrid)</t>
  </si>
  <si>
    <t>Nataliya Andrukhnenko</t>
  </si>
  <si>
    <t>Al Fin y al Cabo</t>
  </si>
  <si>
    <t>distribucion@teloneras.com</t>
  </si>
  <si>
    <t>695 553 494</t>
  </si>
  <si>
    <t>https://www.teatro.es/guiarte/al-fin-y-al-cabo-94218</t>
  </si>
  <si>
    <t>Marbella</t>
  </si>
  <si>
    <t>C/ Ricardo Soriano, 27 - 18071 - Marbella (Málaga)</t>
  </si>
  <si>
    <t>Rafael Ruiz González</t>
  </si>
  <si>
    <t>Teloneras</t>
  </si>
  <si>
    <t>C/ Manuel de palacio, 18 - 29017 - Málaga (Málaga)</t>
  </si>
  <si>
    <t>Alberto Velasco</t>
  </si>
  <si>
    <t>info@alberto-velasco.com</t>
  </si>
  <si>
    <t>625 535 642</t>
  </si>
  <si>
    <t>https://www.teatro.es/guiarte/alberto-velasco-34951</t>
  </si>
  <si>
    <t>La Cistérniga</t>
  </si>
  <si>
    <t>Plaza Barrioncillo, 4 - 47193 - La Cistérniga (Valladolid)</t>
  </si>
  <si>
    <t>Camaleón Producciones Artísticas S.L</t>
  </si>
  <si>
    <t>C/ Coinvasa, 12, Local - 47009 - Valladolid (Valladolid)</t>
  </si>
  <si>
    <t>Alex Rojo. Aidos Teatro</t>
  </si>
  <si>
    <t>aidosteatro@gmail.com</t>
  </si>
  <si>
    <t>685 553 424</t>
  </si>
  <si>
    <t>https://www.teatro.es/guiarte/alex-rojo-aidos-teatro-102698</t>
  </si>
  <si>
    <t>C/ Álamo, 22 B - 28939 - Arroyomolinos (Madrid)</t>
  </si>
  <si>
    <t>Alicia Soto. Hojarasca</t>
  </si>
  <si>
    <t>hojarasca@hojarasca-danza.es; alicia@hojarasca-danza.es</t>
  </si>
  <si>
    <t>619 400 184 - 947 251 337</t>
  </si>
  <si>
    <t>https://www.teatro.es/guiarte/alicia-soto-hojarasca-33668</t>
  </si>
  <si>
    <t>C/ Andrés Martínez Zatorre - 09002 - Burgos (Burgos)</t>
  </si>
  <si>
    <t>Alicia Soto Solas</t>
  </si>
  <si>
    <t>Alodeyá Circo Danza</t>
  </si>
  <si>
    <t>ciaalodeya@gmail.com</t>
  </si>
  <si>
    <t>627 622 744</t>
  </si>
  <si>
    <t>https://www.teatro.es/guiarte/alodeya-circo-danza-65238</t>
  </si>
  <si>
    <t>Conde de la Viñaza, 5 - 50017 - Zaragoza (Zaragoza)</t>
  </si>
  <si>
    <t>Eduardo Lostal Lanza</t>
  </si>
  <si>
    <t>Teatro-danza; Circo; Teatro-circo</t>
  </si>
  <si>
    <t>Alta Realitat</t>
  </si>
  <si>
    <t>altarealitat@altarealitat.com</t>
  </si>
  <si>
    <t>934 240 087</t>
  </si>
  <si>
    <t>https://www.teatro.es/guiarte/alta-realitat-5192</t>
  </si>
  <si>
    <t>Córcega, 417, Local - 08037 - Barcelona (Barcelona)</t>
  </si>
  <si>
    <t>Ferran Audí; Jordi Cortés; Raúl Perales</t>
  </si>
  <si>
    <t>Ferran Audí</t>
  </si>
  <si>
    <t>Sant Doménec, 17, Ppal. 2ª - 08012 - Barcelona (Barcelona)</t>
  </si>
  <si>
    <t>Amaeru</t>
  </si>
  <si>
    <t>https://www.teatro.es/guiarte/amaeru-107385</t>
  </si>
  <si>
    <t>Calle Beatriz Galindo, 4 - 28005 - Madrid (Madrid)</t>
  </si>
  <si>
    <t>Óscar Contreras</t>
  </si>
  <si>
    <t>Rovima Producciones</t>
  </si>
  <si>
    <t>C/ Castello 36 - 1 A - 28001 - Madrid (Madrid)</t>
  </si>
  <si>
    <t>646 838 173</t>
  </si>
  <si>
    <t>info@rovima.es; sandra@rovima.es; contacto@rovima.es</t>
  </si>
  <si>
    <t>www.rovima.es</t>
  </si>
  <si>
    <t>Ambulantes Teatro y Danza</t>
  </si>
  <si>
    <t>ambulantesteatrodanza@gmail.com</t>
  </si>
  <si>
    <t>617 364 169 - 967 222 720</t>
  </si>
  <si>
    <t>https://www.teatro.es/guiarte/ambulantes-teatro-y-danza-5107</t>
  </si>
  <si>
    <t>Ríos Rosas, 91 - 02004 - Albacete (Albacete)</t>
  </si>
  <si>
    <t>Juan Cifuentes Serrano</t>
  </si>
  <si>
    <t>Anabel Veloso Compañía</t>
  </si>
  <si>
    <t>info@anabelveloso.com</t>
  </si>
  <si>
    <t>610 423 675</t>
  </si>
  <si>
    <t>https://www.teatro.es/guiarte/anabel-veloso-compañia-102689</t>
  </si>
  <si>
    <t>Almerimar</t>
  </si>
  <si>
    <t>Calle Fragata, 48 - 04711 - Almerimar (Almería)</t>
  </si>
  <si>
    <t>Anabel Veloso</t>
  </si>
  <si>
    <t>Teatro-danza; Recitales</t>
  </si>
  <si>
    <t>Ananda Dansa</t>
  </si>
  <si>
    <t>anandadansa@anandadansa.com</t>
  </si>
  <si>
    <t>607 518 200 - 607 611 599</t>
  </si>
  <si>
    <t>https://www.teatro.es/guiarte/ananda-dansa-4082</t>
  </si>
  <si>
    <t>Valencia (Valencia)</t>
  </si>
  <si>
    <t>Edison Valls; Rosángeles Valls</t>
  </si>
  <si>
    <t>Toñi Arranz Producciones; Serveis de l'Espectacle Focus S.A</t>
  </si>
  <si>
    <t>Àvila, 149-155 - 08018 - Barcelona (Barcelona)</t>
  </si>
  <si>
    <t>933 097 538</t>
  </si>
  <si>
    <t>info@focus.cat</t>
  </si>
  <si>
    <t>www.focus.es</t>
  </si>
  <si>
    <t>Andrea Díaz Reboredo</t>
  </si>
  <si>
    <t>andy_diaz@hotmail.com</t>
  </si>
  <si>
    <t>699 592 931</t>
  </si>
  <si>
    <t>https://www.teatro.es/guiarte/andrea-diaz-reboredo-102330</t>
  </si>
  <si>
    <t>Pozuelo</t>
  </si>
  <si>
    <t>Brea de Aragón, 19 - 28224 - Pozuelo (Madrid)</t>
  </si>
  <si>
    <t>Teatro de objetos; Teatro-danza; Performance-Acciones-Instalaciones; Narración oral escénica; Teatro gestual - Teatro del movimiento; Teatro de texto; Teatro de sombras; Teatro-circo</t>
  </si>
  <si>
    <t>Animasur</t>
  </si>
  <si>
    <t>info@animasur.es</t>
  </si>
  <si>
    <t>657 080 702 - 617 601 232</t>
  </si>
  <si>
    <t>https://www.teatro.es/guiarte/animasur-3184</t>
  </si>
  <si>
    <t>Cuesta de los Molinos, 7 y 9 bajo - 18008 - Granada (Granada)</t>
  </si>
  <si>
    <t>José Antonio Pascual Garrido</t>
  </si>
  <si>
    <t>Teatro-danza; Artes de calle; Performance-Acciones-Instalaciones; Animaciones; Teatro gestual - Teatro del movimiento; Teatro-circo</t>
  </si>
  <si>
    <t>Antonella d'Ascenzi. Rouxx2</t>
  </si>
  <si>
    <t>info@antonelladascenzi.com</t>
  </si>
  <si>
    <t>622 887 775</t>
  </si>
  <si>
    <t>https://www.teatro.es/guiarte/antonella-d-ascenzi-rouxx2-94159</t>
  </si>
  <si>
    <t>08301 - Barcelona (Barcelona)</t>
  </si>
  <si>
    <t>Teatro-danza; Performance-Acciones-Instalaciones; Teatro gestual - Teatro del movimiento</t>
  </si>
  <si>
    <t>Apata Teatro</t>
  </si>
  <si>
    <t>apatateatro@apatateatro.com; apataproduccion@hotmail.com; pepebornas@hotmail.com</t>
  </si>
  <si>
    <t>629 039 463 - 656 332 925</t>
  </si>
  <si>
    <t>https://www.teatro.es/guiarte/apata-teatro-6617</t>
  </si>
  <si>
    <t>Tabernillas, 15, Bajo Dcha - 28005 - Madrid (Madrid)</t>
  </si>
  <si>
    <t>José Bornás; Jesús Laiz</t>
  </si>
  <si>
    <t>Teatro-danza; Teatro musical; Narración oral escénica; Teatro gestual - Teatro del movimiento; Teatro de texto</t>
  </si>
  <si>
    <t>Aqù Teatro</t>
  </si>
  <si>
    <t>aquteatro@gmail.com</t>
  </si>
  <si>
    <t>605 923 172 - 657 689 420</t>
  </si>
  <si>
    <t>https://www.teatro.es/guiarte/aqu-teatro-6063</t>
  </si>
  <si>
    <t>Santa Catalina Baja, 3 - 18009 - Granada (Granada)</t>
  </si>
  <si>
    <t>Paulo Sciutto; Paula Susperregui</t>
  </si>
  <si>
    <t>Ara Malikian</t>
  </si>
  <si>
    <t>lea@aramalikian.com</t>
  </si>
  <si>
    <t>639 579 946</t>
  </si>
  <si>
    <t>https://www.teatro.es/guiarte/ara-malikian-55191</t>
  </si>
  <si>
    <t>c/ Palma, 7- ático - 28004 - Madrid (Madrid)</t>
  </si>
  <si>
    <t>Lea Sanvenero</t>
  </si>
  <si>
    <t>Teatro-danza; Performance-Acciones-Instalaciones; Teatro musical; Narración oral escénica; Variedades; Zarzuela; Teatro de texto</t>
  </si>
  <si>
    <t>Big Star Music</t>
  </si>
  <si>
    <t>c/ Don Jaime I, 17- 2º B - 50001 - Zaragoza (Zaragoza)</t>
  </si>
  <si>
    <t>Aracaladanza</t>
  </si>
  <si>
    <t>arantza@aracaladanza.com; ecabrera@aracaladanza.com</t>
  </si>
  <si>
    <t>687 596 177 - 913 693 564</t>
  </si>
  <si>
    <t>https://www.teatro.es/guiarte/aracaladanza-3691</t>
  </si>
  <si>
    <t>Santa Brígida, 31, 3º Izda - 28004 - Madrid (Madrid)</t>
  </si>
  <si>
    <t>Enrique Cabrera Palacios; Javier Torres Ochandiano</t>
  </si>
  <si>
    <t>Teatro de objetos; Teatro-danza</t>
  </si>
  <si>
    <t>Luis Alberto Muyo García</t>
  </si>
  <si>
    <t>Ríos Rosas, 54 - 28003 - Madrid (Madrid)</t>
  </si>
  <si>
    <t>630 035 923</t>
  </si>
  <si>
    <t>alberto-muyo@telefonica.net</t>
  </si>
  <si>
    <t>Arena Teatro</t>
  </si>
  <si>
    <t>pepe@arenateatro.com; vicenta@arenateatro.com; arena@arenateatro.com</t>
  </si>
  <si>
    <t>968 217 548</t>
  </si>
  <si>
    <t>https://www.teatro.es/guiarte/arena-teatro-31733</t>
  </si>
  <si>
    <t>Plaza San Julián, 3 1º - 30004 - Murcia (Murcia)</t>
  </si>
  <si>
    <t>Vicenta Hellín Martínez</t>
  </si>
  <si>
    <t>Teatro-danza; Performance-Acciones-Instalaciones; Teatro musical; Teatro de texto</t>
  </si>
  <si>
    <t>Armatoste Teatro</t>
  </si>
  <si>
    <t>armatosteteatro@hotmail.com</t>
  </si>
  <si>
    <t>639 494 274</t>
  </si>
  <si>
    <t>https://www.teatro.es/guiarte/armatoste-teatro-36229</t>
  </si>
  <si>
    <t>Villanueva de la Jara</t>
  </si>
  <si>
    <t>C/ Paseo, 1 - 16230 - Villanueva de la Jara (Cuenca)</t>
  </si>
  <si>
    <t>Manuel Minaya</t>
  </si>
  <si>
    <t>Teatro-danza; Teatro gestual - Teatro del movimiento; Teatro de texto</t>
  </si>
  <si>
    <t>Arriera Antzerki</t>
  </si>
  <si>
    <t>info@arriera.eu</t>
  </si>
  <si>
    <t>636 713 553 - 946 419 174</t>
  </si>
  <si>
    <t>https://www.teatro.es/guiarte/arriera-antzerki-105303</t>
  </si>
  <si>
    <t>C/ Aretxaga 4 - 48003 - Bilbao (Vizcaya)</t>
  </si>
  <si>
    <t>María Ramírez Luengo</t>
  </si>
  <si>
    <t>Teatro de objetos; Teatro-danza; Artes de calle; Performance-Acciones-Instalaciones; Variedades</t>
  </si>
  <si>
    <t>Arte Factor S.L</t>
  </si>
  <si>
    <t>arte-factor@arte-factor.com</t>
  </si>
  <si>
    <t>915 401 317 - 619 284 534</t>
  </si>
  <si>
    <t>https://www.teatro.es/guiarte/arte-factor-s-l-62707</t>
  </si>
  <si>
    <t>C/ Gaztambide, 21 3º dcha A - 28015 - Madrid (Madrid)</t>
  </si>
  <si>
    <t>José Claudio Izquierdo</t>
  </si>
  <si>
    <t>Teatro-danza; Teatro musical; Variedades; Teatro de texto</t>
  </si>
  <si>
    <t>Arte de Urgencia. ADU</t>
  </si>
  <si>
    <t>info@artedeurgencia.com; solbibriesca@gmail.com</t>
  </si>
  <si>
    <t>639 455 763</t>
  </si>
  <si>
    <t>https://www.teatro.es/guiarte/arte-de-urgencia-adu-101060</t>
  </si>
  <si>
    <t>Calle Amparo, 92, esc. int, 4º 4 - 28012 - Madrid (Madrid)</t>
  </si>
  <si>
    <t>David Trueba</t>
  </si>
  <si>
    <t>Teatro-danza; Performance-Acciones-Instalaciones; Teatro gestual - Teatro del movimiento; Teatro de texto</t>
  </si>
  <si>
    <t>Artextrema Producciones S.L.</t>
  </si>
  <si>
    <t>artextremaproducciones@gmail.com</t>
  </si>
  <si>
    <t>https://www.teatro.es/guiarte/artextrema-producciones-s-l-101552</t>
  </si>
  <si>
    <t>Monesterio</t>
  </si>
  <si>
    <t>Romeral, 3 - 06260 - Monesterio (Badajoz)</t>
  </si>
  <si>
    <t>Manuela Sánchez Sánchez</t>
  </si>
  <si>
    <t>Artibus</t>
  </si>
  <si>
    <t>info@artibus.es</t>
  </si>
  <si>
    <t>917 405 301 - 917 405 292 - 917 301 750 - 917 405 274</t>
  </si>
  <si>
    <t>https://www.teatro.es/guiarte/artibus-3785</t>
  </si>
  <si>
    <t>Teatro de Madrid. Avda. de la Ilustración, s/n - 28029 - Madrid (Madrid)</t>
  </si>
  <si>
    <t>José Manuel Garrido Guzmán</t>
  </si>
  <si>
    <t>Paseo Club Deportivo, 2, Vivienda 99 - 28223 - Pozuelo de Alarcón (Madrid)</t>
  </si>
  <si>
    <t>Arymux</t>
  </si>
  <si>
    <t>arymux@arymux.com</t>
  </si>
  <si>
    <t>https://www.teatro.es/guiarte/arymux-104439</t>
  </si>
  <si>
    <t>48011 - Bilbao (Vizcaya)</t>
  </si>
  <si>
    <t>Rakel Rodríguez Ruiz</t>
  </si>
  <si>
    <t>Teatro-danza; Performance-Acciones-Instalaciones; Teatro musical; Narración oral escénica; Teatro gestual - Teatro del movimiento; Recitales; Lecturas dramatizadas-semimontajes</t>
  </si>
  <si>
    <t>As. Verins Escènics</t>
  </si>
  <si>
    <t>mariavera83@yahoo.es</t>
  </si>
  <si>
    <t>686 459 034</t>
  </si>
  <si>
    <t>https://www.teatro.es/guiarte/as-verins-escenics-36272</t>
  </si>
  <si>
    <t>C/ Pallars, 84, entresuelo 4A - 08018 - Barcelona (Barcelona)</t>
  </si>
  <si>
    <t>Maria Vera</t>
  </si>
  <si>
    <t>Teatro-danza; Performance-Acciones-Instalaciones; Variedades; Teatro de texto</t>
  </si>
  <si>
    <t>Asociación Cultural Gruñidos Salvajes</t>
  </si>
  <si>
    <t>gruidosalvajes@yahoo.es</t>
  </si>
  <si>
    <t>913 658 657</t>
  </si>
  <si>
    <t>https://www.teatro.es/guiarte/asociacion-cultural-gruñidos-salvajes-33793</t>
  </si>
  <si>
    <t>c/ Mira el rio baja,4, local - 28005 - Madrid (Madrid)</t>
  </si>
  <si>
    <t>Aldegunda Vergara Iglesias</t>
  </si>
  <si>
    <t>Teatro-danza; Teatro de texto; Teatro-circo</t>
  </si>
  <si>
    <t>Asociación Cultural La Otra Escena. Cia. Independiente de Teatro</t>
  </si>
  <si>
    <t>produce.laotra@gmail.com</t>
  </si>
  <si>
    <t>609 026 484 - 928 625 294</t>
  </si>
  <si>
    <t>https://www.teatro.es/guiarte/asociacion-cultural-la-otra-escena-cia-independiente-de-teatro-36275</t>
  </si>
  <si>
    <t>Firgas</t>
  </si>
  <si>
    <t>Las Palmas</t>
  </si>
  <si>
    <t>El Cortijo, 11 - 35430 - Firgas (Las Palmas)</t>
  </si>
  <si>
    <t>Joaquín Fernández González</t>
  </si>
  <si>
    <t>Teatro de objetos; Teatro-danza; Performance-Acciones-Instalaciones; Narración oral escénica; Variedades; Animaciones; Teatro gestual - Teatro del movimiento; Teatro de texto</t>
  </si>
  <si>
    <t>Asociación Cultural Manicómicos</t>
  </si>
  <si>
    <t>manicomicos@hotmail.com</t>
  </si>
  <si>
    <t>692 213 292</t>
  </si>
  <si>
    <t>https://www.teatro.es/guiarte/asociacion-cultural-manicomicos-32626</t>
  </si>
  <si>
    <t>Andrés Gaos 16, baixo - 15010 - A Coruña (A Coruña)</t>
  </si>
  <si>
    <t>Vanessa Rivas Maceiras</t>
  </si>
  <si>
    <t>Teatro de objetos; Teatro-danza; Teatro musical; Narración oral escénica; Teatro gestual - Teatro del movimiento; Teatro de texto; Teatro-circo</t>
  </si>
  <si>
    <t>Asociación Cultural Teatro de la Vida. ACTV</t>
  </si>
  <si>
    <t>teatrodelavida@luissampedro.com</t>
  </si>
  <si>
    <t>647 509 681</t>
  </si>
  <si>
    <t>https://www.teatro.es/guiarte/asociacion-cultural-teatro-de-la-vida-actv-65155</t>
  </si>
  <si>
    <t>Arganzuela, 12 1º 1 Exterior - 28005 - Madrid (Madrid)</t>
  </si>
  <si>
    <t>Luis Sampedro López</t>
  </si>
  <si>
    <t>Teatro de objetos; Teatro-danza; Teatro musical; Narración oral escénica; Teatro de texto</t>
  </si>
  <si>
    <t>Asociación Cultural Tra-Danza</t>
  </si>
  <si>
    <t>carlosmontene@ya.com</t>
  </si>
  <si>
    <t>927 225 948 - 659 890 642</t>
  </si>
  <si>
    <t>https://www.teatro.es/guiarte/asociacion-cultural-tra-danza-34070</t>
  </si>
  <si>
    <t>Profesor Hernández Pacheco, 14, 4º D - 10002 - Cáceres (Cáceres)</t>
  </si>
  <si>
    <t>Carlos M. López-Montenegro Landecho</t>
  </si>
  <si>
    <t>Asociación Culturas Horizontales</t>
  </si>
  <si>
    <t>culturashorizontales@gmail.com</t>
  </si>
  <si>
    <t>968 230 452</t>
  </si>
  <si>
    <t>https://www.teatro.es/guiarte/asociacion-culturas-horizontales-64927</t>
  </si>
  <si>
    <t>C/ Puerta de Orihuela, 18 - 30006 - Murcia (Murcia)</t>
  </si>
  <si>
    <t>José Dionisio Espejo Paredes</t>
  </si>
  <si>
    <t>Teatro-danza; Performance-Acciones-Instalaciones; Teatro musical; Variedades; Zarzuela</t>
  </si>
  <si>
    <t>Asociación de Artes Escéncias de Coslada. ARESCO</t>
  </si>
  <si>
    <t>aresco2012@gmail.com</t>
  </si>
  <si>
    <t>699 593 355</t>
  </si>
  <si>
    <t>https://www.teatro.es/guiarte/asociacion-de-artes-escencias-de-coslada-aresco-94787</t>
  </si>
  <si>
    <t>C/ Blasco de Garay - 28015 - Madrid (Madrid)</t>
  </si>
  <si>
    <t>Mercedes Sánchez Perales</t>
  </si>
  <si>
    <t>Teatro-danza; Performance-Acciones-Instalaciones; Narración oral escénica; Variedades; Animaciones; Teatro gestual - Teatro del movimiento; Teatro de texto</t>
  </si>
  <si>
    <t>Asociación de Mujeres de las Artes Escénicas de Madrid (A.M.A.E.M.) Marías Guerreras</t>
  </si>
  <si>
    <t>mariaguerrer@yahoo.es</t>
  </si>
  <si>
    <t>918 576 432 - 655 183 041  - 654 821 426</t>
  </si>
  <si>
    <t>https://www.teatro.es/guiarte/asociacion-de-mujeres-de-las-artes-escenicas-de-madrid-a-m-a-e-m-marias-guerreras-4365</t>
  </si>
  <si>
    <t>C/Arroyo del Quinto ,2,2º A - 28043 - Madrid (Madrid)</t>
  </si>
  <si>
    <t>Lola Cantero; Margarita Reiz</t>
  </si>
  <si>
    <t>Teatro de objetos; Teatro-danza; Performance-Acciones-Instalaciones; Narración oral escénica; Variedades; Animaciones; Teatro gestual - Teatro del movimiento; Teatro de texto; Teatro-circo</t>
  </si>
  <si>
    <t>Associació Biniki Espectacles</t>
  </si>
  <si>
    <t>ciabiniki@hotmail.com</t>
  </si>
  <si>
    <t>657 134 129 - 665 763 666</t>
  </si>
  <si>
    <t>https://www.teatro.es/guiarte/associacio-biniki-espectacles-32181</t>
  </si>
  <si>
    <t>Ateneu Popular La Flor de Maig. Doctor Trueta, 195 - 08005 - Barcelona (Barcelona)</t>
  </si>
  <si>
    <t>Yolanda Romero</t>
  </si>
  <si>
    <t>Teatro-danza; Performance-Acciones-Instalaciones; Teatro musical; Narración oral escénica; Variedades; Animaciones; Teatro de texto</t>
  </si>
  <si>
    <t>Associació Cultural Tarannà Teatre</t>
  </si>
  <si>
    <t>paqui@informaticsden.com; amparorebeca@yahoo.es</t>
  </si>
  <si>
    <t>670 059 685</t>
  </si>
  <si>
    <t>https://www.teatro.es/guiarte/associacio-cultural-taranna-teatre-3362</t>
  </si>
  <si>
    <t>C/  Pintor Maella, 3 e 25 - 46023 - Valencia (Valencia)</t>
  </si>
  <si>
    <t>Amparo Urieta</t>
  </si>
  <si>
    <t>Atempo Circ</t>
  </si>
  <si>
    <t>matias@atempocirc.com</t>
  </si>
  <si>
    <t>657 871 447</t>
  </si>
  <si>
    <t>https://www.teatro.es/guiarte/atempo-circ-62664</t>
  </si>
  <si>
    <t>Calle Roser, 78 - 08004 - Barcelona (Barcelona)</t>
  </si>
  <si>
    <t>Matías Marré Medina; Marilén Ribot Estelrich</t>
  </si>
  <si>
    <t>Teatro-danza; Performance-Acciones-Instalaciones; Circo; Teatro-circo</t>
  </si>
  <si>
    <t>Au Ments Danza-Teatro</t>
  </si>
  <si>
    <t>info@auments.com</t>
  </si>
  <si>
    <t>653 621 009</t>
  </si>
  <si>
    <t>https://www.teatro.es/guiarte/au-ments-danza-teatro-3669</t>
  </si>
  <si>
    <t>Illes Balears</t>
  </si>
  <si>
    <t>Jesús, 8 A, 2º B - 07003 - Palma de Mallorca (Illes Balears)</t>
  </si>
  <si>
    <t>Bartomeu Gomila Grau</t>
  </si>
  <si>
    <t>Augusto Guzmán</t>
  </si>
  <si>
    <t>contacto@augustoguzman.com</t>
  </si>
  <si>
    <t>659 905 900</t>
  </si>
  <si>
    <t>https://www.teatro.es/guiarte/augusto-guzman-35444</t>
  </si>
  <si>
    <t>Malagón</t>
  </si>
  <si>
    <t>Ciudad Real</t>
  </si>
  <si>
    <t>Postas, 3 - 13420 - Malagón (Ciudad Real)</t>
  </si>
  <si>
    <t>Aula de Teatro de la Universidad de La Laguna</t>
  </si>
  <si>
    <t>rfernand@ull.es; filesp@ull.es</t>
  </si>
  <si>
    <t>922 317 668 - 922 317 684</t>
  </si>
  <si>
    <t>https://www.teatro.es/guiarte/aula-de-teatro-de-la-universidad-de-la-laguna-34050</t>
  </si>
  <si>
    <t>Viana, 54 - 38201 - La Laguna (Santa Cruz de Tenerife)</t>
  </si>
  <si>
    <t>Antonio Torres Barranco</t>
  </si>
  <si>
    <t>Teatro de objetos; Teatro-danza; Performance-Acciones-Instalaciones; Narración oral escénica; Variedades; Animaciones; Teatro gestual - Teatro del movimiento</t>
  </si>
  <si>
    <t>Bajotierra</t>
  </si>
  <si>
    <t>contacto@teatrobajotierra.es</t>
  </si>
  <si>
    <t>692 518 867</t>
  </si>
  <si>
    <t>https://www.teatro.es/guiarte/bajotierra-7241</t>
  </si>
  <si>
    <t>C/ Francisco Jiménez Lomas nº4, portal 4, 5ºB - 29004 - Málaga (Málaga)</t>
  </si>
  <si>
    <t>Alberto Cortés Ruiz; Alessandra García Rodríguez</t>
  </si>
  <si>
    <t>Teatro de objetos; Teatro-danza; Performance-Acciones-Instalaciones; Teatro de texto</t>
  </si>
  <si>
    <t>Balderim Teatro y Danza</t>
  </si>
  <si>
    <t>ciabalderim@gmail.com</t>
  </si>
  <si>
    <t>https://www.teatro.es/guiarte/balderim-teatro-y-danza-101177</t>
  </si>
  <si>
    <t>Provincia: Valencia</t>
  </si>
  <si>
    <t>(Valencia)</t>
  </si>
  <si>
    <t>Leyla Imm</t>
  </si>
  <si>
    <t>Barakatemus Espacio de Títeres</t>
  </si>
  <si>
    <t>gata_paracaidista@hotmail.com; doragalvez.escenicas@gmail.com</t>
  </si>
  <si>
    <t>652 543 854</t>
  </si>
  <si>
    <t>https://www.teatro.es/guiarte/barakatemus-espacio-de-titeres-35405</t>
  </si>
  <si>
    <t>Mateo Alemán, 28 - 41001 - Sevilla (Sevilla)</t>
  </si>
  <si>
    <t>Auxi Gálvez Pulido</t>
  </si>
  <si>
    <t>Teatro de objetos; Teatro-danza; Performance-Acciones-Instalaciones; Teatro musical; Narración oral escénica; Variedades; Circo; Animaciones; Teatro gestual - Teatro del movimiento; Teatro de texto; Teatro-circo</t>
  </si>
  <si>
    <t>Bohèmia's</t>
  </si>
  <si>
    <t>info@bohemias.es</t>
  </si>
  <si>
    <t>657 907 623</t>
  </si>
  <si>
    <t>https://www.teatro.es/guiarte/bohemia-s-36547</t>
  </si>
  <si>
    <t>Passatge Vintró, 18, 1-2 - 08026 - Barcelona (Barcelona)</t>
  </si>
  <si>
    <t>Cristina Raventós</t>
  </si>
  <si>
    <t>Teatro-danza; Performance-Acciones-Instalaciones; Teatro musical; Ópera; Zarzuela; Teatro de texto</t>
  </si>
  <si>
    <t>Bravo Show Makers</t>
  </si>
  <si>
    <t>admon@bravoshowmakers.com; info@bravoshowmakers.com; casting@bravoshowmakers.com</t>
  </si>
  <si>
    <t>https://www.teatro.es/guiarte/bravo-show-makers-107488</t>
  </si>
  <si>
    <t>Velilla de San Antonio</t>
  </si>
  <si>
    <t>C/ Jacaranda, 26 - 28891 - Velilla de San Antonio (Madrid)</t>
  </si>
  <si>
    <t>Luka Yexi; Errique Mazán</t>
  </si>
  <si>
    <t>Teatro-danza; Teatro musical; Variedades; Circo; Animaciones; Cabaret; Teatro-circo</t>
  </si>
  <si>
    <t>Brodas Bros</t>
  </si>
  <si>
    <t>infobrodasbros@gmail.com</t>
  </si>
  <si>
    <t>649 871 563</t>
  </si>
  <si>
    <t>https://www.teatro.es/guiarte/brodas-bros-94184</t>
  </si>
  <si>
    <t>C/ Jaume Piquet, 7 - 08017 - Barcelona (Barcelona)</t>
  </si>
  <si>
    <t>Pol Fruitós; Clara Pons; Lluc Fruitós; Berta Pons</t>
  </si>
  <si>
    <t>Buenaventura Producciones</t>
  </si>
  <si>
    <t>vb.buenaventura@gmail.com</t>
  </si>
  <si>
    <t>954 355 962 - 609 636 756</t>
  </si>
  <si>
    <t>https://www.teatro.es/guiarte/buenaventura-producciones-33358</t>
  </si>
  <si>
    <t>Parq. Comercial San Jerónimo D21 - 41015 - Sevilla (Sevilla)</t>
  </si>
  <si>
    <t>Nacho Sánchez</t>
  </si>
  <si>
    <t>Teatro de objetos; Teatro-danza; Teatro musical; Variedades; Circo; Animaciones; Teatro gestual - Teatro del movimiento; Teatro de texto; Teatro-circo</t>
  </si>
  <si>
    <t>Burbuleta Teatro</t>
  </si>
  <si>
    <t>terepetita@yahoo.es; teatroburbuleta@gmail.com; silviamolivas@yahoo.es</t>
  </si>
  <si>
    <t>656 577 020 - 626 887 684 - 649 634 681</t>
  </si>
  <si>
    <t>https://www.teatro.es/guiarte/burbuleta-teatro-33977</t>
  </si>
  <si>
    <t>Santorens</t>
  </si>
  <si>
    <t>Casa Petit - 22583 - Santorens (Huesca)</t>
  </si>
  <si>
    <t>Isabel Roy; Silvia Molinas; Teresa Sánchez</t>
  </si>
  <si>
    <t>Teatro-danza; Animaciones; Teatro gestual - Teatro del movimiento; Teatro de texto</t>
  </si>
  <si>
    <t>C. de Isla Producciones</t>
  </si>
  <si>
    <t>forasteradcs@gmail.com</t>
  </si>
  <si>
    <t>https://www.teatro.es/guiarte/c-de-isla-producciones-106540</t>
  </si>
  <si>
    <t>Calle Ventosa 23 1º 3º - 28005  - Madrid (Madrid)</t>
  </si>
  <si>
    <t>Dayana Contreras</t>
  </si>
  <si>
    <t>CAET</t>
  </si>
  <si>
    <t>lidia.gimenez@terrassa.cat; caet@terrassa.cat</t>
  </si>
  <si>
    <t>937 338 140</t>
  </si>
  <si>
    <t>https://www.teatro.es/guiarte/caet-5946</t>
  </si>
  <si>
    <t>Ajuntament de Terrassa, Raval de Montserrat, 14  - 08221 - Terrassa (Barcelona)</t>
  </si>
  <si>
    <t>Pep Pla; Lidia Giménez</t>
  </si>
  <si>
    <t>Cajón de Ideas Producciones S.L</t>
  </si>
  <si>
    <t>miguelangel@cajondeideas.es</t>
  </si>
  <si>
    <t>681 286 130</t>
  </si>
  <si>
    <t>https://www.teatro.es/guiarte/cajon-de-ideas-producciones-s-l-101095</t>
  </si>
  <si>
    <t>Calle de la palma, 4 2º derecha - 28004 - Madrid (Madrid)</t>
  </si>
  <si>
    <t>Miguel Ángel García Hernandez</t>
  </si>
  <si>
    <t>Calamar Teatro</t>
  </si>
  <si>
    <t>info@calamarteatro.com; teatrocalamar@gmail.com</t>
  </si>
  <si>
    <t>630 569 103 - 983 306 316</t>
  </si>
  <si>
    <t>https://www.teatro.es/guiarte/calamar-teatro-4716</t>
  </si>
  <si>
    <t>Plaza San Andrés, 2, 4º Izda - 47004 - Valladolid (Valladolid)</t>
  </si>
  <si>
    <t>Natalia Díez Wirton</t>
  </si>
  <si>
    <t>Teatro de objetos; Teatro-danza; Narración oral escénica; Teatro de texto</t>
  </si>
  <si>
    <t>Calema Producciones</t>
  </si>
  <si>
    <t>produccionesctc@gmail.com; carolina@calema.es</t>
  </si>
  <si>
    <t>699 213 067</t>
  </si>
  <si>
    <t>https://www.teatro.es/guiarte/calema-producciones-65219</t>
  </si>
  <si>
    <t>Calle Guadalete 9, 1º derecha - 28019 - Madrid (Madrid)</t>
  </si>
  <si>
    <t>Carolina Calema</t>
  </si>
  <si>
    <t>Teatro de objetos; Teatro-danza; Performance-Acciones-Instalaciones; Teatro gestual - Teatro del movimiento; Teatro de texto</t>
  </si>
  <si>
    <t>Capa i Espasa</t>
  </si>
  <si>
    <t>capaiespasa@gmail.com</t>
  </si>
  <si>
    <t>609 789 927</t>
  </si>
  <si>
    <t>https://www.teatro.es/guiarte/capa-i-espasa-5860</t>
  </si>
  <si>
    <t>Figueres</t>
  </si>
  <si>
    <t>Nord, 18, 2ºA - 17600 - Figueres (Girona)</t>
  </si>
  <si>
    <t>Ángel Amieva</t>
  </si>
  <si>
    <t>Teatro-danza; Variedades; Animaciones; Teatro gestual - Teatro del movimiento</t>
  </si>
  <si>
    <t>Carabteatro</t>
  </si>
  <si>
    <t>ciacarabteatro@gmail.com</t>
  </si>
  <si>
    <t>672 478 692</t>
  </si>
  <si>
    <t>https://www.teatro.es/guiarte/carabteatro-100791</t>
  </si>
  <si>
    <t>Calle Conde de la Cimera, 4 - 28040 - Madrid (Madrid)</t>
  </si>
  <si>
    <t>Gonzalo Díaz Delicado</t>
  </si>
  <si>
    <t>Teatro-danza; Teatro musical; Variedades; Animaciones; Teatro gestual - Teatro del movimiento; Teatro de texto</t>
  </si>
  <si>
    <t>Caramuxo Teatro</t>
  </si>
  <si>
    <t>info@caramuxoteatro.net</t>
  </si>
  <si>
    <t>610 848 781</t>
  </si>
  <si>
    <t>https://www.teatro.es/guiarte/caramuxo-teatro-5052</t>
  </si>
  <si>
    <t>Arteixo</t>
  </si>
  <si>
    <t>C/ Travesia de Meicende, 22 - 15009 - Arteixo (A Coruña)</t>
  </si>
  <si>
    <t>Laura Sarasola; Juan Rodríguez</t>
  </si>
  <si>
    <t>Teatro de objetos; Teatro-danza; Teatro gestual - Teatro del movimiento; Teatro de texto</t>
  </si>
  <si>
    <t>Carros de Foc</t>
  </si>
  <si>
    <t>info@carrosfoc.com</t>
  </si>
  <si>
    <t>965 667 767 - 654 518 521</t>
  </si>
  <si>
    <t>https://www.teatro.es/guiarte/carros-de-foc-29341</t>
  </si>
  <si>
    <t>Sant Vicent del Raspeig</t>
  </si>
  <si>
    <t>C/ La Fragua, 10 - 03690 - Sant Vicent del Raspeig (Alicante)</t>
  </si>
  <si>
    <t>Miguel Angel Martín Bordera</t>
  </si>
  <si>
    <t>Teatro-danza; Performance-Acciones-Instalaciones; Animaciones</t>
  </si>
  <si>
    <t>Caín . ETS de Arquitectura</t>
  </si>
  <si>
    <t>cainteatro@gmail.com</t>
  </si>
  <si>
    <t>659 295 021</t>
  </si>
  <si>
    <t>https://www.teatro.es/guiarte/cain-ets-de-arquitectura-5249</t>
  </si>
  <si>
    <t>ETS Arquitectura. Avda. Juan de Herrera, 4 - 28040 - Madrid (Madrid)</t>
  </si>
  <si>
    <t>Teatro de objetos; Teatro-danza; Performance-Acciones-Instalaciones; Narración oral escénica; Teatro gestual - Teatro del movimiento; Teatro de texto</t>
  </si>
  <si>
    <t>CeBe Montajes Teatrales S.L.U</t>
  </si>
  <si>
    <t>carles@cebeteatro.com; cebe@cebeteatro.com</t>
  </si>
  <si>
    <t>689 617 146 - 964 565 406</t>
  </si>
  <si>
    <t>https://www.teatro.es/guiarte/cebe-montajes-teatrales-s-l-u-31852</t>
  </si>
  <si>
    <t>Castellón de la Plana</t>
  </si>
  <si>
    <t>Apartado de correos 8155 - 12080 - Castellón de la Plana (Castellón)</t>
  </si>
  <si>
    <t>Carlos Benlliure Bou</t>
  </si>
  <si>
    <t>Teatro de objetos; Teatro-danza; Narración oral escénica; Animaciones; Teatro gestual - Teatro del movimiento; Teatro de texto</t>
  </si>
  <si>
    <t>Celcit Producciones S.L</t>
  </si>
  <si>
    <t>celcitproducciones@yahoo.es</t>
  </si>
  <si>
    <t>650 337 959</t>
  </si>
  <si>
    <t>https://www.teatro.es/guiarte/celcit-producciones-s-l-33675</t>
  </si>
  <si>
    <t>Calle General Palanca 38, local bajo derecha - 28045 - Madrid (Madrid)</t>
  </si>
  <si>
    <t>Elena Schaposnik</t>
  </si>
  <si>
    <t>Teatro de objetos; Teatro-danza; Animaciones; Teatro gestual - Teatro del movimiento; Teatro de texto</t>
  </si>
  <si>
    <t>Centre d'Arts Escèniques de Reus. CAER</t>
  </si>
  <si>
    <t>cesar.compte@caer.cat; info@caer.cat</t>
  </si>
  <si>
    <t>977 010 657 - 977 010 658</t>
  </si>
  <si>
    <t>https://www.teatro.es/guiarte/centre-d-arts-esceniques-de-reus-caer-5670</t>
  </si>
  <si>
    <t>Plaça de Prim, 4 - 43201 - Reus (Tarragona)</t>
  </si>
  <si>
    <t>Cèsar Compte</t>
  </si>
  <si>
    <t>Teatro de objetos; Teatro-danza; Performance-Acciones-Instalaciones; Teatro musical; Ópera; Circo; Teatro gestual - Teatro del movimiento; Teatro de texto; Teatro-circo</t>
  </si>
  <si>
    <t>Centro Dramático Andaluz</t>
  </si>
  <si>
    <t>cda@centrodramaticoandaluz.com</t>
  </si>
  <si>
    <t>958 224 292</t>
  </si>
  <si>
    <t>https://www.teatro.es/guiarte/centro-dramatico-andaluz-65091</t>
  </si>
  <si>
    <t>Calle Babel, 7 - 29006 - Málaga (Málaga)</t>
  </si>
  <si>
    <t>Lam´s Wolfis R.J</t>
  </si>
  <si>
    <t>Teatro-danza; Teatro musical; Narración oral escénica; Zarzuela; Teatro de texto</t>
  </si>
  <si>
    <t>Centro Dramático Galego. CDG</t>
  </si>
  <si>
    <t>centro.dramatico.galego@xunta.gal; www.centrodramatico.gal</t>
  </si>
  <si>
    <t>881 867 229 - 881 867 226</t>
  </si>
  <si>
    <t>https://www.teatro.es/guiarte/centro-dramatico-galego-cdg-500</t>
  </si>
  <si>
    <t>Salón Teatro. Rúa Nova, 34 - 15705 - Santiago de Compostela (A Coruña)</t>
  </si>
  <si>
    <t>Teatro de objetos; Teatro-danza; Performance-Acciones-Instalaciones; Teatro musical; Circo; Teatro de texto; Teatro-circo</t>
  </si>
  <si>
    <t>Centro Dramático Rural</t>
  </si>
  <si>
    <t>centrodramaticorural@gmail.com</t>
  </si>
  <si>
    <t>https://www.teatro.es/guiarte/centro-dramatico-rural-101723</t>
  </si>
  <si>
    <t>Mira</t>
  </si>
  <si>
    <t>C/ Carril, 26 - 16393 - Mira (Cuenca)</t>
  </si>
  <si>
    <t>Adolfo Simón</t>
  </si>
  <si>
    <t>Chroma Teatre</t>
  </si>
  <si>
    <t>produccio@chromateatre.com; info@chromateatre.com</t>
  </si>
  <si>
    <t>https://www.teatro.es/guiarte/chroma-teatre-5276</t>
  </si>
  <si>
    <t>C/ Bisbe Laguarda 4-8 local 3 - 08001 - Barcelona (Barcelona)</t>
  </si>
  <si>
    <t>Melina Pereyra</t>
  </si>
  <si>
    <t>Teatro-danza; Performance-Acciones-Instalaciones; Teatro musical; Variedades; Animaciones; Teatro de texto</t>
  </si>
  <si>
    <t>Chácena</t>
  </si>
  <si>
    <t>joaquin.merlos@chacena.es; menendez@chacena.es; clarape90@hotmail.com</t>
  </si>
  <si>
    <t>916 198 037</t>
  </si>
  <si>
    <t>https://www.teatro.es/guiarte/chacena-37139</t>
  </si>
  <si>
    <t>Alcorcón</t>
  </si>
  <si>
    <t>Apartado de Correos 2008 - 28924 - Alcorcón (Madrid)</t>
  </si>
  <si>
    <t>Francisco Menéndez</t>
  </si>
  <si>
    <t>Teatro-danza; Ópera; Teatro de texto</t>
  </si>
  <si>
    <t>Cia Jordi Vilaseca</t>
  </si>
  <si>
    <t>ciaj.vilaseca@gmail.com</t>
  </si>
  <si>
    <t>639 948 636</t>
  </si>
  <si>
    <t>https://www.teatro.es/guiarte/cia-jordi-vilaseca-65218</t>
  </si>
  <si>
    <t>Olesa de Montserrat</t>
  </si>
  <si>
    <t>Av Francesc Macià, 155 1-A - 08640 - Olesa de Montserrat (Barcelona)</t>
  </si>
  <si>
    <t>Jordi Vilaseca</t>
  </si>
  <si>
    <t>Cia. Maduixa</t>
  </si>
  <si>
    <t>maduixacreacions@gmail.com</t>
  </si>
  <si>
    <t>962 038 822</t>
  </si>
  <si>
    <t>https://www.teatro.es/guiarte/cia-maduixa-5769</t>
  </si>
  <si>
    <t>Sueca</t>
  </si>
  <si>
    <t>Avda. d'Espanya, 4 - 46410 - Sueca (Valencia)</t>
  </si>
  <si>
    <t>Cia. Mercedes Boronat</t>
  </si>
  <si>
    <t>info@mercedesboronat.com</t>
  </si>
  <si>
    <t>636 938 062 - 932 664 830</t>
  </si>
  <si>
    <t>https://www.teatro.es/guiarte/cia-mercedes-boronat-33361</t>
  </si>
  <si>
    <t>Lope de Vega, 14, local 1 - 08005 - Barcelona (Barcelona)</t>
  </si>
  <si>
    <t>Mercedes Boronat</t>
  </si>
  <si>
    <t>Yvette Vilar, Gestió Cultural</t>
  </si>
  <si>
    <t>Honduras, 30 - 08027 - Barcelona (Barcelona)</t>
  </si>
  <si>
    <t>Cia. Teatre de la Lluna</t>
  </si>
  <si>
    <t>teatredelalluna@gmail.com</t>
  </si>
  <si>
    <t>661 938 181 - 962 276 945</t>
  </si>
  <si>
    <t>https://www.teatro.es/guiarte/cia-teatre-de-la-lluna-3960</t>
  </si>
  <si>
    <t>Xàtiva</t>
  </si>
  <si>
    <t>Pza. Espanyoleto, 3 - 46800 - Xàtiva (Valencia)</t>
  </si>
  <si>
    <t>Víctor M. Torres</t>
  </si>
  <si>
    <t>Teatro de objetos; Teatro-danza; Narración oral escénica; Variedades; Animaciones; Teatro gestual - Teatro del movimiento; Teatro de texto</t>
  </si>
  <si>
    <t>Cia. Vero Cendoya</t>
  </si>
  <si>
    <t>joanfabregat@verocendoya.com; verocendoya@hotmail.com</t>
  </si>
  <si>
    <t>679 118 218</t>
  </si>
  <si>
    <t>https://www.teatro.es/guiarte/cia-vero-cendoya-102904</t>
  </si>
  <si>
    <t>Gran Via de les Corts Catalanes 578, 6-1 - 08011 - Barcelona (Barcelona)</t>
  </si>
  <si>
    <t>Verónica Cendoya Serra</t>
  </si>
  <si>
    <t>Teatro-danza; Performance-Acciones-Instalaciones; Animaciones; Teatro de texto</t>
  </si>
  <si>
    <t>Circ Pànic</t>
  </si>
  <si>
    <t>info@circ-panic.com</t>
  </si>
  <si>
    <t>938 475 134 - 649 931 341</t>
  </si>
  <si>
    <t>https://www.teatro.es/guiarte/circ-panic-32685</t>
  </si>
  <si>
    <t>Campins</t>
  </si>
  <si>
    <t>Can Joan, 6, apto. 32 - 08472 - Campins (Barcelona)</t>
  </si>
  <si>
    <t>Jordi Panareda</t>
  </si>
  <si>
    <t>Teatro-danza; Circo</t>
  </si>
  <si>
    <t>Circorama Teatre C.B</t>
  </si>
  <si>
    <t>circoramateatre@gmail.com</t>
  </si>
  <si>
    <t>653 364 992</t>
  </si>
  <si>
    <t>https://www.teatro.es/guiarte/circorama-teatre-c-b-94081</t>
  </si>
  <si>
    <t>Paiporta</t>
  </si>
  <si>
    <t>C/ Sant Jordi, 10 - 46200 - Paiporta (Valencia)</t>
  </si>
  <si>
    <t>Francesc Raga</t>
  </si>
  <si>
    <t>Teatro de objetos; Teatro-danza; Performance-Acciones-Instalaciones; Narración oral escénica; Variedades; Teatro gestual - Teatro del movimiento; Teatro de texto; Teatro-circo</t>
  </si>
  <si>
    <t>Circustanzia</t>
  </si>
  <si>
    <t>maribelmartinez777@gmail.com; circustanzia@gmail.com</t>
  </si>
  <si>
    <t>689 289 458</t>
  </si>
  <si>
    <t>https://www.teatro.es/guiarte/circustanzia-7247</t>
  </si>
  <si>
    <t>Burlada</t>
  </si>
  <si>
    <t>Plaza de las Eras, 3, 5º A - 31600 - Burlada (Navarra)</t>
  </si>
  <si>
    <t>Maribel Martínez Gil</t>
  </si>
  <si>
    <t>Clac &amp; Roll</t>
  </si>
  <si>
    <t>info@clac-roll.com; claqueteros@claqueteros.com</t>
  </si>
  <si>
    <t>692 046 724</t>
  </si>
  <si>
    <t>https://www.teatro.es/guiarte/clac-roll-36288</t>
  </si>
  <si>
    <t>Pasaje particular de Búger, 1, 1ºC - 07008 - Palma de Mallorca (Illes Balears)</t>
  </si>
  <si>
    <t>Basilio González</t>
  </si>
  <si>
    <t>Teatro-danza; Teatro musical</t>
  </si>
  <si>
    <t>Claqueteros.com</t>
  </si>
  <si>
    <t>Còrsega, 540 - 08025 - Barcelona (Barcelona)</t>
  </si>
  <si>
    <t>Claudia Faci</t>
  </si>
  <si>
    <t>615 022 779</t>
  </si>
  <si>
    <t>https://www.teatro.es/guiarte/claudia-faci-35440</t>
  </si>
  <si>
    <t>Amparo 103, 4ºH - 28012 - Madrid (Madrid)</t>
  </si>
  <si>
    <t>Claudia Faci; Paloma Chueca</t>
  </si>
  <si>
    <t>Paloma Chueca Management</t>
  </si>
  <si>
    <t>Clownas, Cía de Payasas</t>
  </si>
  <si>
    <t>info@joacomartin.com</t>
  </si>
  <si>
    <t>655 309 967 - 636 870 845</t>
  </si>
  <si>
    <t>https://www.teatro.es/guiarte/clownas-cia-de-payasas-36012</t>
  </si>
  <si>
    <t>Calle Cava de San Miguel, 6, Esq. Drcha. 5ºA - 28005 - Madrid (Madrid)</t>
  </si>
  <si>
    <t>Joaquín Martín Gómez</t>
  </si>
  <si>
    <t>Teatro-danza; Performance-Acciones-Instalaciones; Teatro musical; Variedades; Teatro gestual - Teatro del movimiento; Teatro de texto; Teatro-circo</t>
  </si>
  <si>
    <t>Coincidències</t>
  </si>
  <si>
    <t>lola.armadas@coincidencies.org; coincidencies@coincidencies.org</t>
  </si>
  <si>
    <t>https://www.teatro.es/guiarte/coincidencies-101638</t>
  </si>
  <si>
    <t>C/ Santapau, 17 - 08018 - Barcelona (Barcelona)</t>
  </si>
  <si>
    <t>Isaias Fanlo; Francesc Esteve; Lola Armadàs</t>
  </si>
  <si>
    <t>Teatro-danza; Variedades; Circo; Teatro gestual - Teatro del movimiento; Teatro de texto; Teatro-circo</t>
  </si>
  <si>
    <t>Col.lectiu Anatomic</t>
  </si>
  <si>
    <t>alvaro@emotique.com</t>
  </si>
  <si>
    <t>934 438 361 - 636 858 951</t>
  </si>
  <si>
    <t>https://www.teatro.es/guiarte/col-lectiu-anatomic-33698</t>
  </si>
  <si>
    <t>Tapioles, 54 - 08004 - Barcelona (Barcelona)</t>
  </si>
  <si>
    <t>Álvaro Uña; Joan Coll</t>
  </si>
  <si>
    <t>Teatro-danza; Performance-Acciones-Instalaciones; Teatro musical</t>
  </si>
  <si>
    <t>Emotique S.L</t>
  </si>
  <si>
    <t>c/ Taquígrafo Serra, 29 - 08029 - Barcelona</t>
  </si>
  <si>
    <t>Colectivo Artistico Plataforma Tirante</t>
  </si>
  <si>
    <t>plataformatirante@gmail.com</t>
  </si>
  <si>
    <t>644 433 373</t>
  </si>
  <si>
    <t>https://www.teatro.es/guiarte/colectivo-artistico-plataforma-tirante-33960</t>
  </si>
  <si>
    <t>Erandio</t>
  </si>
  <si>
    <t>San José de Lutxana, 16 - 48950 - Erandio (Vizcaya)</t>
  </si>
  <si>
    <t>Estializ Villa; Aiora Sedano</t>
  </si>
  <si>
    <t>Teatro-danza; Performance-Acciones-Instalaciones; Teatro musical; Animaciones</t>
  </si>
  <si>
    <t>Colectivo Lisarco</t>
  </si>
  <si>
    <t>colectivolisarco@gmail.com</t>
  </si>
  <si>
    <t>635746659</t>
  </si>
  <si>
    <t>https://www.teatro.es/guiarte/colectivo-lisarco-35679</t>
  </si>
  <si>
    <t>Plaza de Jesús 5-5ºB - 28014 - Madrid (Madrid)</t>
  </si>
  <si>
    <t>Aiala Urcelay; Icaro Maiterena</t>
  </si>
  <si>
    <t>Colectivo Trance</t>
  </si>
  <si>
    <t>colectivotrance@gmail.com</t>
  </si>
  <si>
    <t>https://www.teatro.es/guiarte/colectivo-trance-103810</t>
  </si>
  <si>
    <t>Provincia: Madrid</t>
  </si>
  <si>
    <t>(Madrid)</t>
  </si>
  <si>
    <t>Elena Santos; Juan Asego</t>
  </si>
  <si>
    <t>Teatro-danza; Performance-Acciones-Instalaciones; Narración oral escénica; Teatro gestual - Teatro del movimiento; Teatro de texto; Lecturas dramatizadas-semimontajes</t>
  </si>
  <si>
    <t>Compagnia Cronopis</t>
  </si>
  <si>
    <t>compagniacronopis@gmail.com</t>
  </si>
  <si>
    <t>695 916 754</t>
  </si>
  <si>
    <t>https://www.teatro.es/guiarte/compagnia-cronopis-94209</t>
  </si>
  <si>
    <t>Calle Monasterio de Santa Claras s/n local 1 - 50002 - Zaragoza (Zaragoza)</t>
  </si>
  <si>
    <t>Ignacio Antonio Sánchez Azócar</t>
  </si>
  <si>
    <t>Teatro-danza; Performance-Acciones-Instalaciones; Variedades; Circo; Animaciones; Teatro gestual - Teatro del movimiento; Teatro-circo</t>
  </si>
  <si>
    <t>Companya Pelipolaca</t>
  </si>
  <si>
    <t>ciapelipolaca@gmail.com</t>
  </si>
  <si>
    <t>692 346 017</t>
  </si>
  <si>
    <t>https://www.teatro.es/guiarte/companya-pelipolaca-103286</t>
  </si>
  <si>
    <t>Carrer Sant Antoni Maria Claret, 88-90 - 08025 - Barcelona (Barcelona)</t>
  </si>
  <si>
    <t>Irene Vicente</t>
  </si>
  <si>
    <t>Companyia Alquimistes Teatre</t>
  </si>
  <si>
    <t>670 247 302 - 626 421 212 - 934 685 904</t>
  </si>
  <si>
    <t>https://www.teatro.es/guiarte/companyia-alquimistes-teatre-37116</t>
  </si>
  <si>
    <t>Santa Coloma de Gramenet</t>
  </si>
  <si>
    <t>Av. Francesc Macià, 41 - 08922 - Santa Coloma de Gramenet (Barcelona)</t>
  </si>
  <si>
    <t>Germán Madrid; Antonia Castillo</t>
  </si>
  <si>
    <t>Teatro de objetos; Teatro-danza; Teatro musical; Variedades; Animaciones; Teatro gestual - Teatro del movimiento; Teatro de texto; Teatro-circo</t>
  </si>
  <si>
    <t>Companyia Dansa Mariantònia Oliver</t>
  </si>
  <si>
    <t>info@mariantoniaoliver.net</t>
  </si>
  <si>
    <t>971 525 909 - 659 952 033</t>
  </si>
  <si>
    <t>https://www.teatro.es/guiarte/companyia-dansa-mariantonia-oliver-34098</t>
  </si>
  <si>
    <t>Plaça Quadrado 11B - 07519 - Palma de Mallorca (Illes Balears)</t>
  </si>
  <si>
    <t>Maria Antònia Oliver</t>
  </si>
  <si>
    <t>Companyia Dunatacà</t>
  </si>
  <si>
    <t>distribucion.ciadunataca@gmail.com</t>
  </si>
  <si>
    <t>https://www.teatro.es/guiarte/companyia-dunataca-103809</t>
  </si>
  <si>
    <t>Companyia La Mandarina</t>
  </si>
  <si>
    <t>lamandarina@lamandarina.com</t>
  </si>
  <si>
    <t>699 434 115 - 639 385 928 - 938 035 713</t>
  </si>
  <si>
    <t>https://www.teatro.es/guiarte/companyia-la-mandarina-4866</t>
  </si>
  <si>
    <t>Igualada</t>
  </si>
  <si>
    <t>Tarragona, 45 - 08700 - Igualada (Barcelona)</t>
  </si>
  <si>
    <t>Carme Sola; Toni Closa</t>
  </si>
  <si>
    <t>Companyia Mousiké</t>
  </si>
  <si>
    <t>lamaquinetabcn@gmail.com</t>
  </si>
  <si>
    <t>667 413 402 - 934 433 062</t>
  </si>
  <si>
    <t>https://www.teatro.es/guiarte/companyia-mousike-4858</t>
  </si>
  <si>
    <t>Salvà, 58, Baixos - 08004 - Barcelona (Barcelona)</t>
  </si>
  <si>
    <t>José María de la Fuente; Susanna Barranco Iglesias</t>
  </si>
  <si>
    <t>Teatro de objetos; Teatro-danza; Teatro de texto</t>
  </si>
  <si>
    <t>Companyia Teatredetics. CTDT</t>
  </si>
  <si>
    <t>info@teatredetics.org</t>
  </si>
  <si>
    <t>973 390 388 - 677 163 698</t>
  </si>
  <si>
    <t>https://www.teatro.es/guiarte/companyia-teatredetics-ctdt-5703</t>
  </si>
  <si>
    <t>Agramunt</t>
  </si>
  <si>
    <t>Pl. de l'Església, 5, 3º - 25310 - Agramunt (Lleida)</t>
  </si>
  <si>
    <t>Jaume Figuera</t>
  </si>
  <si>
    <t>Teatro-danza; Performance-Acciones-Instalaciones; Narración oral escénica; Animaciones; Teatro de texto</t>
  </si>
  <si>
    <t>Compañia Gabriel Aragu</t>
  </si>
  <si>
    <t>gabriel.aragu@gmail.com; produccion@gabrielaragu.es</t>
  </si>
  <si>
    <t>https://www.teatro.es/guiarte/compañia-gabriel-aragu-106370</t>
  </si>
  <si>
    <t>C/ froilán de la serna, 15 planta 2 puerta 8 - 41009 - Sevilla (Sevilla)</t>
  </si>
  <si>
    <t>Gabriel Aragu Gonzalez</t>
  </si>
  <si>
    <t>Compañía Altazir</t>
  </si>
  <si>
    <t>info@altazir.com; jcvillacampa@altazir.com</t>
  </si>
  <si>
    <t>678 402 198 - 925 253 783 - 925 257 467 - 699 132 013</t>
  </si>
  <si>
    <t>https://www.teatro.es/guiarte/compañia-altazir-33743</t>
  </si>
  <si>
    <t>Callejón de la Garrucha, 3 - 45002 - Toledo (Toledo)</t>
  </si>
  <si>
    <t>Juan Carlos Villacampa</t>
  </si>
  <si>
    <t>Teatro-danza; Narración oral escénica; Animaciones; Teatro gestual - Teatro del movimiento; Teatro de texto</t>
  </si>
  <si>
    <t>Compañía Bestiario</t>
  </si>
  <si>
    <t>distribucion@bestiariocreacion.es; bestiarioproduccion@gmail.com</t>
  </si>
  <si>
    <t>618 356 766 - 616 964 669</t>
  </si>
  <si>
    <t>https://www.teatro.es/guiarte/compañia-bestiario-106611</t>
  </si>
  <si>
    <t>C/ Galileo, 61, 5ºC - 28015 - Madrid (Madrid)</t>
  </si>
  <si>
    <t>Patricia Berenguer</t>
  </si>
  <si>
    <t>Compañía Carme Teatre</t>
  </si>
  <si>
    <t>info@carmeteatre.com</t>
  </si>
  <si>
    <t>678 356 239 - 963 924 271</t>
  </si>
  <si>
    <t>https://www.teatro.es/guiarte/compañia-carme-teatre-3176</t>
  </si>
  <si>
    <t>Gutenberg, 12 - 46003 - Valencia (Valencia)</t>
  </si>
  <si>
    <t>Aurelio Delgado Claros</t>
  </si>
  <si>
    <t>Compañía Danza Mobile</t>
  </si>
  <si>
    <t>info@danzamobile.es; distribucion@danzamobile.es; fernando@danzamobile.es</t>
  </si>
  <si>
    <t>https://www.teatro.es/guiarte/compañia-danza-mobile-102359</t>
  </si>
  <si>
    <t>Bajos puente cristo de la expiración, 11 - 41001 - Sevilla (Sevilla)</t>
  </si>
  <si>
    <t>Compañía Juanjo Macías</t>
  </si>
  <si>
    <t>lalunamemata@yahoo.es</t>
  </si>
  <si>
    <t>637 427 380</t>
  </si>
  <si>
    <t>https://www.teatro.es/guiarte/compañia-juanjo-macias-34431</t>
  </si>
  <si>
    <t>Cetina, 11-13 1ºD - 41003 - Sevilla (Sevilla)</t>
  </si>
  <si>
    <t>Juan José Macías</t>
  </si>
  <si>
    <t>8co80 Gestión Cultural</t>
  </si>
  <si>
    <t>c/ León XIII, 41 (bajo) - 41009 - Sevilla (Sevilla)</t>
  </si>
  <si>
    <t>955 136 971 - 610 948 200</t>
  </si>
  <si>
    <t>8co80gc@gmail.com; proyectos@8co80.com</t>
  </si>
  <si>
    <t>www.8co80.com</t>
  </si>
  <si>
    <t>Compañía La Clá</t>
  </si>
  <si>
    <t>contacto@cialacla.com</t>
  </si>
  <si>
    <t>678 622 025 - 626 318 094</t>
  </si>
  <si>
    <t>https://www.teatro.es/guiarte/compañia-la-cla-35399</t>
  </si>
  <si>
    <t>Emilio Vargas, 18, 9º D - 28043 - Madrid (Madrid)</t>
  </si>
  <si>
    <t>Helena Berrozpe; Pilar Duque de Estrada</t>
  </si>
  <si>
    <t>Asociación El Garaje Teatro</t>
  </si>
  <si>
    <t>28029 - Madrid</t>
  </si>
  <si>
    <t>Compañía Lírica Española</t>
  </si>
  <si>
    <t>companialiricaespanola@gmail.com</t>
  </si>
  <si>
    <t>656 392 528</t>
  </si>
  <si>
    <t>https://www.teatro.es/guiarte/compañia-lirica-española-101474</t>
  </si>
  <si>
    <t>Calle Puerta de Orihuela , 18, 12ºbd - 3006 - Murcia (Murcia)</t>
  </si>
  <si>
    <t>Pepe Ros; Adrián Quiñones Miñarro; María Gloria Sánchez Saura</t>
  </si>
  <si>
    <t>Teatro-danza; Teatro musical; Ópera; Zarzuela</t>
  </si>
  <si>
    <t>Compañía Marta Carrasco</t>
  </si>
  <si>
    <t>martacarrasco@martacarrasco.com</t>
  </si>
  <si>
    <t>600 446 445</t>
  </si>
  <si>
    <t>https://www.teatro.es/guiarte/compañia-marta-carrasco-3524</t>
  </si>
  <si>
    <t>El Masnou</t>
  </si>
  <si>
    <t>Lluís Millet, 146 - 08320 - El Masnou (Barcelona)</t>
  </si>
  <si>
    <t>Marta Carrasco</t>
  </si>
  <si>
    <t>Compañía Media Luna</t>
  </si>
  <si>
    <t>ciamedialuna@hotmail.es; rocin_flematico@yahoo.es; icanbelivia@hotmail.com</t>
  </si>
  <si>
    <t>653 037 774</t>
  </si>
  <si>
    <t>https://www.teatro.es/guiarte/compañia-media-luna-35460</t>
  </si>
  <si>
    <t>Vicente Camarón, 39, 2ºB - 28011 - Madrid (Madrid)</t>
  </si>
  <si>
    <t>Livia Cruz Montes</t>
  </si>
  <si>
    <t>Teatro de objetos; Teatro-danza; Teatro musical; Teatro gestual - Teatro del movimiento; Teatro de texto; Teatro-circo</t>
  </si>
  <si>
    <t>Compañía Mery Dörp</t>
  </si>
  <si>
    <t>mariaescobar.dorp@gmail.com</t>
  </si>
  <si>
    <t>915 265 233 - 646 903 445</t>
  </si>
  <si>
    <t>https://www.teatro.es/guiarte/compañia-mery-dorp-64098</t>
  </si>
  <si>
    <t>C/ Antonio Zamora 75-D. Bajo Derecha. Bloque 4 - 28011 - Madrid (Madrid)</t>
  </si>
  <si>
    <t>María Escobar</t>
  </si>
  <si>
    <t>Compañía Mimenko</t>
  </si>
  <si>
    <t>gabriel.aragu@gmail.com</t>
  </si>
  <si>
    <t>665 779 740 - 640 536 550</t>
  </si>
  <si>
    <t>https://www.teatro.es/guiarte/compañia-mimenko-106291</t>
  </si>
  <si>
    <t>C/ Froilán de la Serna, 15 planta 2 puerta 8 - 41009 - Sevilla (Sevilla)</t>
  </si>
  <si>
    <t>Compañía Nueveuno Circo</t>
  </si>
  <si>
    <t>info@nueveunocirco.com; nueveunocirco@gmail.com</t>
  </si>
  <si>
    <t>639 310 449 - 606 048 548</t>
  </si>
  <si>
    <t>https://www.teatro.es/guiarte/compañia-nueveuno-circo-94221</t>
  </si>
  <si>
    <t>C/ Albeniz 3 (Local) - 28011 - Madrid (Madrid)</t>
  </si>
  <si>
    <t>Jorge Silvestre Granda</t>
  </si>
  <si>
    <t>Teatro de objetos; Teatro-danza; Circo; Teatro gestual - Teatro del movimiento; Teatro-circo</t>
  </si>
  <si>
    <t>Nacho Vilar Producciones S.L</t>
  </si>
  <si>
    <t>Apartado de Correos 4836 - 30080 - Murcia (Murcia)</t>
  </si>
  <si>
    <t>968 219 305 - 609 675 999</t>
  </si>
  <si>
    <t>produccion@nachovilar.com</t>
  </si>
  <si>
    <t>www.nachovilar.com</t>
  </si>
  <si>
    <t>Compañía Nómada</t>
  </si>
  <si>
    <t>info@elteatrovictoria.com</t>
  </si>
  <si>
    <t>922 290 578</t>
  </si>
  <si>
    <t>https://www.teatro.es/guiarte/compañia-nomada-100887</t>
  </si>
  <si>
    <t>Calle Méndez Núñez, 36 - 38003 - Santa Cruz de Tenerife (Santa Cruz de Tenerife)</t>
  </si>
  <si>
    <t>Roberto Torres</t>
  </si>
  <si>
    <t>Compañía Pendiente. Ana Eulate</t>
  </si>
  <si>
    <t>marie-therese.faus@libertysurf.fr; anaeulate@gmail.com</t>
  </si>
  <si>
    <t>649 000 983</t>
  </si>
  <si>
    <t>https://www.teatro.es/guiarte/compañia-pendiente-ana-eulate-32369</t>
  </si>
  <si>
    <t>Montsió, 15, 4º - 08002 - Barcelona (Barcelona)</t>
  </si>
  <si>
    <t>Ana Eulate</t>
  </si>
  <si>
    <t>Compañía Psico Ballet</t>
  </si>
  <si>
    <t>psicoballet@psicoballetmaiteleon.org</t>
  </si>
  <si>
    <t>917 422 320</t>
  </si>
  <si>
    <t>https://www.teatro.es/guiarte/compañia-psico-ballet-55138</t>
  </si>
  <si>
    <t>C/ Vizconde de los asilos, 5 - 28027 - Madrid (Madrid)</t>
  </si>
  <si>
    <t>Gabriela Martín</t>
  </si>
  <si>
    <t>Compañía Rafaela Carrasco</t>
  </si>
  <si>
    <t>rafaela@rafaelacarrasco.com</t>
  </si>
  <si>
    <t>https://www.teatro.es/guiarte/compañia-rafaela-carrasco-101435</t>
  </si>
  <si>
    <t>Avenda de Burgos, 25 - 28380 - Madrid (Madrid)</t>
  </si>
  <si>
    <t>Emilia Yagüe Producciones S.L.U</t>
  </si>
  <si>
    <t>Calle Batalla del Salado, 34, Esc. Izda. 1C - 28045 - Madrid (Madrid)</t>
  </si>
  <si>
    <t>913 340 838 - 616 431 404</t>
  </si>
  <si>
    <t>info@emiliayague.com; emilia@emiliayague.com</t>
  </si>
  <si>
    <t>www.emiliayague.com</t>
  </si>
  <si>
    <t>Compañía Réplika Teatro</t>
  </si>
  <si>
    <t>teatro@replikateatro.com; socorroanadon@replikateatro.com; academia@replikateatro.com</t>
  </si>
  <si>
    <t>639 212 667 - 915 350 570</t>
  </si>
  <si>
    <t>https://www.teatro.es/guiarte/compañia-replika-teatro-2891</t>
  </si>
  <si>
    <t>c/ Explanada, 14 - 28040 - Madrid (Madrid)</t>
  </si>
  <si>
    <t>Socorro López Anadón; Jaroslaw Bielski; Mikolaj Bielski</t>
  </si>
  <si>
    <t>Compañía Spam. Please. Enter</t>
  </si>
  <si>
    <t>info@gazquezalcaraz.com</t>
  </si>
  <si>
    <t>https://www.teatro.es/guiarte/compañia-spam-please-enter-104701</t>
  </si>
  <si>
    <t>29010 - Málaga (Málaga)</t>
  </si>
  <si>
    <t>Ramón Gázquez; Cristian Alcaraz</t>
  </si>
  <si>
    <t>Compañía Subcielo. Danza Aérea</t>
  </si>
  <si>
    <t>subcielodanzaaerea@gmail.com</t>
  </si>
  <si>
    <t>620 180 649</t>
  </si>
  <si>
    <t>https://www.teatro.es/guiarte/compañia-subcielo-danza-aerea-94098</t>
  </si>
  <si>
    <t>Capitán Segarra 12, 2 der - 03004 - Alicante (Alicante)</t>
  </si>
  <si>
    <t>Pablo Martín Cuello</t>
  </si>
  <si>
    <t>Teatro-danza; Performance-Acciones-Instalaciones; Teatro-circo</t>
  </si>
  <si>
    <t>Ibáñez &amp; Payá Producciones</t>
  </si>
  <si>
    <t>C/ Federico García Lorca 16, 2D - 12530 - Burriena (Castellón)</t>
  </si>
  <si>
    <t>696 312 838</t>
  </si>
  <si>
    <t>direccion@ibanezypaya.com; info@ibanezypaya.com</t>
  </si>
  <si>
    <t>www.ibañezypaya.es</t>
  </si>
  <si>
    <t>Compañía Teatro 13</t>
  </si>
  <si>
    <t>620 012 378</t>
  </si>
  <si>
    <t>https://www.teatro.es/guiarte/compañia-teatro-13-33854</t>
  </si>
  <si>
    <t>Benavides, 13, 2º - 38004 - Santa Cruz de Tenerife (Santa Cruz de Tenerife)</t>
  </si>
  <si>
    <t>Abraham Gómez Rosales</t>
  </si>
  <si>
    <t>Asociación Teatro 13 Tenerife</t>
  </si>
  <si>
    <t>c/ Plaza de los curtidos, Residencial Los Molinos P.3,  4º B - 38005 - Santa Cruz de Tenerife (Santa Cruz de Tenerife)</t>
  </si>
  <si>
    <t>Compañía Temple</t>
  </si>
  <si>
    <t>info@ballettemple.com</t>
  </si>
  <si>
    <t>647 558 632</t>
  </si>
  <si>
    <t>https://www.teatro.es/guiarte/compañia-temple-64916</t>
  </si>
  <si>
    <t>Elche</t>
  </si>
  <si>
    <t>C/Santa Teresa 11 - 03204 - Elche (Alicante)</t>
  </si>
  <si>
    <t>Silvia Fuentes</t>
  </si>
  <si>
    <t>Compañía Voltage</t>
  </si>
  <si>
    <t>voltageteatro@gmail.com</t>
  </si>
  <si>
    <t>https://www.teatro.es/guiarte/compañia-voltage-103711</t>
  </si>
  <si>
    <t>Herrerías 26-28, 2°b - 31500 - Tudela (Navarra)</t>
  </si>
  <si>
    <t>Amaia Múgica; Antonio Chuaqui</t>
  </si>
  <si>
    <t>Compañía de Danza Fernando Hurtado</t>
  </si>
  <si>
    <t>ciafernandohurtado@gmail.com; fernandohurtado11@gmail.com; ma.marchirant@a-mas.net</t>
  </si>
  <si>
    <t>691 656 197 - 637 740 075</t>
  </si>
  <si>
    <t>https://www.teatro.es/guiarte/compañia-de-danza-fernando-hurtado-33225</t>
  </si>
  <si>
    <t>Nerja</t>
  </si>
  <si>
    <t>Centro Cultural Villa de Nerja, C/ Granada, 45 - 29780 - Nerja (Málaga)</t>
  </si>
  <si>
    <t>Fernando Hurtado</t>
  </si>
  <si>
    <t>A + Soluciones Culturales</t>
  </si>
  <si>
    <t>C/ Chera, 1-29 - 46017 - Valencia (Valencia)</t>
  </si>
  <si>
    <t>616 273 496 - 616 533 805</t>
  </si>
  <si>
    <t>ma.marchirant@gmail.com; laura.marin@a-mas.net</t>
  </si>
  <si>
    <t>www.a-mas.net</t>
  </si>
  <si>
    <t>Compañía de Danza Mar Gómez</t>
  </si>
  <si>
    <t>info@ciamargomez.com</t>
  </si>
  <si>
    <t>932 216 695</t>
  </si>
  <si>
    <t>https://www.teatro.es/guiarte/compañia-de-danza-mar-gomez-32366</t>
  </si>
  <si>
    <t>Passatge Bori, 4,  Baixos 3ª - 08005 - Barcelona (Barcelona)</t>
  </si>
  <si>
    <t>Xavier Martínez; Mar Gómez</t>
  </si>
  <si>
    <t>Teatro-danza; Teatro-circo</t>
  </si>
  <si>
    <t>Compañía de Danza y Teatro de Castilla-La Mancha</t>
  </si>
  <si>
    <t>marcoantonio@eventostamashi.es</t>
  </si>
  <si>
    <t>649 913 069</t>
  </si>
  <si>
    <t>https://www.teatro.es/guiarte/compañia-de-danza-y-teatro-de-castilla-la-mancha-64983</t>
  </si>
  <si>
    <t>Albalate de Zorita</t>
  </si>
  <si>
    <t>Urbanización Nueva Sierra BH 34 - 19117 - Albalate de Zorita (Guadalajara)</t>
  </si>
  <si>
    <t>Marco Antonio Medina Jiménez; Alberto Merchante</t>
  </si>
  <si>
    <t>Teatro-danza; Performance-Acciones-Instalaciones; Teatro musical; Narración oral escénica; Variedades; Teatro de texto</t>
  </si>
  <si>
    <t>Compañía de Danza-Teatro Dantea</t>
  </si>
  <si>
    <t>dantea@dantea.com</t>
  </si>
  <si>
    <t>942 258 915</t>
  </si>
  <si>
    <t>https://www.teatro.es/guiarte/compañia-de-danza-teatro-dantea-33284</t>
  </si>
  <si>
    <t>Revilla de Camargo</t>
  </si>
  <si>
    <t>Bº La Sierra, 26 - 39600 - Revilla de Camargo (Cantabria)</t>
  </si>
  <si>
    <t>Gonzalo San Miguel Llamosas</t>
  </si>
  <si>
    <t>Compañía de Investigación Teatral H El Arte</t>
  </si>
  <si>
    <t>helarteteatro@gmail.com</t>
  </si>
  <si>
    <t>https://www.teatro.es/guiarte/compañia-de-investigacion-teatral-h-el-arte-105502</t>
  </si>
  <si>
    <t>Travesía de Villacastín, 11A, Esc2, 2ºG - 40006 - Segovia (Segovia)</t>
  </si>
  <si>
    <t>Esther Berzal Saiz; Alicia de Pablo Sánchez; Alicia Villora Esteve</t>
  </si>
  <si>
    <t>Teatro de objetos; Teatro-danza; Teatro gestual - Teatro del movimiento; Teatro de texto; Lecturas dramatizadas-semimontajes</t>
  </si>
  <si>
    <t>Compañía de Revista Luis Pardos</t>
  </si>
  <si>
    <t>info@luispardos.com</t>
  </si>
  <si>
    <t>617 394 040 - 976 126 101</t>
  </si>
  <si>
    <t>https://www.teatro.es/guiarte/compañia-de-revista-luis-pardos-5235</t>
  </si>
  <si>
    <t>Avda. Compromiso de Caspe, 18 - 50002 - Zaragoza (Zaragoza)</t>
  </si>
  <si>
    <t>Luis Pardos Melero; Andrei Aurel Spiridon</t>
  </si>
  <si>
    <t>Teatro-danza; Teatro musical; Teatro de texto; Teatro-circo</t>
  </si>
  <si>
    <t>Compañía de Teatro Atikus</t>
  </si>
  <si>
    <t>info@atikus.es</t>
  </si>
  <si>
    <t>626 494 312</t>
  </si>
  <si>
    <t>https://www.teatro.es/guiarte/compañia-de-teatro-atikus-26291</t>
  </si>
  <si>
    <t>Etxauri</t>
  </si>
  <si>
    <t>El Soto, 7 - 31774 - Etxauri (Navarra)</t>
  </si>
  <si>
    <t>Asun Abab; Ángel Sagüés</t>
  </si>
  <si>
    <t>Compañía de Teatro Blas de Otero. CTBO</t>
  </si>
  <si>
    <t>informacion@blasdeotero.org</t>
  </si>
  <si>
    <t>916 591 298</t>
  </si>
  <si>
    <t>https://www.teatro.es/guiarte/compañia-de-teatro-blas-de-otero-ctbo-35403</t>
  </si>
  <si>
    <t>San Sebastián de los Reyes</t>
  </si>
  <si>
    <t>Paseo de Guadalajara, 12 - 28702 - San Sebastián de los Reyes (Madrid)</t>
  </si>
  <si>
    <t>Luis Pérez Lara</t>
  </si>
  <si>
    <t>Teatro-danza; Narración oral escénica; Variedades; Animaciones; Teatro de texto</t>
  </si>
  <si>
    <t>Compañía de Teatro Cuarta Pared</t>
  </si>
  <si>
    <t>produccion@cuartapared.es</t>
  </si>
  <si>
    <t>915 172 317</t>
  </si>
  <si>
    <t>https://www.teatro.es/guiarte/compañia-de-teatro-cuarta-pared-584</t>
  </si>
  <si>
    <t>Ercilla, 17 - 28005 - Madrid (Madrid)</t>
  </si>
  <si>
    <t>Amador González</t>
  </si>
  <si>
    <t>Compañía de Teatro La Novia</t>
  </si>
  <si>
    <t>info@lanoviateatro.com; mariaje@lanoviateatro.com</t>
  </si>
  <si>
    <t>606 220 754 - 659 589 406 - 660 082 990 - 914 488 781</t>
  </si>
  <si>
    <t>https://www.teatro.es/guiarte/compañia-de-teatro-la-novia-4168</t>
  </si>
  <si>
    <t>San Andrés, 19, 4º Dcha - 28004 - Madrid (Madrid)</t>
  </si>
  <si>
    <t>María Jesús Romero</t>
  </si>
  <si>
    <t>Compañíadehecho</t>
  </si>
  <si>
    <t>ciadehecho@gmail.com</t>
  </si>
  <si>
    <t>626 869 311</t>
  </si>
  <si>
    <t>https://www.teatro.es/guiarte/compañiadehecho-4304</t>
  </si>
  <si>
    <t>Sta. Isabel, 9, 4º dcha 2 - 28012 - Madrid (Madrid)</t>
  </si>
  <si>
    <t>Pedro Aunión Monroy</t>
  </si>
  <si>
    <t>Teatro-danza; Performance-Acciones-Instalaciones; Animaciones; Teatro de texto; Teatro-circo</t>
  </si>
  <si>
    <t>Con Alevosía Teatro</t>
  </si>
  <si>
    <t>contacto@conalevosiateatro.com; con.alevosiateatro@gmail.com</t>
  </si>
  <si>
    <t>666 708 199 - 610 283 204</t>
  </si>
  <si>
    <t>https://www.teatro.es/guiarte/con-alevosia-teatro-33598</t>
  </si>
  <si>
    <t>Barredos</t>
  </si>
  <si>
    <t>C/ La Fuente, 1 - 2 A - 33970 - Barredos (Asturias)</t>
  </si>
  <si>
    <t>Silvia Alvarez Gutiérrez; Ernesto González Argüelles</t>
  </si>
  <si>
    <t>Coribante Producciones</t>
  </si>
  <si>
    <t>info@coribante.com; jmdelcastillo@coribante.com</t>
  </si>
  <si>
    <t>667 913 749</t>
  </si>
  <si>
    <t>https://www.teatro.es/guiarte/coribante-producciones-100777</t>
  </si>
  <si>
    <t>Paseo de Europa 27, bloque 10, 1d - 41012 - Sevilla (Sevilla)</t>
  </si>
  <si>
    <t>José María del Castillo Vaquera</t>
  </si>
  <si>
    <t>Cosmocómicos Producciones Escénicas Asociadas</t>
  </si>
  <si>
    <t>cosmocomicos@gmail.com</t>
  </si>
  <si>
    <t>619 603 941 - 914 158 116</t>
  </si>
  <si>
    <t>https://www.teatro.es/guiarte/cosmocomicos-producciones-escenicas-asociadas-34880</t>
  </si>
  <si>
    <t>Avda. América, 37, 13 3º - 28002 - Madrid (Madrid)</t>
  </si>
  <si>
    <t>Teresa Alcalá Cuenca</t>
  </si>
  <si>
    <t>Teatro-danza; Performance-Acciones-Instalaciones; Teatro musical; Ópera; Teatro de texto</t>
  </si>
  <si>
    <t>Cre.Art Project</t>
  </si>
  <si>
    <t>info@creartproject.com</t>
  </si>
  <si>
    <t>652 760 933</t>
  </si>
  <si>
    <t>https://www.teatro.es/guiarte/cre-art-project-55050</t>
  </si>
  <si>
    <t>Paseo Yeserías, 47 4º A - 28005 - Madrid (Madrid)</t>
  </si>
  <si>
    <t>Guillermo Laporta; David Orrico; Tagore González</t>
  </si>
  <si>
    <t>Creativo Imprevisible</t>
  </si>
  <si>
    <t>creativoimprevisible@gmail.com</t>
  </si>
  <si>
    <t>953 237 128 - 629 047 072</t>
  </si>
  <si>
    <t>https://www.teatro.es/guiarte/creativo-imprevisible-28836</t>
  </si>
  <si>
    <t>San Andrés, 13 - 23003 - Jaén (Jaén)</t>
  </si>
  <si>
    <t>Mercedes Hidalgo Luque</t>
  </si>
  <si>
    <t>Cía Ana Vílchez</t>
  </si>
  <si>
    <t>622 377 093 - 620 554 824</t>
  </si>
  <si>
    <t>https://www.teatro.es/guiarte/cia-ana-vilchez-105181</t>
  </si>
  <si>
    <t>Pulianas</t>
  </si>
  <si>
    <t>Urb la joya C/ Granate, 2 - 18197 - Pulianas (Granada)</t>
  </si>
  <si>
    <t>Elena López Morales</t>
  </si>
  <si>
    <t>Esse Arte Producciones 3.0 S.L.U</t>
  </si>
  <si>
    <t>Urb la joya C/Granate, 2 - 18197 - Pulianas (Granada)</t>
  </si>
  <si>
    <t>info@essearteproducciones.es</t>
  </si>
  <si>
    <t>www.essearteproducciones.es</t>
  </si>
  <si>
    <t>Cía Artistas Inflamables</t>
  </si>
  <si>
    <t>https://www.teatro.es/guiarte/cia-artistas-inflamables-65118</t>
  </si>
  <si>
    <t>26005 - Logroño (La Rioja)</t>
  </si>
  <si>
    <t>Samuel Retortillo; Luciana Croatto; Miguel Borges</t>
  </si>
  <si>
    <t>Madrugada Producciones SC</t>
  </si>
  <si>
    <t>Marqués de Murrieta 16-5c - 26005 - Logroño (La Rioja)</t>
  </si>
  <si>
    <t>Cía Ensalle</t>
  </si>
  <si>
    <t>distribucion@teatroensalle.com; teatroensalle@teatroensalle.com</t>
  </si>
  <si>
    <t>986 485 609 - 629 591 191</t>
  </si>
  <si>
    <t>https://www.teatro.es/guiarte/cia-ensalle-5239</t>
  </si>
  <si>
    <t>C/ Chile, 15, Bajo - 36202 - Vigo (Pontevedra)</t>
  </si>
  <si>
    <t>Raquel Hernández Sánchez; Pedro Fresneda Martínez</t>
  </si>
  <si>
    <t>Cía Sifó</t>
  </si>
  <si>
    <t>https://www.teatro.es/guiarte/cia-sifo-35900</t>
  </si>
  <si>
    <t>08037 - Barcelona (Barcelona)</t>
  </si>
  <si>
    <t>Marta Gorchs</t>
  </si>
  <si>
    <t>Teatro de objetos; Teatro-danza; Narración oral escénica; Teatro-circo</t>
  </si>
  <si>
    <t>La Maleta dels Espectacles</t>
  </si>
  <si>
    <t>C/ Mare de Déu del Coll, 21 ppal 2ª - 08023 - Barcelona (Barcelona)</t>
  </si>
  <si>
    <t>652 356 493</t>
  </si>
  <si>
    <t>info@lamaleta.cat</t>
  </si>
  <si>
    <t>www.lamaleta.cat</t>
  </si>
  <si>
    <t>Cía. Dos Proposiciones Danza-Teatro</t>
  </si>
  <si>
    <t>raquelramirezmadrid@gmail.com</t>
  </si>
  <si>
    <t>600 059 557</t>
  </si>
  <si>
    <t>https://www.teatro.es/guiarte/cia-dos-proposiciones-danza-teatro-35086</t>
  </si>
  <si>
    <t>San Luis 132, 5, bajo D - 41003 - Sevilla (Sevilla)</t>
  </si>
  <si>
    <t>Raquel Ramírez Madrid</t>
  </si>
  <si>
    <t>Cía. InfimA artS</t>
  </si>
  <si>
    <t>infimarts@gmail.com</t>
  </si>
  <si>
    <t>686 218 697</t>
  </si>
  <si>
    <t>https://www.teatro.es/guiarte/cia-infima-arts-37059</t>
  </si>
  <si>
    <t>General Marva, 41 - 28026 - Madrid (Madrid)</t>
  </si>
  <si>
    <t>Josep Compte Urpi</t>
  </si>
  <si>
    <t>Cía. La Rous</t>
  </si>
  <si>
    <t>rosadiazmf@gmail.com; larousteatro@gmail.com</t>
  </si>
  <si>
    <t>958 546 012 - 619 420 026</t>
  </si>
  <si>
    <t>https://www.teatro.es/guiarte/cia-la-rous-35390</t>
  </si>
  <si>
    <t>Plaza del Mexuar, 12 - 18010 - Granada (Granada)</t>
  </si>
  <si>
    <t>Rosa Díaz Martínez Falero</t>
  </si>
  <si>
    <t>Cía. Lalupe</t>
  </si>
  <si>
    <t>lalupeteatro@hotmail.com</t>
  </si>
  <si>
    <t>617 578 768</t>
  </si>
  <si>
    <t>https://www.teatro.es/guiarte/cia-lalupe-28483</t>
  </si>
  <si>
    <t>Roser, 13 - 08004 - Barcelona (Sevilla)</t>
  </si>
  <si>
    <t>Vicente Mayans</t>
  </si>
  <si>
    <t>Cía. Los Moñekos</t>
  </si>
  <si>
    <t>699 722 070</t>
  </si>
  <si>
    <t>https://www.teatro.es/guiarte/cia-los-moñekos-54952</t>
  </si>
  <si>
    <t>Sarah Anglada; Miguel Fiol</t>
  </si>
  <si>
    <t>Rotativa Performing Arts</t>
  </si>
  <si>
    <t>Fraternitat 9 bajos 1ª - 08012 - Barcelona (Barcelona)</t>
  </si>
  <si>
    <t>644 361 180</t>
  </si>
  <si>
    <t>info@rotativaperformingarts.com</t>
  </si>
  <si>
    <t>www.rotativaperformingarts.com</t>
  </si>
  <si>
    <t>Cía. Moveo</t>
  </si>
  <si>
    <t>info@ciamoveo.cat</t>
  </si>
  <si>
    <t>933 002 508 - 654 587 529</t>
  </si>
  <si>
    <t>https://www.teatro.es/guiarte/cia-moveo-5976</t>
  </si>
  <si>
    <t>Joan d'Àustria 95-97 1º 3ª - 08018 - Barcelona (Barcelona)</t>
  </si>
  <si>
    <t>Stéphane Lévy; Sophie Kasser</t>
  </si>
  <si>
    <t>Teatro-danza; Teatro gestual - Teatro del movimiento</t>
  </si>
  <si>
    <t>Fani Benages</t>
  </si>
  <si>
    <t>Carrer Major, 23 - 43427 - Albió (Tarragona)</t>
  </si>
  <si>
    <t>654 925 551</t>
  </si>
  <si>
    <t>fani@fanibenages.com</t>
  </si>
  <si>
    <t>fanibenages.com</t>
  </si>
  <si>
    <t>Cía. Niñas Malditas</t>
  </si>
  <si>
    <t>malditas.circo@gmail.com</t>
  </si>
  <si>
    <t>https://www.teatro.es/guiarte/cia-niñas-malditas-107587</t>
  </si>
  <si>
    <t>Calle Alcázar de San Juan, 6d - 28011 - Madrid (Madrid)</t>
  </si>
  <si>
    <t>Clara Fernández; Carolina Yavén</t>
  </si>
  <si>
    <t>Cía. Proyecto Otradnoie</t>
  </si>
  <si>
    <t>demasiadascosas432@yahoo.com; proyectotradnoie@gmail.com</t>
  </si>
  <si>
    <t>685 527 072 - 650 650 669</t>
  </si>
  <si>
    <t>https://www.teatro.es/guiarte/cia-proyecto-otradnoie-55157</t>
  </si>
  <si>
    <t>Sitges</t>
  </si>
  <si>
    <t>C/ Espalter 16, 4to, 6ta - 08070 - Sitges (Barcelona)</t>
  </si>
  <si>
    <t>Maurici Pradas; German Caro Larsen</t>
  </si>
  <si>
    <t>Cía. Teresa Roig</t>
  </si>
  <si>
    <t>teresa_roig@yahoo.es</t>
  </si>
  <si>
    <t>619 873 072</t>
  </si>
  <si>
    <t>https://www.teatro.es/guiarte/cia-teresa-roig-33679</t>
  </si>
  <si>
    <t>Bretón de los Herreros, 23, 1º 3ª - 08012 - Barcelona (Barcelona)</t>
  </si>
  <si>
    <t>Teresa Roig</t>
  </si>
  <si>
    <t>Teatro de objetos; Teatro-danza; Teatro musical; Variedades; Teatro de texto</t>
  </si>
  <si>
    <t>Cía. Unaovarias</t>
  </si>
  <si>
    <t>unaovariasinfo@gmail.com</t>
  </si>
  <si>
    <t>647 945 618</t>
  </si>
  <si>
    <t>https://www.teatro.es/guiarte/cia-unaovarias-103447</t>
  </si>
  <si>
    <t>C/ Tormes, 14 - 46190 - Valencia (Valencia)</t>
  </si>
  <si>
    <t>María Martí Peñaranda</t>
  </si>
  <si>
    <t>Cía. Yo Misma</t>
  </si>
  <si>
    <t>labolon@gmail.com</t>
  </si>
  <si>
    <t>627 004 987</t>
  </si>
  <si>
    <t>https://www.teatro.es/guiarte/cia-yo-misma-34805</t>
  </si>
  <si>
    <t>Nuño Gómez, 20 - 2º  C - 29008 - Málaga (Málaga)</t>
  </si>
  <si>
    <t>Laura Bolón</t>
  </si>
  <si>
    <t>Teatro-danza; Animaciones; Teatro gestual - Teatro del movimiento; Teatro-circo</t>
  </si>
  <si>
    <t>Cía. de Espectáculos La Tarasca</t>
  </si>
  <si>
    <t>latarasca@cialatarasca.com</t>
  </si>
  <si>
    <t>630 828 493 - 954 515 725</t>
  </si>
  <si>
    <t>https://www.teatro.es/guiarte/cia-de-espectaculos-la-tarasca-2123</t>
  </si>
  <si>
    <t>C/ Curtidurías, 10 B - 41002 - Sevilla (Sevilla)</t>
  </si>
  <si>
    <t>José Ramón Bocanegra Cazorla; Carmen Gutiérrez Montes</t>
  </si>
  <si>
    <t>Còrnia</t>
  </si>
  <si>
    <t>corniacreacions@gmail.com</t>
  </si>
  <si>
    <t>616 253 506</t>
  </si>
  <si>
    <t>https://www.teatro.es/guiarte/cornia-36114</t>
  </si>
  <si>
    <t>Montoliu de Lleida</t>
  </si>
  <si>
    <t>c/ Migdia, 18 - 25172 - Montoliu de Lleida (Lleida)</t>
  </si>
  <si>
    <t>Carlota Torrents</t>
  </si>
  <si>
    <t>D'Click</t>
  </si>
  <si>
    <t>ciadclick@gmail.com; castrillana@gmail.com</t>
  </si>
  <si>
    <t>619 149 878 - 618 411 974 - 616 816 640</t>
  </si>
  <si>
    <t>https://www.teatro.es/guiarte/d-click-62714</t>
  </si>
  <si>
    <t>C/ Rebolería, 5, 2-D. Interior - 50002 - Zaragoza (Zaragoza)</t>
  </si>
  <si>
    <t>Hugo Gauthier; Javier Gracia; Ana Castrillo</t>
  </si>
  <si>
    <t>Teatro-danza; Circo; Animaciones; Teatro gestual - Teatro del movimiento; Teatro-circo</t>
  </si>
  <si>
    <t>Da.Te Danza</t>
  </si>
  <si>
    <t>produccion@datedanza.es</t>
  </si>
  <si>
    <t>605 814 721 - 958 550 704</t>
  </si>
  <si>
    <t>https://www.teatro.es/guiarte/da-te-danza-37046</t>
  </si>
  <si>
    <t>Churriana de la Vega</t>
  </si>
  <si>
    <t>Derechos humanos, 9 - 18194 - Churriana de la Vega (Granada)</t>
  </si>
  <si>
    <t>Omar Meza</t>
  </si>
  <si>
    <t>Dacsa Produccions S.L</t>
  </si>
  <si>
    <t>xavier@dacsaproduccions.com</t>
  </si>
  <si>
    <t>619 726 119</t>
  </si>
  <si>
    <t>https://www.teatro.es/guiarte/dacsa-produccions-s-l-29196</t>
  </si>
  <si>
    <t>C/ Linterna, 11-7 - 46001 - Valencia (Valencia)</t>
  </si>
  <si>
    <t>Xavier Crespo Rico</t>
  </si>
  <si>
    <t>Teresa de Juan. Distribución y Producción de Espectáculos Teatrales</t>
  </si>
  <si>
    <t>Avda. San José de la Montaña 24, 1 pta1 - 46008 - Valencia (Valencia)</t>
  </si>
  <si>
    <t>618 345 588</t>
  </si>
  <si>
    <t>cultura@tdjproducciones.com</t>
  </si>
  <si>
    <t>www.facebook.com/TeresaDeJuanProducciones; www.tdjproducciones.com</t>
  </si>
  <si>
    <t>Daltmurada</t>
  </si>
  <si>
    <t>guitunet@gmail.com</t>
  </si>
  <si>
    <t>610 614 896</t>
  </si>
  <si>
    <t>https://www.teatro.es/guiarte/daltmurada-101536</t>
  </si>
  <si>
    <t>Marratxí</t>
  </si>
  <si>
    <t>Calle Napols, 29 b - 07141 - Marratxí (Illes Balears)</t>
  </si>
  <si>
    <t>Guillem Duran Berthommier</t>
  </si>
  <si>
    <t>Distribución José Luis</t>
  </si>
  <si>
    <t>Av. Juan Carlos I, 7 3ºD - 29680 - Málaga (Málaga)</t>
  </si>
  <si>
    <t>Daniel Abreu</t>
  </si>
  <si>
    <t>ciadanielabreu@gmail.com; elena@esmanagement.es</t>
  </si>
  <si>
    <t>650 981 539</t>
  </si>
  <si>
    <t>https://www.teatro.es/guiarte/daniel-abreu-7018</t>
  </si>
  <si>
    <t>c/ Olmo 5, 4º Izda - 28012 - Madrid (Madrid)</t>
  </si>
  <si>
    <t>ESMANAGEMENT</t>
  </si>
  <si>
    <t>666 203 137</t>
  </si>
  <si>
    <t>es@esmanagement.es</t>
  </si>
  <si>
    <t>esmanagement.es</t>
  </si>
  <si>
    <t>Dante Teatro</t>
  </si>
  <si>
    <t>asimomsimon@yahoo.es; asimon@telefonica.net</t>
  </si>
  <si>
    <t>914 744 712</t>
  </si>
  <si>
    <t>https://www.teatro.es/guiarte/dante-teatro-2947</t>
  </si>
  <si>
    <t>Peñuelas, 25, Bajo 4 - 28005 - Madrid (Madrid)</t>
  </si>
  <si>
    <t>Adolfo Simón Sánchez</t>
  </si>
  <si>
    <t>Teatro de objetos; Teatro-danza; Performance-Acciones-Instalaciones; Narración oral escénica; Variedades; Teatro de texto</t>
  </si>
  <si>
    <t>David Martin</t>
  </si>
  <si>
    <t>davidmartindanza@gmail.com</t>
  </si>
  <si>
    <t>https://www.teatro.es/guiarte/david-martin-71618</t>
  </si>
  <si>
    <t>Av. Ortega y Gasset, 96 3ºD - 29006 - Málaga (Málaga)</t>
  </si>
  <si>
    <t>Jorge Martin Ramos; David Martin Domínguez</t>
  </si>
  <si>
    <t>De Puntillas Danza-Teatro</t>
  </si>
  <si>
    <t>depuntillasdistribucion@yahoo.es; contacto@ciadepuntillas.com; distribucion@ciadepuntillas.com</t>
  </si>
  <si>
    <t>630 558 132 - 954 227 123</t>
  </si>
  <si>
    <t>https://www.teatro.es/guiarte/de-puntillas-danza-teatro-35219</t>
  </si>
  <si>
    <t>Rivero, 7, 2º - 41004 - Sevilla (Sevilla)</t>
  </si>
  <si>
    <t>María L. Martínez de Tejada</t>
  </si>
  <si>
    <t>De Sangre y Raza</t>
  </si>
  <si>
    <t>desangreyraza@desangreyraza.com</t>
  </si>
  <si>
    <t>918 091 896 - 679 339 875</t>
  </si>
  <si>
    <t>https://www.teatro.es/guiarte/de-sangre-y-raza-70341</t>
  </si>
  <si>
    <t>Deabru Beltzak</t>
  </si>
  <si>
    <t>deabru@deabrubeltzak.com</t>
  </si>
  <si>
    <t>944 029 992 - 656 763 753</t>
  </si>
  <si>
    <t>https://www.teatro.es/guiarte/deabru-beltzak-3950</t>
  </si>
  <si>
    <t>Apartado de Correos 7016 - 48080 - Bilbao (Vizcaya)</t>
  </si>
  <si>
    <t>Óscar Castaño</t>
  </si>
  <si>
    <t>Teatro de objetos; Teatro-danza; Animaciones; Teatro gestual - Teatro del movimiento</t>
  </si>
  <si>
    <t>Dis-Dis Producciones, S.L</t>
  </si>
  <si>
    <t>Prim, 27, lonja izda - 48006 - Bilbao (Vizcaya)</t>
  </si>
  <si>
    <t>Deambulants</t>
  </si>
  <si>
    <t>deambulants@deambulants.net</t>
  </si>
  <si>
    <t>600 413 868</t>
  </si>
  <si>
    <t>https://www.teatro.es/guiarte/deambulants-6061</t>
  </si>
  <si>
    <t>Sant Antoni, 1 - 17190 - Salt (Girona)</t>
  </si>
  <si>
    <t>Mariona Moya</t>
  </si>
  <si>
    <t>Decoliflor Arts</t>
  </si>
  <si>
    <t>decoliflor@hotmail.com</t>
  </si>
  <si>
    <t>629 775 177 - 669 420 610</t>
  </si>
  <si>
    <t>https://www.teatro.es/guiarte/decoliflor-arts-25977</t>
  </si>
  <si>
    <t>Fraternitat, 16, Baixos - 08012 - Barcelona (Barcelona)</t>
  </si>
  <si>
    <t>Kio Aubà</t>
  </si>
  <si>
    <t>Deka-Skene Teatro</t>
  </si>
  <si>
    <t>dekaskeneteatro@gmail.com</t>
  </si>
  <si>
    <t>649 233 932 - 659 691 218</t>
  </si>
  <si>
    <t>https://www.teatro.es/guiarte/deka-skene-teatro-6101</t>
  </si>
  <si>
    <t>Consejo de la Juventud, Avda. de Asturias, s/n - 24402 - Ponferrada (León)</t>
  </si>
  <si>
    <t>Carlos Gil</t>
  </si>
  <si>
    <t>Teatro-danza; Teatro musical; Animaciones; Teatro de texto</t>
  </si>
  <si>
    <t>Dh14 Producción S.L,.</t>
  </si>
  <si>
    <t>info@doshermanascatorce.com</t>
  </si>
  <si>
    <t>910 263 985</t>
  </si>
  <si>
    <t>https://www.teatro.es/guiarte/dh14-produccion-s-l-102356</t>
  </si>
  <si>
    <t>Calle dos hermanas 14, 4d - 28012 - Madrid (Madrid)</t>
  </si>
  <si>
    <t>Sergio Bethancourt; Guillermo Delgado</t>
  </si>
  <si>
    <t>Teatro-danza; Teatro gestual - Teatro del movimiento; Teatro de texto; Teatro-circo</t>
  </si>
  <si>
    <t>Diamond Heels</t>
  </si>
  <si>
    <t>diamondheelsbcn@gmail.com</t>
  </si>
  <si>
    <t>669 234 805</t>
  </si>
  <si>
    <t>https://www.teatro.es/guiarte/diamond-heels-64262</t>
  </si>
  <si>
    <t>C/ Sepúlveda, 3, 4º 1ª - 08015 - Barcelona (Barcelona)</t>
  </si>
  <si>
    <t>Berta Real; Bernat Muñoz</t>
  </si>
  <si>
    <t>Diego Anido</t>
  </si>
  <si>
    <t>dondiegoanido@yahoo.es; finsbrico@hotmail.com</t>
  </si>
  <si>
    <t>659 380 723</t>
  </si>
  <si>
    <t>https://www.teatro.es/guiarte/diego-anido-5721</t>
  </si>
  <si>
    <t>c/ Sant Pere Martir 16, 3º - 08012 - Barcelona (Barcelona)</t>
  </si>
  <si>
    <t>Dikothomia Cía</t>
  </si>
  <si>
    <t>dikothomiacia@gmail.com</t>
  </si>
  <si>
    <t>https://www.teatro.es/guiarte/dikothomia-cia-65080</t>
  </si>
  <si>
    <t>Abadiño</t>
  </si>
  <si>
    <t>Abadeortu kalea 2, 2ºB - 48220 - Abadiño (Vizcaya)</t>
  </si>
  <si>
    <t>Endika Salazar Fontenla</t>
  </si>
  <si>
    <t>Distrito 20 Teatro &amp; Danza</t>
  </si>
  <si>
    <t>prfuertes@ya.com</t>
  </si>
  <si>
    <t>915 711 244 - 625 408 379</t>
  </si>
  <si>
    <t>https://www.teatro.es/guiarte/distrito-20-teatro-danza-652</t>
  </si>
  <si>
    <t>San Enrique, 16, 2º, Pasillo Dcha, Desp. 19 - 28020 - Madrid (Madrid)</t>
  </si>
  <si>
    <t>Francisco Rodríguez Fuertes</t>
  </si>
  <si>
    <t>Ditirambo Teatro-Danza</t>
  </si>
  <si>
    <t>carmen_maxestrella@hotmail.com</t>
  </si>
  <si>
    <t>913 310 346 - 649 021 357</t>
  </si>
  <si>
    <t>https://www.teatro.es/guiarte/ditirambo-teatro-danza-27836</t>
  </si>
  <si>
    <t>Puentelarra, 8, Esc. Centro, 3º C - 28031 - Madrid (Madrid)</t>
  </si>
  <si>
    <t>Carmen González Martínez</t>
  </si>
  <si>
    <t>Teatro-danza; Teatro musical; Variedades; Animaciones; Teatro de texto</t>
  </si>
  <si>
    <t>Diverso Alaria</t>
  </si>
  <si>
    <t>alaria57@hotmail.com</t>
  </si>
  <si>
    <t>971 465 077 - 659 097 074</t>
  </si>
  <si>
    <t>https://www.teatro.es/guiarte/diverso-alaria-32000</t>
  </si>
  <si>
    <t>Carrer de Joan Alcover, 47 B, 2º - 07006 - Palma de Mallorca (Illes Balears)</t>
  </si>
  <si>
    <t>Guillem Sanz</t>
  </si>
  <si>
    <t>José Maria Fayos</t>
  </si>
  <si>
    <t>C/ Fàbrica 49 -1 - 07009 - Palma de Mallorca (Illes Balears)</t>
  </si>
  <si>
    <t>Divertia Produccioens SLU</t>
  </si>
  <si>
    <t>prensa@divertia.es; comercial@divertia.es; marketing@divertia.es</t>
  </si>
  <si>
    <t>913 430 320</t>
  </si>
  <si>
    <t>https://www.teatro.es/guiarte/divertia-produccioens-slu-27123</t>
  </si>
  <si>
    <t>Calle Cueva de Montesinos, 124 - 28034 - Madrid (Madrid)</t>
  </si>
  <si>
    <t>Guillermo Felices</t>
  </si>
  <si>
    <t>Diàlegs Teatro</t>
  </si>
  <si>
    <t>ancro@hotmail.com</t>
  </si>
  <si>
    <t>661 068 923</t>
  </si>
  <si>
    <t>https://www.teatro.es/guiarte/dialegs-teatro-5963</t>
  </si>
  <si>
    <t>San Antonio, 15 - 03550 - Sant Joan d'Alacant (Alicante)</t>
  </si>
  <si>
    <t>Antonio Crespo</t>
  </si>
  <si>
    <t>Doos Colectivo</t>
  </si>
  <si>
    <t>https://www.teatro.es/guiarte/doos-colectivo-54989</t>
  </si>
  <si>
    <t>c/ Pelota 4, 6 - 48003 - Bilbao (Vizcaya)</t>
  </si>
  <si>
    <t>Jemima Cano; Eva Guerrero</t>
  </si>
  <si>
    <t>Atx Teatroa</t>
  </si>
  <si>
    <t>Artapeta Landa, 12 - 48003 - Bilbao (Vizcaya)</t>
  </si>
  <si>
    <t>Draft.Inn</t>
  </si>
  <si>
    <t>formacion@draftinn.com; javierbastias@draftinn.com</t>
  </si>
  <si>
    <t>657 430 744</t>
  </si>
  <si>
    <t>https://www.teatro.es/guiarte/draft-inn-37031</t>
  </si>
  <si>
    <t>Atocha 9, 3¼A - 28012 - Madrid (Madrid)</t>
  </si>
  <si>
    <t>José Manuel Mora</t>
  </si>
  <si>
    <t>Dragones en el Andamio</t>
  </si>
  <si>
    <t>info@dragonesenelandamio.com</t>
  </si>
  <si>
    <t>656 341 645</t>
  </si>
  <si>
    <t>https://www.teatro.es/guiarte/dragones-en-el-andamio-26658</t>
  </si>
  <si>
    <t>C/ General Ricardos, 32 - 28019 - Madrid (Madrid)</t>
  </si>
  <si>
    <t>Marisol Rozo</t>
  </si>
  <si>
    <t>Eduardo Manazas</t>
  </si>
  <si>
    <t>edumanazas@gmail.com</t>
  </si>
  <si>
    <t>https://www.teatro.es/guiarte/eduardo-manazas-101635</t>
  </si>
  <si>
    <t>Conde la Viñaza, 5 - 50017 - Zaragoza (Zaragoza)</t>
  </si>
  <si>
    <t>Eduardo Lostal</t>
  </si>
  <si>
    <t>Efímera Artes Escénicas</t>
  </si>
  <si>
    <t>irene.efimera@gmail.com; hugo.efimera@gmail.com</t>
  </si>
  <si>
    <t>https://www.teatro.es/guiarte/efimera-artes-escenicas-101987</t>
  </si>
  <si>
    <t>C/La Palmera, 8 - 14006 - Córdoba (Córdoba)</t>
  </si>
  <si>
    <t>Irene Lázaro; Hugo Lasarte Orillard</t>
  </si>
  <si>
    <t>El Alacrán Teatro</t>
  </si>
  <si>
    <t>alacranteatro.madrid@gmail.com; manuel.caro.torres@gmail.com</t>
  </si>
  <si>
    <t>649 777 967</t>
  </si>
  <si>
    <t>https://www.teatro.es/guiarte/el-alacran-teatro-3379</t>
  </si>
  <si>
    <t>Canchal, 46, 4-d - 28021 - Madrid (Madrid)</t>
  </si>
  <si>
    <t>Luis Manuel Caro Torres</t>
  </si>
  <si>
    <t>Teatro-danza; Performance-Acciones-Instalaciones; Teatro musical; Narración oral escénica; Teatro gestual - Teatro del movimiento; Teatro de texto</t>
  </si>
  <si>
    <t>El Buco Producciones</t>
  </si>
  <si>
    <t>maria@elbuco.es</t>
  </si>
  <si>
    <t>911 764 958</t>
  </si>
  <si>
    <t>https://www.teatro.es/guiarte/el-buco-producciones-34916</t>
  </si>
  <si>
    <t>Humanitarias, 4 Bajo - 28025 - Madrid (Madrid)</t>
  </si>
  <si>
    <t>Esperanza Pedreño</t>
  </si>
  <si>
    <t>El Callejón del Gato Producciones S.L</t>
  </si>
  <si>
    <t>info@elcallejondelgato.es</t>
  </si>
  <si>
    <t>658563081 - 984 391 443 - 655512117</t>
  </si>
  <si>
    <t>https://www.teatro.es/guiarte/el-callejon-del-gato-producciones-s-l-6450</t>
  </si>
  <si>
    <t>C/ Gutiérrez Mellado, 5 - 33211 - Gijón (Asturias)</t>
  </si>
  <si>
    <t>Moisés González; Ana Eva Guerra</t>
  </si>
  <si>
    <t>Teatro de objetos; Teatro-danza; Narración oral escénica; Teatro gestual - Teatro del movimiento; Teatro de texto</t>
  </si>
  <si>
    <t>El Conde de Torrefiel</t>
  </si>
  <si>
    <t>info@elcondedetorrefiel.com</t>
  </si>
  <si>
    <t>692 705 603 - 627 281 979</t>
  </si>
  <si>
    <t>https://www.teatro.es/guiarte/el-conde-de-torrefiel-6825</t>
  </si>
  <si>
    <t>C/ Nou de la Rambla 27, ático - 08001 - Barcelona (Barcelona)</t>
  </si>
  <si>
    <t>Pablo Gisbert Donat; Tanya Beyeler</t>
  </si>
  <si>
    <t>El Curro DT Sdad. Coop. Mad</t>
  </si>
  <si>
    <t>elcurrodt@dtespacioescenico.com</t>
  </si>
  <si>
    <t>915 217 155</t>
  </si>
  <si>
    <t>https://www.teatro.es/guiarte/el-curro-dt-sdad-coop-mad-3958</t>
  </si>
  <si>
    <t>De la Reina, 9 - 28004 - Madrid (Madrid)</t>
  </si>
  <si>
    <t>Violeta Frión Fernández; Alberto García Vidal; Miren Muñoz Vitoria;  Miguel González Padilla; Carlos A. Alonso</t>
  </si>
  <si>
    <t>Teatro-danza; Performance-Acciones-Instalaciones; Variedades</t>
  </si>
  <si>
    <t>El Dado Teatro</t>
  </si>
  <si>
    <t>eldadoteatro@gmail.com</t>
  </si>
  <si>
    <t>https://www.teatro.es/guiarte/el-dado-teatro-106355</t>
  </si>
  <si>
    <t>Plaza del cascorro 2, 6 izquierda - 28005 - Madrid (Madrid)</t>
  </si>
  <si>
    <t>Ricardo Andrés Núñez Rodríguez</t>
  </si>
  <si>
    <t>El Duende del Globo - La Fábrica de Sueños</t>
  </si>
  <si>
    <t>mermolini@yahoo.es; fabricadesuenyos@yahoo.es; marisatejada@yahoo.es</t>
  </si>
  <si>
    <t>917 192 397 - 629 014 995 - 629 108 201</t>
  </si>
  <si>
    <t>https://www.teatro.es/guiarte/el-duende-del-globo-la-fabrica-de-sueños-3573</t>
  </si>
  <si>
    <t>Quero, 7 - 6º D - 28024 - Madrid (Madrid)</t>
  </si>
  <si>
    <t>Marisa Tejada</t>
  </si>
  <si>
    <t>Teatro de objetos; Teatro-danza; Performance-Acciones-Instalaciones; Teatro musical; Circo; Animaciones; Teatro de texto; Teatro-circo</t>
  </si>
  <si>
    <t>El Jinete Verde</t>
  </si>
  <si>
    <t>eljineteverdeproduccion@gmail.com</t>
  </si>
  <si>
    <t>616 495 671</t>
  </si>
  <si>
    <t>https://www.teatro.es/guiarte/el-jinete-verde-94157</t>
  </si>
  <si>
    <t>Calle Mezquita, 18 - 11406 - Jerez de la Frontera (Cádiz)</t>
  </si>
  <si>
    <t>César Déneken</t>
  </si>
  <si>
    <t>Teatro de objetos; Teatro-danza; Teatro musical; Teatro de texto</t>
  </si>
  <si>
    <t>Smartib Coop de Impulso Empresarial</t>
  </si>
  <si>
    <t>Avda. Jane Bowles, s/n - 29011 - Málaga (Málaga)</t>
  </si>
  <si>
    <t>645 231 236</t>
  </si>
  <si>
    <t>jmmartinez@smart-ib.coop</t>
  </si>
  <si>
    <t>www.smart-ib.org</t>
  </si>
  <si>
    <t>El Milagro de la Niña</t>
  </si>
  <si>
    <t>elmilagroteatro@gmail.com</t>
  </si>
  <si>
    <t>635 938 130</t>
  </si>
  <si>
    <t>https://www.teatro.es/guiarte/el-milagro-de-la-niña-71752</t>
  </si>
  <si>
    <t>Ibiiza</t>
  </si>
  <si>
    <t>C/ Music Rafel Zornoza, 13 - 07800 - Ibiiza (Illes Balears)</t>
  </si>
  <si>
    <t>Ines Sarmiento Huerta</t>
  </si>
  <si>
    <t>Teatro-danza; Performance-Acciones-Instalaciones; Animaciones; Teatro gestual - Teatro del movimiento</t>
  </si>
  <si>
    <t>El Molino</t>
  </si>
  <si>
    <t>eva@elmolinobcn.com</t>
  </si>
  <si>
    <t>676 614 357 - 932 055 111</t>
  </si>
  <si>
    <t>https://www.teatro.es/guiarte/el-molino-1299</t>
  </si>
  <si>
    <t>C/ Vila i Vila, 99 - 08004 - Barcelona (Barcelona)</t>
  </si>
  <si>
    <t>Teatro-danza; Performance-Acciones-Instalaciones; Teatro musical; Variedades; Circo; Animaciones; Teatro-circo</t>
  </si>
  <si>
    <t>El Punto Danza Teatro</t>
  </si>
  <si>
    <t>electrica@electricacultura.com</t>
  </si>
  <si>
    <t>954 068 297</t>
  </si>
  <si>
    <t>https://www.teatro.es/guiarte/el-punto-danza-teatro-37138</t>
  </si>
  <si>
    <t>Ronda Pío XII, 17-4º izq - 41018 - Sevilla (Sevilla)</t>
  </si>
  <si>
    <t>Fernando Lima</t>
  </si>
  <si>
    <t>El Retablo</t>
  </si>
  <si>
    <t>elretablo@elretablo.net; pablovergne@gmail.com</t>
  </si>
  <si>
    <t>619 257 287</t>
  </si>
  <si>
    <t>https://www.teatro.es/guiarte/el-retablo-1621</t>
  </si>
  <si>
    <t>San Lorenzo de El Escorial</t>
  </si>
  <si>
    <t>c/ Mariano Benavente 5, 3A - 28200 - San Lorenzo de El Escorial (Madrid)</t>
  </si>
  <si>
    <t>Pablo Vergne Quiroga</t>
  </si>
  <si>
    <t>El Tinglao</t>
  </si>
  <si>
    <t>eltinglao@hotmail.com; angelnegro@ya.com; info@eltinglao.org</t>
  </si>
  <si>
    <t>691 500 111</t>
  </si>
  <si>
    <t>https://www.teatro.es/guiarte/el-tinglao-3400</t>
  </si>
  <si>
    <t>Móstoles</t>
  </si>
  <si>
    <t>Río Ebro, 28 8º B - 28935 - Móstoles (Madrid)</t>
  </si>
  <si>
    <t>Ángel Martín Humada</t>
  </si>
  <si>
    <t>Teatro-danza; Variedades; Teatro de texto</t>
  </si>
  <si>
    <t>El Tinglao Producciones</t>
  </si>
  <si>
    <t>albaruizvazquez@hotmail.es</t>
  </si>
  <si>
    <t>600 364 952</t>
  </si>
  <si>
    <t>https://www.teatro.es/guiarte/el-tinglao-producciones-101147</t>
  </si>
  <si>
    <t>C/ Pizarra, 4,  4ºa - 28005 - Madrid (Madrid)</t>
  </si>
  <si>
    <t>Alba Ruiz Vázquez</t>
  </si>
  <si>
    <t>El teatro de LOS QUÍAS. Compañía Marta Binetti</t>
  </si>
  <si>
    <t>losquias@144barcelona.com</t>
  </si>
  <si>
    <t>944 870 791</t>
  </si>
  <si>
    <t>https://www.teatro.es/guiarte/el-teatro-de-los-quias-compañia-marta-binetti-36391</t>
  </si>
  <si>
    <t>Carrer de Vallseca, 18 - 08024 - Barcelona (Barcelona)</t>
  </si>
  <si>
    <t>Marta Binetti</t>
  </si>
  <si>
    <t>El Último Baile</t>
  </si>
  <si>
    <t>somosultimobaile@gmail.com</t>
  </si>
  <si>
    <t>609 933 112 - 617 145 705</t>
  </si>
  <si>
    <t>https://www.teatro.es/guiarte/el-ultimo-baile-65230</t>
  </si>
  <si>
    <t>Calle Gasómetro 12 portal C escalera dcha.3 A - 28005 - Madrid (Madrid)</t>
  </si>
  <si>
    <t>Paula Quintana; Cristina Redondo</t>
  </si>
  <si>
    <t>El Último Baile Entertainment</t>
  </si>
  <si>
    <t>617 145 705</t>
  </si>
  <si>
    <t>https://www.teatro.es/guiarte/el-ultimo-baile-entertainment-94172</t>
  </si>
  <si>
    <t>C/ Gasómetro 12, escalera derecha, planta 3 - 28005 - Madrid (Madrid)</t>
  </si>
  <si>
    <t>Fernando Soto; Paula Quintana; Cristina Redondo</t>
  </si>
  <si>
    <t>Elclimamola</t>
  </si>
  <si>
    <t>marine@elclimamola.com; marcela@elclimamola.com</t>
  </si>
  <si>
    <t>https://www.teatro.es/guiarte/elclimamola-103863</t>
  </si>
  <si>
    <t>Eugeni dors, 12 - 08028 - Barcelona (Barcelona)</t>
  </si>
  <si>
    <t>Marine Budin</t>
  </si>
  <si>
    <t>Elefante Elegante Teatro</t>
  </si>
  <si>
    <t>goncalo@elefanteelegante.net; info@elefanteelegante.net; maria@elefanteelegante.net</t>
  </si>
  <si>
    <t>655 447 887 - 606 257 239</t>
  </si>
  <si>
    <t>https://www.teatro.es/guiarte/elefante-elegante-teatro-35210</t>
  </si>
  <si>
    <t>Culleredo</t>
  </si>
  <si>
    <t>Lugar de Castelo de Abaixo, 19 - 15679 - Culleredo (A Coruña)</t>
  </si>
  <si>
    <t>Gonçalo Guerreiro; María Torres</t>
  </si>
  <si>
    <t>Teatro de objetos; Teatro-danza; Performance-Acciones-Instalaciones; Teatro gestual - Teatro del movimiento; Teatro de texto; Teatro-circo</t>
  </si>
  <si>
    <t>Elephant in the Black Box Company</t>
  </si>
  <si>
    <t>ebbcompany@gmail.com</t>
  </si>
  <si>
    <t>645 086 754</t>
  </si>
  <si>
    <t>https://www.teatro.es/guiarte/elephant-in-the-black-box-company-65148</t>
  </si>
  <si>
    <t>C/ Gabriel Ruiz 6 - 28026 - Madrid (Madrid)</t>
  </si>
  <si>
    <t>Jean Philippe Dury</t>
  </si>
  <si>
    <t>Frederic Brunet</t>
  </si>
  <si>
    <t>Eléctrica Cultura</t>
  </si>
  <si>
    <t>https://www.teatro.es/guiarte/electrica-cultura-94859</t>
  </si>
  <si>
    <t>Ronda Pío XII, 17 4º izq - 41008 - Sevilla (Sevilla)</t>
  </si>
  <si>
    <t>Embora</t>
  </si>
  <si>
    <t>cia.embora@gmail.com</t>
  </si>
  <si>
    <t>https://www.teatro.es/guiarte/embora-103667</t>
  </si>
  <si>
    <t>C/ Regueiro, 23 - 15174 - A Coruña (A Coruña)</t>
  </si>
  <si>
    <t>Marta Rodríguez Lázaro; Triana Martíncano García</t>
  </si>
  <si>
    <t>Emilia Yagüe Producciones</t>
  </si>
  <si>
    <t>emilia@emiliayague.com</t>
  </si>
  <si>
    <t>913 340 838</t>
  </si>
  <si>
    <t>https://www.teatro.es/guiarte/emilia-yague-producciones-65249</t>
  </si>
  <si>
    <t>c/ Batalla del Salado, 34, esc,zda, 1ºC - 28045 - Madrid (Madrid)</t>
  </si>
  <si>
    <t>Emilia Yagüe</t>
  </si>
  <si>
    <t>En la Lona</t>
  </si>
  <si>
    <t>info@enlalona.es</t>
  </si>
  <si>
    <t>660 139 871</t>
  </si>
  <si>
    <t>https://www.teatro.es/guiarte/en-la-lona-5161</t>
  </si>
  <si>
    <t>Gernika</t>
  </si>
  <si>
    <t>Ap. 1 - 48300 - Gernika (Vizcaya)</t>
  </si>
  <si>
    <t>Paula Susana Alfieri</t>
  </si>
  <si>
    <t>Teatro de objetos; Teatro-danza; Animaciones; Teatro gestual - Teatro del movimiento; Teatro de texto; Teatro-circo</t>
  </si>
  <si>
    <t>Enebro Teatro</t>
  </si>
  <si>
    <t>indalecio.corugedo@gmail.com</t>
  </si>
  <si>
    <t>649 464 147</t>
  </si>
  <si>
    <t>https://www.teatro.es/guiarte/enebro-teatro-32913</t>
  </si>
  <si>
    <t>Pº de la Habana, 27, 5º Dcha - 28036 - Madrid (Madrid)</t>
  </si>
  <si>
    <t>Indalecio Corugedo de las Cuevas</t>
  </si>
  <si>
    <t>Enfocados</t>
  </si>
  <si>
    <t>info@estudioenfocados.com</t>
  </si>
  <si>
    <t>644 221 969</t>
  </si>
  <si>
    <t>https://www.teatro.es/guiarte/enfocados-102742</t>
  </si>
  <si>
    <t>Calle Arroyo de las Pilillas, 40, 4ºB - 28030 - Madrid (Madrid)</t>
  </si>
  <si>
    <t>Érika de Carte; María Gallardo</t>
  </si>
  <si>
    <t>Teatro de objetos; Teatro-danza; Performance-Acciones-Instalaciones; Teatro musical; Animaciones; Teatro gestual - Teatro del movimiento; Teatro de texto</t>
  </si>
  <si>
    <t>Entropía Producciones</t>
  </si>
  <si>
    <t>https://www.teatro.es/guiarte/entropia-producciones-102203</t>
  </si>
  <si>
    <t>C/ Granito, 10 (local) - 28045 - Madrid (Madrid)</t>
  </si>
  <si>
    <t>Alba Celma; Alexandru Stanciu; Alberto Valera</t>
  </si>
  <si>
    <t>Errateke</t>
  </si>
  <si>
    <t>erbeste@rakelezpeleta.com; rakelezpeleta@hotmail.com; errateke@rakelezpeleta.com</t>
  </si>
  <si>
    <t>615 362 805</t>
  </si>
  <si>
    <t>https://www.teatro.es/guiarte/errateke-94667</t>
  </si>
  <si>
    <t>Álava</t>
  </si>
  <si>
    <t>Portal de Arriaga, 28 3º izda - 01013 - Vitoria (Álava)</t>
  </si>
  <si>
    <t>Rakel Ezpeleta; Ainara Unanue</t>
  </si>
  <si>
    <t>Teatro-danza; Performance-Acciones-Instalaciones; Teatro musical; Variedades; Teatro de texto</t>
  </si>
  <si>
    <t>Ertza</t>
  </si>
  <si>
    <t>info@ertza.com</t>
  </si>
  <si>
    <t>663 767 699 - 665 680 058</t>
  </si>
  <si>
    <t>https://www.teatro.es/guiarte/ertza-37048</t>
  </si>
  <si>
    <t>Alegia</t>
  </si>
  <si>
    <t>Langaurrealdea, 36 - 20260 - Alegia (Guipúzcoa)</t>
  </si>
  <si>
    <t>Asier Zabaleta</t>
  </si>
  <si>
    <t>Escalante Centre Teatral</t>
  </si>
  <si>
    <t>info@escalantecentreteatral.com; vicentvila@escalantecentreteatral.com</t>
  </si>
  <si>
    <t>963 912 442</t>
  </si>
  <si>
    <t>https://www.teatro.es/guiarte/escalante-centre-teatral-27894</t>
  </si>
  <si>
    <t>Landerer, 5, bajo - 46003 - Valencia (Valencia)</t>
  </si>
  <si>
    <t>Vicent Vila Berenguer</t>
  </si>
  <si>
    <t>Teatro de objetos; Teatro-danza; Teatro musical; Ópera; Teatro gestual - Teatro del movimiento; Teatro de texto</t>
  </si>
  <si>
    <t>Escena Erasmus</t>
  </si>
  <si>
    <t>escena.erasmus@gmail.com</t>
  </si>
  <si>
    <t>685 780 364</t>
  </si>
  <si>
    <t>https://www.teatro.es/guiarte/escena-erasmus-36698</t>
  </si>
  <si>
    <t>C/ Universitat, 2 - 46003 - Valencia (Valencia)</t>
  </si>
  <si>
    <t>Anna Marí; Daniel Tormo; Josep Valero</t>
  </si>
  <si>
    <t>CRIT Companyia de Teatre</t>
  </si>
  <si>
    <t>C/ Russafa, 39-5 - 46006 - Valencia (Valencia)</t>
  </si>
  <si>
    <t>Escenari Joan Brossa</t>
  </si>
  <si>
    <t>info@escenaribrossa.cat; admin@escenaribrossa.cat</t>
  </si>
  <si>
    <t>933 151 596 - 933 101 364</t>
  </si>
  <si>
    <t>https://www.teatro.es/guiarte/escenari-joan-brossa-3350</t>
  </si>
  <si>
    <t>C.Flassaders, 40 - 08003 - Barcelona (Barcelona)</t>
  </si>
  <si>
    <t>Jesús Julve</t>
  </si>
  <si>
    <t>Teatro-danza; Variedades; Teatro de texto; Teatro-circo</t>
  </si>
  <si>
    <t>Escenoteca Arte y Educación</t>
  </si>
  <si>
    <t>info@escenoteca.com</t>
  </si>
  <si>
    <t>610 305 160</t>
  </si>
  <si>
    <t>https://www.teatro.es/guiarte/escenoteca-arte-y-educacion-4555</t>
  </si>
  <si>
    <t>Valencina</t>
  </si>
  <si>
    <t>Carpinteros, 18 - 41907 - Valencina (Sevilla)</t>
  </si>
  <si>
    <t>Pepa Muriel Ramírez</t>
  </si>
  <si>
    <t>Teatro de objetos; Teatro-danza; Performance-Acciones-Instalaciones; Narración oral escénica; Animaciones; Teatro gestual - Teatro del movimiento; Teatro de texto</t>
  </si>
  <si>
    <t>Escuela Municipal de Teatro de Mislata. EMTM</t>
  </si>
  <si>
    <t>acampos@mislata.es; info@mislatajove.org</t>
  </si>
  <si>
    <t>963 138 076</t>
  </si>
  <si>
    <t>https://www.teatro.es/guiarte/escuela-municipal-de-teatro-de-mislata-emtm-4799</t>
  </si>
  <si>
    <t>Centro Cultural. Avda. Gregorio Gea, 34 - 46920 - Mislata (Valencia)</t>
  </si>
  <si>
    <t>Ana Campos Sánchez</t>
  </si>
  <si>
    <t>Escuela Municipal de Teatro de Silla E.M.T. Silla</t>
  </si>
  <si>
    <t>cultura@silla.es; teatre@silla.es</t>
  </si>
  <si>
    <t>961 200 116 - 961 219 790</t>
  </si>
  <si>
    <t>https://www.teatro.es/guiarte/escuela-municipal-de-teatro-de-silla-e-m-t-silla-731</t>
  </si>
  <si>
    <t>Silla</t>
  </si>
  <si>
    <t>Pl. Poble, 1 - 46460 - Silla (Valencia)</t>
  </si>
  <si>
    <t>Benja Domench; Amparo Pedregal; Ramón Moreno Pérez</t>
  </si>
  <si>
    <t>Teatro de objetos; Teatro-danza; Teatro musical; Variedades; Teatro gestual - Teatro del movimiento; Teatro de texto</t>
  </si>
  <si>
    <t>Eseoese Teatro</t>
  </si>
  <si>
    <t>s.o.s.microteatro@gmail.com</t>
  </si>
  <si>
    <t>687 032 095</t>
  </si>
  <si>
    <t>https://www.teatro.es/guiarte/eseoese-teatro-103592</t>
  </si>
  <si>
    <t>Orba</t>
  </si>
  <si>
    <t>Carrer bonaire, 41 - 03790 - Orba (Alicante)</t>
  </si>
  <si>
    <t>Sonia González López</t>
  </si>
  <si>
    <t>Espacio Divertido</t>
  </si>
  <si>
    <t>espaciodivertido@gmail.com</t>
  </si>
  <si>
    <t>620 947 264</t>
  </si>
  <si>
    <t>https://www.teatro.es/guiarte/espacio-divertido-65217</t>
  </si>
  <si>
    <t>C/ El Turco, 5 2º izda - 50002 - Zaragoza (Zaragoza)</t>
  </si>
  <si>
    <t>Felicidad Galindo</t>
  </si>
  <si>
    <t>Espacio Espiral, laboratorio escénico y de artes afines</t>
  </si>
  <si>
    <t>info@espacioespiral.es</t>
  </si>
  <si>
    <t>672 725 518 - 942 213 656</t>
  </si>
  <si>
    <t>https://www.teatro.es/guiarte/espacio-espiral-laboratorio-escenico-y-de-artes-afines-36510</t>
  </si>
  <si>
    <t>C/ Menéndez Pelayo, 8 interior - 39006 - Santander (Cantabria)</t>
  </si>
  <si>
    <t>Cristina Samaniego</t>
  </si>
  <si>
    <t>Teatro-danza; Performance-Acciones-Instalaciones; Teatro musical; Narración oral escénica; Teatro de texto</t>
  </si>
  <si>
    <t>Estrategias para el Arte y la Cultura SL (ES.ARTE)</t>
  </si>
  <si>
    <t>es.arte.info@gmail.com</t>
  </si>
  <si>
    <t>629 435 597</t>
  </si>
  <si>
    <t>https://www.teatro.es/guiarte/estrategias-para-el-arte-y-la-cultura-sl-es-arte-6591</t>
  </si>
  <si>
    <t>OFIC. Extramuros, 16 - 47150 - Viana (Valladolid)</t>
  </si>
  <si>
    <t>María José Gómez Pérez</t>
  </si>
  <si>
    <t>Teatro-danza; Performance-Acciones-Instalaciones; Teatro de texto; Lecturas dramatizadas-semimontajes</t>
  </si>
  <si>
    <t>Estrella R. Artes Escénicas</t>
  </si>
  <si>
    <t>estrella.artesescenicas@gmail.com</t>
  </si>
  <si>
    <t>620 124 754</t>
  </si>
  <si>
    <t>https://www.teatro.es/guiarte/estrella-r-artes-escenicas-106671</t>
  </si>
  <si>
    <t>Las Machorras</t>
  </si>
  <si>
    <t>C/ Río La Sía 11 - 09566 - Las Machorras (Burgos)</t>
  </si>
  <si>
    <t>Estrella Resco</t>
  </si>
  <si>
    <t>Estíbaliz Núñez</t>
  </si>
  <si>
    <t>las13rosasteatro@gmail.com</t>
  </si>
  <si>
    <t>697 766 855</t>
  </si>
  <si>
    <t>https://www.teatro.es/guiarte/estibaliz-nuñez-107626</t>
  </si>
  <si>
    <t>Doctores Melendes - 11002 - Cádiz (Cáceres)</t>
  </si>
  <si>
    <t>Estíbaliz Núñez Sánchez</t>
  </si>
  <si>
    <t>Teatro-danza; Teatro musical; Animaciones</t>
  </si>
  <si>
    <t>Excéntrica Producciones</t>
  </si>
  <si>
    <t>hotgregor@hotmail.com; info@excentrica.es</t>
  </si>
  <si>
    <t>649 392 552</t>
  </si>
  <si>
    <t>https://www.teatro.es/guiarte/excentrica-producciones-6656</t>
  </si>
  <si>
    <t>C/ San Clemente, 5, 2º C - 41004 - Sevilla (Sevilla)</t>
  </si>
  <si>
    <t>Isabel Vázquez Torres</t>
  </si>
  <si>
    <t>Teresa Velázquez</t>
  </si>
  <si>
    <t>C/ Real, 40 - 41220 - Burguillos (Sevilla)</t>
  </si>
  <si>
    <t>649 392 552 - 955 738 340</t>
  </si>
  <si>
    <t>perdureta@homail.com; teresavelazquez.roman@gmail.com</t>
  </si>
  <si>
    <t>Factea Produccions</t>
  </si>
  <si>
    <t>facteadistribucio@gmail.com</t>
  </si>
  <si>
    <t>615 331 462</t>
  </si>
  <si>
    <t>https://www.teatro.es/guiarte/factea-produccions-60659</t>
  </si>
  <si>
    <t>Plaza Pepa Maca, 11, 2n 1a - 08301 - Mataró (Barcelona)</t>
  </si>
  <si>
    <t>Marc Molina; Oriol Miras</t>
  </si>
  <si>
    <t>Factoría Norte</t>
  </si>
  <si>
    <t>teatrofactorianorte@gmail.com; factorianorte@hotmail.com</t>
  </si>
  <si>
    <t>985 343 947</t>
  </si>
  <si>
    <t>https://www.teatro.es/guiarte/factoria-norte-3967</t>
  </si>
  <si>
    <t>Ezcurdia, 38, 2º Izda - 33202 - Gijón (Asturias)</t>
  </si>
  <si>
    <t>Carmen Gallo</t>
  </si>
  <si>
    <t>Teatro de objetos; Teatro-danza; Teatro musical; Narración oral escénica; Variedades; Animaciones; Teatro gestual - Teatro del movimiento; Teatro de texto</t>
  </si>
  <si>
    <t>Factoría de Cuentos</t>
  </si>
  <si>
    <t>629 588 628</t>
  </si>
  <si>
    <t>https://www.teatro.es/guiarte/factoria-de-cuentos-102798</t>
  </si>
  <si>
    <t>Urb. Casa Ros c/ Tierra, 15 - 30500 - Molina de Segura (Murcia)</t>
  </si>
  <si>
    <t>Gloria Muñoz Valera</t>
  </si>
  <si>
    <t>Faula Teatre</t>
  </si>
  <si>
    <t>paco_valls@yahoo.es</t>
  </si>
  <si>
    <t>615 012 112</t>
  </si>
  <si>
    <t>https://www.teatro.es/guiarte/faula-teatre-34123</t>
  </si>
  <si>
    <t>Alcoy</t>
  </si>
  <si>
    <t>Góngora,1-Esc.III-1º - 03803 - Alcoy (Alicante)</t>
  </si>
  <si>
    <t>Francisco Valls García</t>
  </si>
  <si>
    <t>Federica Porello</t>
  </si>
  <si>
    <t>federica.porello@gmail.com</t>
  </si>
  <si>
    <t>https://www.teatro.es/guiarte/federica-porello-107081</t>
  </si>
  <si>
    <t>Celrà</t>
  </si>
  <si>
    <t>Carrer de les Roques, 14 - 17460 - Celrà (Girona)</t>
  </si>
  <si>
    <t>Teatro de objetos; Teatro-danza; Narración oral escénica; Teatro gestual - Teatro del movimiento</t>
  </si>
  <si>
    <t>Feira do Leste</t>
  </si>
  <si>
    <t>feiradoleste@feiradoleste.com</t>
  </si>
  <si>
    <t>695 430 892</t>
  </si>
  <si>
    <t>https://www.teatro.es/guiarte/feira-do-leste-100875</t>
  </si>
  <si>
    <t>C/ Torrecedeira, 46, 8º D - Vigo (Pontevedra)</t>
  </si>
  <si>
    <t>Javier Lojo</t>
  </si>
  <si>
    <t>Fil d'Arena</t>
  </si>
  <si>
    <t>https://www.teatro.es/guiarte/fil-d-arena-37053</t>
  </si>
  <si>
    <t>C/horno de bola 2 - 46022 - Valencia (Valencia)</t>
  </si>
  <si>
    <t>L´Estiba Cultural</t>
  </si>
  <si>
    <t>Flamenco Nómada</t>
  </si>
  <si>
    <t>distribucion@atalaya-tnt.com</t>
  </si>
  <si>
    <t>647 543 324</t>
  </si>
  <si>
    <t>https://www.teatro.es/guiarte/flamenco-nomada-103660</t>
  </si>
  <si>
    <t>Sevilla (Sevilla)</t>
  </si>
  <si>
    <t>Patricio Sáenz</t>
  </si>
  <si>
    <t>Flêtan Dúo</t>
  </si>
  <si>
    <t>fletanduo@gmail.com; ebisoria@gmail.com</t>
  </si>
  <si>
    <t>https://www.teatro.es/guiarte/fl-tan-duo-107656</t>
  </si>
  <si>
    <t>Pasaia</t>
  </si>
  <si>
    <t>Gelsaio Aranburu, 6 3A - 20110 - Pasaia (Guipúzcoa)</t>
  </si>
  <si>
    <t>Eusebio Soria Corón; Marc Torrents Alcover</t>
  </si>
  <si>
    <t>Teatro-danza; Artes de calle; Improvisaciones</t>
  </si>
  <si>
    <t>Fritsch Company</t>
  </si>
  <si>
    <t>https://www.teatro.es/guiarte/fritsch-company-101193</t>
  </si>
  <si>
    <t>Funboa Escénica</t>
  </si>
  <si>
    <t>funboaescenica@gmail.com</t>
  </si>
  <si>
    <t>639 701 133</t>
  </si>
  <si>
    <t>https://www.teatro.es/guiarte/funboa-escenica-94118</t>
  </si>
  <si>
    <t>Rúa Galeras, 30, 2º C - 15705 - Santiago de Compostela (A Coruña)</t>
  </si>
  <si>
    <t>Cristina Balboa</t>
  </si>
  <si>
    <t>Fundació Teatre Lliure-Teatre Públic de Barcelona</t>
  </si>
  <si>
    <t>produccio@teatrelliure.com</t>
  </si>
  <si>
    <t>932 892 770</t>
  </si>
  <si>
    <t>https://www.teatro.es/guiarte/fundacio-teatre-lliure-teatre-public-de-barcelona-1168</t>
  </si>
  <si>
    <t>Passeig de Santa Madrona, 40-46 - 08004 - Barcelona (Barcelona)</t>
  </si>
  <si>
    <t>Lluís Pasqual</t>
  </si>
  <si>
    <t>Fundación Agrupación Colectiva. FAC</t>
  </si>
  <si>
    <t>fundacionagrupacioncolectiva@gmail.com</t>
  </si>
  <si>
    <t>660 281 133 - 671 634 027</t>
  </si>
  <si>
    <t>https://www.teatro.es/guiarte/fundacion-agrupacion-colectiva-fac-103365</t>
  </si>
  <si>
    <t>C/ Tapioles, 23 - 08004 - Barcelona (Barcelona)</t>
  </si>
  <si>
    <t>Francisco Cuéllar Bagan; Anna Maruny Castillón; Francesc Cuéllar Pla; Montserrat Castillón Pont</t>
  </si>
  <si>
    <t>Teatro-danza; Performance-Acciones-Instalaciones; Narración oral escénica; Variedades; Teatro gestual - Teatro del movimiento; Teatro de texto; Recitales; Lecturas dramatizadas-semimontajes</t>
  </si>
  <si>
    <t>Fundición Gestión de Proyectos S.L.</t>
  </si>
  <si>
    <t>info@fundiciondesevilla.es; produccion@fundiciondesevilla.es; distribucion@fundiciondesevilla.es</t>
  </si>
  <si>
    <t>954 225 844</t>
  </si>
  <si>
    <t>https://www.teatro.es/guiarte/fundicion-gestion-de-proyectos-s-l-4568</t>
  </si>
  <si>
    <t>Casa de la Moneda. Habana, 18 - 41001 - Sevilla (Sevilla)</t>
  </si>
  <si>
    <t>Pedro Álvarez-Ossorio</t>
  </si>
  <si>
    <t>FusionArte</t>
  </si>
  <si>
    <t>alvaromuras@yahoo.es</t>
  </si>
  <si>
    <t>651 519 494</t>
  </si>
  <si>
    <t>https://www.teatro.es/guiarte/fusionarte-65156</t>
  </si>
  <si>
    <t>C/ Agra da Bragua, 55. 4d - 15010 - A Coruña (A Coruña)</t>
  </si>
  <si>
    <t>Álvaro Muras Hermida</t>
  </si>
  <si>
    <t>Galitoon</t>
  </si>
  <si>
    <t>produccion@galitoon.com; comunicacion@galitoon.com</t>
  </si>
  <si>
    <t>653 386 080</t>
  </si>
  <si>
    <t>https://www.teatro.es/guiarte/galitoon-6125</t>
  </si>
  <si>
    <t>Calle Monte dos Postes 8, bajo - 15703 - Santiago de Compostela (A Coruña)</t>
  </si>
  <si>
    <t>Francisco J. Casteleiro Fraga</t>
  </si>
  <si>
    <t>Teatro de objetos; Teatro-danza; Performance-Acciones-Instalaciones; Teatro musical; Narración oral escénica; Animaciones; Teatro gestual - Teatro del movimiento; Teatro de texto</t>
  </si>
  <si>
    <t>Isabel Rufino Distribución de Espectáculos</t>
  </si>
  <si>
    <t>C/ Saturno 7 - 28340 - Valdemoro (Madrid)</t>
  </si>
  <si>
    <t>Gardyn Studio, S.L.</t>
  </si>
  <si>
    <t>virginia@gardynstudio.com</t>
  </si>
  <si>
    <t>639 275 262</t>
  </si>
  <si>
    <t>https://www.teatro.es/guiarte/gardyn-studio-s-l-102480</t>
  </si>
  <si>
    <t>Alcobendas</t>
  </si>
  <si>
    <t>C/ Margarita, 68 - 28109 - Alcobendas (Madrid)</t>
  </si>
  <si>
    <t>Virginia Cortés Gardyn</t>
  </si>
  <si>
    <t>Teatro-danza; Teatro musical; Ópera; Zarzuela; Recitales; Teatro-circo</t>
  </si>
  <si>
    <t>Gata Titania</t>
  </si>
  <si>
    <t>montse@gatatitania.com; info@gatatitania.com</t>
  </si>
  <si>
    <t>645 136 997 - 934 518 290</t>
  </si>
  <si>
    <t>https://www.teatro.es/guiarte/gata-titania-28418</t>
  </si>
  <si>
    <t>Enric Granados, 30 - 08008 - Barcelona (Barcelona)</t>
  </si>
  <si>
    <t>Montserrat Milian Batista</t>
  </si>
  <si>
    <t>Teatro-danza; Animaciones</t>
  </si>
  <si>
    <t>Giro Po-ético</t>
  </si>
  <si>
    <t>ceciliapradal@yahoo.es</t>
  </si>
  <si>
    <t>676 439 587 - 947 277 681</t>
  </si>
  <si>
    <t>https://www.teatro.es/guiarte/giro-po-etico-4666</t>
  </si>
  <si>
    <t>Pº de los Cubos, 8, 7º B - 09003 - Burgos (Burgos)</t>
  </si>
  <si>
    <t>Cecilia Pérez-Pradal</t>
  </si>
  <si>
    <t>Global Servicios Culturales S.L</t>
  </si>
  <si>
    <t>rebeca@global-sc.net</t>
  </si>
  <si>
    <t>948 230 062</t>
  </si>
  <si>
    <t>https://www.teatro.es/guiarte/global-servicios-culturales-s-l-3542</t>
  </si>
  <si>
    <t>Pza Sancho Abarca 1 bajo - 31014 - Pamplona (Navarra)</t>
  </si>
  <si>
    <t>Rebeca Esnaola Bermejo</t>
  </si>
  <si>
    <t>Teatro-danza; Teatro musical; Variedades; Ópera; Zarzuela; Animaciones; Teatro de texto</t>
  </si>
  <si>
    <t>Gozarte Pasacalles</t>
  </si>
  <si>
    <t>titiriobrero@gmail.com</t>
  </si>
  <si>
    <t>600 353 813</t>
  </si>
  <si>
    <t>https://www.teatro.es/guiarte/gozarte-pasacalles-34956</t>
  </si>
  <si>
    <t>Candido Laso Escudero, 17 D - 19002 - Guadalajara (Guadalajara)</t>
  </si>
  <si>
    <t>Alberto San Andres</t>
  </si>
  <si>
    <t>Teatro de objetos; Teatro-danza; Narración oral escénica; Circo; Animaciones; Teatro gestual - Teatro del movimiento</t>
  </si>
  <si>
    <t>Grup Artistic Carles Xena. GACX</t>
  </si>
  <si>
    <t>marsaloms@hotmail.com; concurs-teatre-arenys@hotmail.com; anpabu@hotmail.com</t>
  </si>
  <si>
    <t>608 323 695</t>
  </si>
  <si>
    <t>https://www.teatro.es/guiarte/grup-artistic-carles-xena-gacx-32065</t>
  </si>
  <si>
    <t>Arenys de Mar</t>
  </si>
  <si>
    <t>Casal de la Joventut Seràfica. C/ Josep Baralt, s/n - 08350 - Arenys de Mar (Barcelona)</t>
  </si>
  <si>
    <t>Grup Charly Trama SCP</t>
  </si>
  <si>
    <t>produccio@grupcharlytrama.com; charlytrama@gmail.com</t>
  </si>
  <si>
    <t>625 094 799 - 637 440 706</t>
  </si>
  <si>
    <t>https://www.teatro.es/guiarte/grup-charly-trama-scp-36730</t>
  </si>
  <si>
    <t>La Garriga</t>
  </si>
  <si>
    <t>C/ Anselm Clavé, 45, 1º 2ª - 08530 - La Garriga (Barcelona)</t>
  </si>
  <si>
    <t>Jordi Barbudo Lario; Anna Asensio Company</t>
  </si>
  <si>
    <t>Teatro-danza; Variedades; Animaciones; Teatro gestual - Teatro del movimiento; Teatro de texto</t>
  </si>
  <si>
    <t>Grup Xarxa de Torelló</t>
  </si>
  <si>
    <t>jordisuri@yahoo.com</t>
  </si>
  <si>
    <t>938 593 318</t>
  </si>
  <si>
    <t>https://www.teatro.es/guiarte/grup-xarxa-de-torello-26950</t>
  </si>
  <si>
    <t>Sant Vicenç de Torelló</t>
  </si>
  <si>
    <t>Verdaguer, 6 - 08571 - Sant Vicenç de Torelló (Barcelona)</t>
  </si>
  <si>
    <t>Jordi Suriñach Aguilar; Jordi Torres Fernández</t>
  </si>
  <si>
    <t>Grupo Arimart</t>
  </si>
  <si>
    <t>cia@arimadansa.com</t>
  </si>
  <si>
    <t>https://www.teatro.es/guiarte/grupo-arimart-105381</t>
  </si>
  <si>
    <t>San Vicente del Raspeig</t>
  </si>
  <si>
    <t>Poligono Canastell, Calle i-8, nave 6 - 03690 - San Vicente del Raspeig (Alicante)</t>
  </si>
  <si>
    <t>Ramon Llorens Ribes</t>
  </si>
  <si>
    <t>Teatro-danza; Performance-Acciones-Instalaciones; Teatro musical; Variedades; Animaciones; Teatro gestual - Teatro del movimiento; Teatro de texto; Teatro-circo</t>
  </si>
  <si>
    <t>Grupo de Teatro de la Universidad Carlos III. Campus de Getafe, Leganés y Colmenarejo</t>
  </si>
  <si>
    <t>auladeteatro@uc3m.es; agmelo@pa.uc3m.es; laura.gonzalez@uc3m.es</t>
  </si>
  <si>
    <t>916 245 983 - 916 246 263</t>
  </si>
  <si>
    <t>https://www.teatro.es/guiarte/grupo-de-teatro-de-la-universidad-carlos-iii-campus-de-getafe-leganes-y-colmenarejo-2540</t>
  </si>
  <si>
    <t>Leganés</t>
  </si>
  <si>
    <t>Av. de la Universidad, 30 Despacho 2.0A15 del Edificio Sabatini. Edificio nº2 - 28911 - Leganés (Madrid)</t>
  </si>
  <si>
    <t>Abel González Melo</t>
  </si>
  <si>
    <t>Guantuguan Teatro</t>
  </si>
  <si>
    <t>guantuguanteatro@gmail.com; oiramruz@gmail.com</t>
  </si>
  <si>
    <t>https://www.teatro.es/guiarte/guantuguan-teatro-94023</t>
  </si>
  <si>
    <t>C/ Alcalá, 20-5 - 28034 - Madrid (Madrid)</t>
  </si>
  <si>
    <t>José Luís Montiel Chaves; Mario Ruz Martínez; David Roldán Espejo</t>
  </si>
  <si>
    <t>Teatro de objetos; Teatro-danza; Performance-Acciones-Instalaciones; Teatro musical; Narración oral escénica; Variedades; Ópera; Zarzuela; Circo; Teatro gestual - Teatro del movimiento; Teatro de texto; Teatro-circo</t>
  </si>
  <si>
    <t>Guti Producciones</t>
  </si>
  <si>
    <t>916 761 123</t>
  </si>
  <si>
    <t>https://www.teatro.es/guiarte/guti-producciones-37091</t>
  </si>
  <si>
    <t>Torrejón de Ardoz</t>
  </si>
  <si>
    <t>Calle Polo Norte, 15 - 28850 - Torrejón de Ardoz (Madrid)</t>
  </si>
  <si>
    <t>Manuel Gutiérrez Fernández</t>
  </si>
  <si>
    <t>Sketch Eventos</t>
  </si>
  <si>
    <t>Calle Sebastián, 14 - 28693 - Quijorna (Madrid)</t>
  </si>
  <si>
    <t>659 503 747 - 653 798 504</t>
  </si>
  <si>
    <t>miguelangel@sketcheventos.net; lara@sketcheventos.es</t>
  </si>
  <si>
    <t>www.sketcheventos.es</t>
  </si>
  <si>
    <t>Haa Collective</t>
  </si>
  <si>
    <t>info@haa-collective.com</t>
  </si>
  <si>
    <t>https://www.teatro.es/guiarte/haa-collective-105840</t>
  </si>
  <si>
    <t>Carrer Verge de Nuria, 5, Pb - 08360 - Canet de Mar (Barcelona)</t>
  </si>
  <si>
    <t>Ingrid Esperanza Berman Marin</t>
  </si>
  <si>
    <t>Teatro-danza; Performance-Acciones-Instalaciones; Circo; Teatro gestual - Teatro del movimiento; Teatro-circo</t>
  </si>
  <si>
    <t>Haceatro. Alejandro Arroyo</t>
  </si>
  <si>
    <t>arroyoalejandro@gmail.com</t>
  </si>
  <si>
    <t>913 695 082</t>
  </si>
  <si>
    <t>https://www.teatro.es/guiarte/haceatro-alejandro-arroyo-94661</t>
  </si>
  <si>
    <t>C/ Magdalena, 21. 5º Ext Der - 28012 - Madrid (Madrid)</t>
  </si>
  <si>
    <t>Alejandro Arroyo</t>
  </si>
  <si>
    <t>Hacemos un Trío. H3</t>
  </si>
  <si>
    <t>https://www.teatro.es/guiarte/hacemos-un-trio-h3-65064</t>
  </si>
  <si>
    <t>Embajadores, 278 - Madrid (Madrid)</t>
  </si>
  <si>
    <t>Alberto Vázquez</t>
  </si>
  <si>
    <t>Teatro-danza; Teatro musical; Ópera; Teatro de texto</t>
  </si>
  <si>
    <t>Haceria Arteak</t>
  </si>
  <si>
    <t>produccion@haceria.com; info@haceria.com</t>
  </si>
  <si>
    <t>655 701 442 - 944 759 576 - 655 701 441</t>
  </si>
  <si>
    <t>https://www.teatro.es/guiarte/haceria-arteak-32386</t>
  </si>
  <si>
    <t>Ribera de Deusto, 43 - 48014 - Bilbao (Vizcaya)</t>
  </si>
  <si>
    <t>Manuel Jesús Gómez-Álvarez Blanco</t>
  </si>
  <si>
    <t>Teatro de objetos; Teatro-danza; Performance-Acciones-Instalaciones; Teatro musical; Narración oral escénica; Variedades; Ópera; Circo; Animaciones; Teatro gestual - Teatro del movimiento; Teatro de texto; Teatro-circo</t>
  </si>
  <si>
    <t>Heartbreak Hotel</t>
  </si>
  <si>
    <t>kaipuig@hotmail.com</t>
  </si>
  <si>
    <t>609 581 153</t>
  </si>
  <si>
    <t>https://www.teatro.es/guiarte/heartbreak-hotel-101138</t>
  </si>
  <si>
    <t>Carroç, 43 - 08017 - Barcelona (Barcelona)</t>
  </si>
  <si>
    <t>Jordi Puig; Àlex Rigola</t>
  </si>
  <si>
    <t>Helena Lizari</t>
  </si>
  <si>
    <t>https://www.teatro.es/guiarte/helena-lizari-102388</t>
  </si>
  <si>
    <t>c/ Ávila 90,1-2 - 08005 - Barcelona (Barcelona)</t>
  </si>
  <si>
    <t>Hijas del Cuervo</t>
  </si>
  <si>
    <t>alarits@hotmail.com</t>
  </si>
  <si>
    <t>697 472 709</t>
  </si>
  <si>
    <t>https://www.teatro.es/guiarte/hijas-del-cuervo-34188</t>
  </si>
  <si>
    <t>Santa Margarida de Montbui</t>
  </si>
  <si>
    <t>Sant Magí, 1 - 08710 - Santa Margarida de Montbui (Barcelona)</t>
  </si>
  <si>
    <t>Teresa Puig</t>
  </si>
  <si>
    <t>Teatro-danza; Narración oral escénica; Variedades; Animaciones; Teatro de texto; Teatro-circo</t>
  </si>
  <si>
    <t>Hiperbólicas Producciones S.L.</t>
  </si>
  <si>
    <t>hiperbolicas@gmail.com</t>
  </si>
  <si>
    <t>651 641 382</t>
  </si>
  <si>
    <t>https://www.teatro.es/guiarte/hiperbolicas-producciones-s-l-62909</t>
  </si>
  <si>
    <t>Avda de Italia 7 1º C - 41012 - Sevilla (Sevilla)</t>
  </si>
  <si>
    <t>Rafael Herrera Bravo-Ferrer</t>
  </si>
  <si>
    <t>Horman Poster</t>
  </si>
  <si>
    <t>hormanposter@gmail.com</t>
  </si>
  <si>
    <t>695 741 514</t>
  </si>
  <si>
    <t>https://www.teatro.es/guiarte/horman-poster-65202</t>
  </si>
  <si>
    <t>Viuda de Epalza, 10, 5º izq - 48005 - Bilbao (Vizcaya)</t>
  </si>
  <si>
    <t>Igor de Quadra; Matxalen de Pedro</t>
  </si>
  <si>
    <t>Huellas de Paz</t>
  </si>
  <si>
    <t>huellasdepaz@hotmail.com; huellasdepaz@yahoo.com; cuentos@huellasdepaz.com</t>
  </si>
  <si>
    <t>652 444 966</t>
  </si>
  <si>
    <t>https://www.teatro.es/guiarte/huellas-de-paz-26707</t>
  </si>
  <si>
    <t>Luis Vicente de Velasco 2, 4C - 39011 - Santander (Cantabria)</t>
  </si>
  <si>
    <t>David Murillo Carmona</t>
  </si>
  <si>
    <t>Teatro de objetos; Teatro-danza; Performance-Acciones-Instalaciones; Narración oral escénica; Variedades; Teatro gestual - Teatro del movimiento</t>
  </si>
  <si>
    <t>Hybri2 Producciones. Lordan Lineage S.L</t>
  </si>
  <si>
    <t>gerencia@hybri2producciones.com; direccion@hybri2producciones.com</t>
  </si>
  <si>
    <t>647 000 511</t>
  </si>
  <si>
    <t>https://www.teatro.es/guiarte/hybri2-producciones-lordan-lineage-s-l-71772</t>
  </si>
  <si>
    <t>C/ Presidente Alvear,13, 1ºA - 35006 - Las Palmas de Gran Canaria (Las Palmas)</t>
  </si>
  <si>
    <t>Leonardo Reyes</t>
  </si>
  <si>
    <t>Teatro de objetos; Teatro-danza; Performance-Acciones-Instalaciones; Teatro musical; Narración oral escénica; Variedades; Animaciones; Teatro gestual - Teatro del movimiento; Teatro de texto; Teatro-circo</t>
  </si>
  <si>
    <t>I + D Danza</t>
  </si>
  <si>
    <t>publico@imasdedanza.com; contratacion@imasdedanza.com</t>
  </si>
  <si>
    <t>617 242 812 - 677 620 076 - 922 278 303</t>
  </si>
  <si>
    <t>https://www.teatro.es/guiarte/i-d-danza-34303</t>
  </si>
  <si>
    <t>La X, 16, 5 - 38002 - Santa Cruz de Tenerife (Santa Cruz de Tenerife)</t>
  </si>
  <si>
    <t>Ana Beatriz Alonso</t>
  </si>
  <si>
    <t>Iam1</t>
  </si>
  <si>
    <t>roi@roiff.net</t>
  </si>
  <si>
    <t>629 827 464</t>
  </si>
  <si>
    <t>https://www.teatro.es/guiarte/iam1-65149</t>
  </si>
  <si>
    <t>Rúa Bustelo, 23 - 27297 - Lugo (Lugo)</t>
  </si>
  <si>
    <t>Roi Fernández Fernández</t>
  </si>
  <si>
    <t>Ika Producciones</t>
  </si>
  <si>
    <t>lurae.infantil@gmail.com; makes.teatro@gmail.com</t>
  </si>
  <si>
    <t>666 173 017 - 626 654 728</t>
  </si>
  <si>
    <t>https://www.teatro.es/guiarte/ika-producciones-37191</t>
  </si>
  <si>
    <t>Hellín</t>
  </si>
  <si>
    <t>C/ Castelar, 3 - 28005 - Hellín (Albacete)</t>
  </si>
  <si>
    <t>Dolores Cardona; Teresa Ases; Gala Ramón Guardiola; Patricia Carratalá</t>
  </si>
  <si>
    <t>Raquel Berini</t>
  </si>
  <si>
    <t>Imbira Teatro</t>
  </si>
  <si>
    <t>imbira@hotmail.com</t>
  </si>
  <si>
    <t>651 164 941 - 942 314 448</t>
  </si>
  <si>
    <t>https://www.teatro.es/guiarte/imbira-teatro-34871</t>
  </si>
  <si>
    <t>Prado San Roque, 34 - 39001 - Santander (Cantabria)</t>
  </si>
  <si>
    <t>Teatro-danza; Performance-Acciones-Instalaciones; Animaciones; Teatro-circo</t>
  </si>
  <si>
    <t>Incendiaria</t>
  </si>
  <si>
    <t>incendiariacontacto@gmail.com</t>
  </si>
  <si>
    <t>651 143 776 - 677 721 875</t>
  </si>
  <si>
    <t>https://www.teatro.es/guiarte/incendiaria-105077</t>
  </si>
  <si>
    <t>Rúa Marín, 3, 6º E - 36209 - Vigo (Pontevedra)</t>
  </si>
  <si>
    <t>David González Lorenzo; Vanesa Martínez Sotelo</t>
  </si>
  <si>
    <t>Inànimes Cia</t>
  </si>
  <si>
    <t>eskmanufactures@gmail.com</t>
  </si>
  <si>
    <t>657 664 757</t>
  </si>
  <si>
    <t>https://www.teatro.es/guiarte/inanimes-cia-94132</t>
  </si>
  <si>
    <t>Vila-real</t>
  </si>
  <si>
    <t>C/ Padre Espuig, 49 - 12540 - Vila-real (Castellón)</t>
  </si>
  <si>
    <t>Manuel Chabrera Ibáñez</t>
  </si>
  <si>
    <t>Ipso Facto</t>
  </si>
  <si>
    <t>ipsofactopro.artisticas@gmail.com</t>
  </si>
  <si>
    <t>629 412 594</t>
  </si>
  <si>
    <t>https://www.teatro.es/guiarte/ipso-facto-5917</t>
  </si>
  <si>
    <t>Irún</t>
  </si>
  <si>
    <t>C/  Lezo 2, 5ºc - 20301 - Irún (Guipúzcoa)</t>
  </si>
  <si>
    <t>Diana Rosillo; Mario Simancas</t>
  </si>
  <si>
    <t>Ireneu Tranis</t>
  </si>
  <si>
    <t>Ireneu.tranis@gmail.com</t>
  </si>
  <si>
    <t>635 106 006</t>
  </si>
  <si>
    <t>https://www.teatro.es/guiarte/ireneu-tranis-34181</t>
  </si>
  <si>
    <t>Montgat</t>
  </si>
  <si>
    <t>Camí Ral 137, 1r 2a - 08390 - Montgat (Barcelona)</t>
  </si>
  <si>
    <t>Iron Skulls Co.</t>
  </si>
  <si>
    <t>https://www.teatro.es/guiarte/iron-skulls-co-101670</t>
  </si>
  <si>
    <t>Jagat Mata Teatro</t>
  </si>
  <si>
    <t>hsjagatmata@gmail.com</t>
  </si>
  <si>
    <t>661 944 862</t>
  </si>
  <si>
    <t>https://www.teatro.es/guiarte/jagat-mata-teatro-35445</t>
  </si>
  <si>
    <t>Rodrigo de Guevara, 2, 4º A - 28005 - Madrid (Madrid)</t>
  </si>
  <si>
    <t>Rafa Ibáñez</t>
  </si>
  <si>
    <t>Teatro de objetos; Teatro-danza; Teatro gestual - Teatro del movimiento</t>
  </si>
  <si>
    <t>Proversus</t>
  </si>
  <si>
    <t>C/Poeta Joan Maragall 56, 2º - 28020 - Madrid (Madrid)</t>
  </si>
  <si>
    <t>606 608 168 - 915 064 344</t>
  </si>
  <si>
    <t>isisabellan@proversus.com</t>
  </si>
  <si>
    <t>www.proversus.com</t>
  </si>
  <si>
    <t>Javier Ariza</t>
  </si>
  <si>
    <t>info@javierariza.com</t>
  </si>
  <si>
    <t>https://www.teatro.es/guiarte/javier-ariza-101668</t>
  </si>
  <si>
    <t>C/ Hospital, 46, 3-1 - 08001 - Barcelona (Barcelona)</t>
  </si>
  <si>
    <t>Javier Ariza Barcina</t>
  </si>
  <si>
    <t>Teatro-danza; Variedades; Circo; Animaciones; Teatro gestual - Teatro del movimiento; Teatro-circo</t>
  </si>
  <si>
    <t>Joan Catalá</t>
  </si>
  <si>
    <t>info@joancatala.pro</t>
  </si>
  <si>
    <t>627 552 208</t>
  </si>
  <si>
    <t>https://www.teatro.es/guiarte/joan-catala-62723</t>
  </si>
  <si>
    <t>c/ Agustí Argüelles 32 - 08301 - Mataró (Barcelona)</t>
  </si>
  <si>
    <t>Agnés Forn</t>
  </si>
  <si>
    <t>Mika Project</t>
  </si>
  <si>
    <t>Apartado de Correos 209 - 08080 - Barcelona (Barcelona)</t>
  </si>
  <si>
    <t>658 866 342</t>
  </si>
  <si>
    <t>info@mikaproject.es</t>
  </si>
  <si>
    <t>mikaproject.es</t>
  </si>
  <si>
    <t>José María Tirado Nevado</t>
  </si>
  <si>
    <t>https://www.teatro.es/guiarte/jose-maria-tirado-nevado-94028</t>
  </si>
  <si>
    <t>C/ Doctor Jiménez Díaz, 8 - 28014 - Granada (Granada)</t>
  </si>
  <si>
    <t>Montse Lozano Distribución Teatro</t>
  </si>
  <si>
    <t>Avda del Llano Castellano, 3, piso 8-d  - 28034 - Madrid (Madrid)</t>
  </si>
  <si>
    <t>609 186 441</t>
  </si>
  <si>
    <t>montselozano@ono.com; info@montselozano.com</t>
  </si>
  <si>
    <t>www.montselozano.com</t>
  </si>
  <si>
    <t>José Pedro Hernández Jorge. TEATROKDO</t>
  </si>
  <si>
    <t>teatrokdo@gmail.com</t>
  </si>
  <si>
    <t>636 022 225</t>
  </si>
  <si>
    <t>https://www.teatro.es/guiarte/jose-pedro-hernandez-jorge-teatrokdo-3848</t>
  </si>
  <si>
    <t>La Orotava</t>
  </si>
  <si>
    <t>Cercado del Moral, 1 la Florida - 38300 - La Orotava (Santa Cruz de Tenerife)</t>
  </si>
  <si>
    <t>José Pedro Hernández</t>
  </si>
  <si>
    <t>Teatro de objetos; Teatro-danza; Performance-Acciones-Instalaciones; Narración oral escénica; Circo; Animaciones; Teatro gestual - Teatro del movimiento; Teatro de texto; Teatro-circo</t>
  </si>
  <si>
    <t>José Torres Trío</t>
  </si>
  <si>
    <t>https://www.teatro.es/guiarte/jose-torres-trio-65089</t>
  </si>
  <si>
    <t>41008 - Sevilla (Sevilla)</t>
  </si>
  <si>
    <t>José Torres</t>
  </si>
  <si>
    <t>Jácara Teatro</t>
  </si>
  <si>
    <t>teatrojacara@teatrojacara.com</t>
  </si>
  <si>
    <t>965 951 322 - 671 035 469 - 647 444 219</t>
  </si>
  <si>
    <t>https://www.teatro.es/guiarte/jacara-teatro-1039</t>
  </si>
  <si>
    <t>Mutxamel</t>
  </si>
  <si>
    <t>Miguel Alcaraz, 39 - 03110 - Mutxamel (Alicante)</t>
  </si>
  <si>
    <t>Verónica Espuch; José Antono García</t>
  </si>
  <si>
    <t>Karlik Danza Teatro</t>
  </si>
  <si>
    <t>karlik@karlikdanza.com</t>
  </si>
  <si>
    <t>927 290 047 - 670 868 078</t>
  </si>
  <si>
    <t>https://www.teatro.es/guiarte/karlik-danza-teatro-2379</t>
  </si>
  <si>
    <t>Casar de Cáceres</t>
  </si>
  <si>
    <t>Polígono la cañada, 1 - 10001 - Casar de Cáceres (Cáceres)</t>
  </si>
  <si>
    <t>David Pérez Hernando</t>
  </si>
  <si>
    <t>Sbethancourt Management</t>
  </si>
  <si>
    <t>Calle Torrelaguna, 36 - 28027 - Madrid (Madrid)</t>
  </si>
  <si>
    <t>600 555 001</t>
  </si>
  <si>
    <t>sergio@sbethancourt.com</t>
  </si>
  <si>
    <t>sbethancourt.com</t>
  </si>
  <si>
    <t>Krego-Martín Danza</t>
  </si>
  <si>
    <t>mariaspaceko@gmail.com</t>
  </si>
  <si>
    <t>686 135 248</t>
  </si>
  <si>
    <t>https://www.teatro.es/guiarte/krego-martin-danza-70309</t>
  </si>
  <si>
    <t>Del Victor 4 - 4ºF - 48005 - Bilbao (Vizcaya)</t>
  </si>
  <si>
    <t>Begoña Crego; María Martín</t>
  </si>
  <si>
    <t>Laurentzi Producciones</t>
  </si>
  <si>
    <t>c/ Tendería  nº42  5º-Derecha - 48005 - Bilbao (Vizcaya)</t>
  </si>
  <si>
    <t>info@laurentziproducciones.com; rosa@laurentzi.com ; rosa@laurentziproducciones.com</t>
  </si>
  <si>
    <t>www.laurentzi.com</t>
  </si>
  <si>
    <t>Krisis Teatre Dansa. Krisis TD</t>
  </si>
  <si>
    <t>krisis29@hotmail.com</t>
  </si>
  <si>
    <t>659 831 868 - 630 829 806 - 963 826 159</t>
  </si>
  <si>
    <t>https://www.teatro.es/guiarte/krisis-teatre-dansa-krisis-td-25901</t>
  </si>
  <si>
    <t>c/ Molina, 2-7 - 46006 - Valencia (Valencia)</t>
  </si>
  <si>
    <t>Yessica Pons</t>
  </si>
  <si>
    <t>Juan José Benavent Esteve</t>
  </si>
  <si>
    <t>Alcalde Albors, 15, Bajo - 46018 - Valencia (Valencia)</t>
  </si>
  <si>
    <t>Kubbo</t>
  </si>
  <si>
    <t>educacion@kubbo.org</t>
  </si>
  <si>
    <t>https://www.teatro.es/guiarte/kubbo-104538</t>
  </si>
  <si>
    <t>Kubik Fabrik Producciones</t>
  </si>
  <si>
    <t>hola@kubikfabrik.com</t>
  </si>
  <si>
    <t>651 158 990 - 917 921 025 - 652 729 168</t>
  </si>
  <si>
    <t>https://www.teatro.es/guiarte/kubik-fabrik-producciones-5126</t>
  </si>
  <si>
    <t>Ramón Fort, 11 - 28033 - Madrid (Madrid)</t>
  </si>
  <si>
    <t>Fernando Sánchez-Cabezudo</t>
  </si>
  <si>
    <t>Teatro-danza; Circo; Teatro gestual - Teatro del movimiento; Teatro de texto</t>
  </si>
  <si>
    <t>Ana Cerdiriña - KUBIK FABRIK</t>
  </si>
  <si>
    <t>Primitiva Gañán, nave 5 - Madrid</t>
  </si>
  <si>
    <t>Kukai Dantza</t>
  </si>
  <si>
    <t>dantza@kukai.eus; kukai@kukai.eus; kukai.eus</t>
  </si>
  <si>
    <t>653 756 480</t>
  </si>
  <si>
    <t>https://www.teatro.es/guiarte/kukai-dantza-101327</t>
  </si>
  <si>
    <t>Errentería</t>
  </si>
  <si>
    <t>Xenpelar 7-5º derecha - Errentería (Guipúzcoa)</t>
  </si>
  <si>
    <t>Doltza Oararteta; Nagore Martinez; Jon Maya Sein</t>
  </si>
  <si>
    <t>Kundoka</t>
  </si>
  <si>
    <t>miguelribagorda@gmail.com</t>
  </si>
  <si>
    <t>https://www.teatro.es/guiarte/kundoka-65136</t>
  </si>
  <si>
    <t>C/ Molino de Viento 26, 2º - 28004 - Madrid (Madrid)</t>
  </si>
  <si>
    <t>Miguel Ribagorda; Esteban Hirchhorn</t>
  </si>
  <si>
    <t>Kònic Thtr</t>
  </si>
  <si>
    <t>konic@koniclab.info</t>
  </si>
  <si>
    <t>934 537 248</t>
  </si>
  <si>
    <t>https://www.teatro.es/guiarte/konic-thtr-1130</t>
  </si>
  <si>
    <t>Comte Borrell, 130, 3º 1ª - 08015 - Barcelona (Barcelona)</t>
  </si>
  <si>
    <t>Rosa Sánchez; Alain Baumann</t>
  </si>
  <si>
    <t>Köselig Company</t>
  </si>
  <si>
    <t>koseligcompany@gmail.com</t>
  </si>
  <si>
    <t>633 578 669</t>
  </si>
  <si>
    <t>https://www.teatro.es/guiarte/koselig-company-105824</t>
  </si>
  <si>
    <t>Calle Arquitecto Arnau, 16 - 46020 - Valencia (Valencia)</t>
  </si>
  <si>
    <t>Tania Melina Bemposta Garay</t>
  </si>
  <si>
    <t>Teatro de objetos; Teatro-danza; Artes de calle; Ópera; Circo; Teatro gestual - Teatro del movimiento; Teatro-circo</t>
  </si>
  <si>
    <t>L.P.</t>
  </si>
  <si>
    <t>eredy-21@hotmail.com</t>
  </si>
  <si>
    <t>https://www.teatro.es/guiarte/l-p-101146</t>
  </si>
  <si>
    <t>Madrid (Madrid)</t>
  </si>
  <si>
    <t>Eduardo R. García; Rocío López Hervás</t>
  </si>
  <si>
    <t>LAminimAL Teatre Sistèmic</t>
  </si>
  <si>
    <t>info@laminimalteatre.cat; direccio@laminimalteatre.cat</t>
  </si>
  <si>
    <t>620 983 411</t>
  </si>
  <si>
    <t>https://www.teatro.es/guiarte/laminimal-teatre-sistemic-54731</t>
  </si>
  <si>
    <t>Avinguda Diagonal, 610 6ª planta - 08013 - Barcelona (Barcelona)</t>
  </si>
  <si>
    <t>Daniela Falotico Teixeira; Carles Cruces Vallejo</t>
  </si>
  <si>
    <t>Teatro-danza; Performance-Acciones-Instalaciones; Teatro musical; Narración oral escénica; Teatro gestual - Teatro del movimiento; Teatro de texto; Lecturas dramatizadas-semimontajes</t>
  </si>
  <si>
    <t>Daniela De Vecchi</t>
  </si>
  <si>
    <t>Passeig de la Marina, 284 - 1er - 08860 - Castelldefels</t>
  </si>
  <si>
    <t>La Bulé</t>
  </si>
  <si>
    <t>contacto@espaciobule.com</t>
  </si>
  <si>
    <t>626 515 184 - 696 945 905</t>
  </si>
  <si>
    <t>https://www.teatro.es/guiarte/la-bule-106006</t>
  </si>
  <si>
    <t>Camino de las Aguas, 56 - 37003 - Salamanca (Salamanca)</t>
  </si>
  <si>
    <t>Teatro de objetos; Teatro-danza; Teatro gestual - Teatro del movimiento; Teatro de texto; Improvisaciones; Lecturas dramatizadas-semimontajes</t>
  </si>
  <si>
    <t>La Cabra Compañía Valeria Alonso</t>
  </si>
  <si>
    <t>cvalerialonso@gmail.com; lacabra@valerialonso.com</t>
  </si>
  <si>
    <t>649 400 477</t>
  </si>
  <si>
    <t>https://www.teatro.es/guiarte/la-cabra-compañia-valeria-alonso-34257</t>
  </si>
  <si>
    <t>Aduana, 23, 4º 2ª - 28013 - Madrid (Madrid)</t>
  </si>
  <si>
    <t>Valeria Alonso</t>
  </si>
  <si>
    <t>La Calabaza Danza-Teatro</t>
  </si>
  <si>
    <t>lacalabaza@lacalabaza.com; sbonilla@lacalabaza.com; produccion@lacalabaza.com</t>
  </si>
  <si>
    <t>954 542 059 - 676 860 899</t>
  </si>
  <si>
    <t>https://www.teatro.es/guiarte/la-calabaza-danza-teatro-31944</t>
  </si>
  <si>
    <t>Imperial, 51 - 41003 - Sevilla (Sevilla)</t>
  </si>
  <si>
    <t>Sandra Bonilla González</t>
  </si>
  <si>
    <t>La Turné</t>
  </si>
  <si>
    <t>La Compañía del Príncipe</t>
  </si>
  <si>
    <t>princeptotilau@gmail.com</t>
  </si>
  <si>
    <t>675 653 891</t>
  </si>
  <si>
    <t>https://www.teatro.es/guiarte/la-compañia-del-principe-34963</t>
  </si>
  <si>
    <t>Sant Martí de Tous</t>
  </si>
  <si>
    <t>C/ Migdia, 8 - 08712 - Sant Martí de Tous (Barcelona)</t>
  </si>
  <si>
    <t>Marc Hervàs Solà; Clara Dalmau</t>
  </si>
  <si>
    <t>La ConMovida Producciones</t>
  </si>
  <si>
    <t>produccionesLaconmovida@gmail.com</t>
  </si>
  <si>
    <t>656 268 208</t>
  </si>
  <si>
    <t>https://www.teatro.es/guiarte/la-conmovida-producciones-62962</t>
  </si>
  <si>
    <t>C/ Leovigildo, 2 - 28019 - Madrid (Madrid)</t>
  </si>
  <si>
    <t>Marta Belenguer; Abel Zamora; David Matarín; Mentxu Romero</t>
  </si>
  <si>
    <t>La Cuadra de Sevilla</t>
  </si>
  <si>
    <t>lacuadra2@teatrolacuadra.com; lacuadra@andalunet.com</t>
  </si>
  <si>
    <t>677 466 733 - 954 658 181 - 954 920 770</t>
  </si>
  <si>
    <t>https://www.teatro.es/guiarte/la-cuadra-de-sevilla-582</t>
  </si>
  <si>
    <t>Polígono Hytasa. Lino, 1 - 41006 - Sevilla (Sevilla)</t>
  </si>
  <si>
    <t>Lilyane Drillon</t>
  </si>
  <si>
    <t>La Dalia Films S.L.</t>
  </si>
  <si>
    <t>ladaliafilms@gmail.com</t>
  </si>
  <si>
    <t>626 323 816</t>
  </si>
  <si>
    <t>https://www.teatro.es/guiarte/la-dalia-films-s-l-102299</t>
  </si>
  <si>
    <t>Maestro Marqués, 70 bajo - 03004 - Alicante (Alicante)</t>
  </si>
  <si>
    <t>Mª Carmen Espinosa Simón; José Luis Rancaño</t>
  </si>
  <si>
    <t>La Duda Teatro</t>
  </si>
  <si>
    <t>nono@ladudateatro.com; info@ladudateatro.com</t>
  </si>
  <si>
    <t>657 920 909</t>
  </si>
  <si>
    <t>https://www.teatro.es/guiarte/la-duda-teatro-4524</t>
  </si>
  <si>
    <t>Calle Pamplona, 1 - 04007 - Almería (Almería)</t>
  </si>
  <si>
    <t>Ana Parra; Nono Cañizares</t>
  </si>
  <si>
    <t>Teatro de objetos; Teatro-danza; Performance-Acciones-Instalaciones; Animaciones; Teatro de texto</t>
  </si>
  <si>
    <t>La Ejecutora. Teatro a Pelo</t>
  </si>
  <si>
    <t>somos@laejecutora.com</t>
  </si>
  <si>
    <t>650 901 623</t>
  </si>
  <si>
    <t>https://www.teatro.es/guiarte/la-ejecutora-teatro-a-pelo-65151</t>
  </si>
  <si>
    <t>Calle Francos 40 1ºL - 41004 - Sevilla (Sevilla)</t>
  </si>
  <si>
    <t>Francisco Pérez Román</t>
  </si>
  <si>
    <t>Teatro-danza; Artes de calle; Performance-Acciones-Instalaciones; Ópera; Teatro gestual - Teatro del movimiento; Teatro de texto</t>
  </si>
  <si>
    <t>La Ensemble Teatro Corporal</t>
  </si>
  <si>
    <t>goyopastor64@gmail.com</t>
  </si>
  <si>
    <t>639 814 974</t>
  </si>
  <si>
    <t>https://www.teatro.es/guiarte/la-ensemble-teatro-corporal-32529</t>
  </si>
  <si>
    <t>Navas del Rey, 26 semisótano - 28011 - Madrid (Madrid)</t>
  </si>
  <si>
    <t>Juan José de la Fuente Sánchez; Gregorio Pastor González; Arturo Jarama López</t>
  </si>
  <si>
    <t>La Filigrana Singular</t>
  </si>
  <si>
    <t>lafiligranasingular@gmail.com</t>
  </si>
  <si>
    <t>633 336 686</t>
  </si>
  <si>
    <t>https://www.teatro.es/guiarte/la-filigrana-singular-100820</t>
  </si>
  <si>
    <t>Collado Villalba</t>
  </si>
  <si>
    <t>C/ Pardo de Santallana 1, 3 C - 28400 - Collado Villalba (Madrid)</t>
  </si>
  <si>
    <t>Sara Palomo; Nieves Hedo</t>
  </si>
  <si>
    <t>La Floja Teatro</t>
  </si>
  <si>
    <t>contacto@lafloja.es</t>
  </si>
  <si>
    <t>917 219 128 - 606 714 452</t>
  </si>
  <si>
    <t>https://www.teatro.es/guiarte/la-floja-teatro-35273</t>
  </si>
  <si>
    <t>Alcorisa, 63, 3º B - 28043 - Madrid (Madrid)</t>
  </si>
  <si>
    <t>José Antonio Díaz Fernández</t>
  </si>
  <si>
    <t>La Hormiga Teatro</t>
  </si>
  <si>
    <t>hormiga@teatrolahormiga.com; paco.ventura@wanadoo.es</t>
  </si>
  <si>
    <t>626 444 115 - 947 243 108 - 626 347 264</t>
  </si>
  <si>
    <t>https://www.teatro.es/guiarte/la-hormiga-teatro-4873</t>
  </si>
  <si>
    <t>Lerma</t>
  </si>
  <si>
    <t>Hospital, 17 - 09340 - Lerma (Burgos)</t>
  </si>
  <si>
    <t>Ernesto Pérez Calvo</t>
  </si>
  <si>
    <t>La Intrusa - Virginia García / Damián Muñoz</t>
  </si>
  <si>
    <t>cane@laintrusadanza.com</t>
  </si>
  <si>
    <t>692 157 395</t>
  </si>
  <si>
    <t>https://www.teatro.es/guiarte/la-intrusa-virginia-garcia-damian-muñoz-71755</t>
  </si>
  <si>
    <t>C/ Tordera, 32 Bjo. Izq - 08012 - Barcelona (Barcelona)</t>
  </si>
  <si>
    <t>Virginia García; Nuria Canela; Damián Muñoz</t>
  </si>
  <si>
    <t>La Madre</t>
  </si>
  <si>
    <t>lamadre.gestacioartistica@gmail.com</t>
  </si>
  <si>
    <t>633 685 369</t>
  </si>
  <si>
    <t>https://www.teatro.es/guiarte/la-madre-94010</t>
  </si>
  <si>
    <t>Sineu</t>
  </si>
  <si>
    <t>Calle Palacio, 7,1 - 07510 - Sineu (Illes Balears)</t>
  </si>
  <si>
    <t>Andrea Cruz</t>
  </si>
  <si>
    <t>Teatro de objetos; Teatro-danza; Performance-Acciones-Instalaciones</t>
  </si>
  <si>
    <t>La Madre del Cordero</t>
  </si>
  <si>
    <t>corderomadredel@gmail.com</t>
  </si>
  <si>
    <t>687 485 043 - 620 689 732</t>
  </si>
  <si>
    <t>https://www.teatro.es/guiarte/la-madre-del-cordero-105561</t>
  </si>
  <si>
    <t>El Cardoso de la Sierra</t>
  </si>
  <si>
    <t>Calle de Arriba, 25 - 28190 - El Cardoso de la Sierra (Guadalajara)</t>
  </si>
  <si>
    <t>Sergio Martínez Vila; Pablo Villa Sánchez</t>
  </si>
  <si>
    <t>La Maquiné</t>
  </si>
  <si>
    <t>lamaquine@gmail.com</t>
  </si>
  <si>
    <t>617 681 731</t>
  </si>
  <si>
    <t>https://www.teatro.es/guiarte/la-maquine-6672</t>
  </si>
  <si>
    <t>C/ Conde Cifuentes 15, 3 - 18001 - Granada (Granada)</t>
  </si>
  <si>
    <t>Joaquín Casanova; Elisa Ramos</t>
  </si>
  <si>
    <t>Teatro de objetos; Teatro-danza; Performance-Acciones-Instalaciones; Ópera; Teatro gestual - Teatro del movimiento; Teatro de texto</t>
  </si>
  <si>
    <t>La Mecànica</t>
  </si>
  <si>
    <t>info@lamecanica.org; jenny@lamecanica.org</t>
  </si>
  <si>
    <t>625 687 710 - 622 093 380</t>
  </si>
  <si>
    <t>https://www.teatro.es/guiarte/la-mecanica-101037</t>
  </si>
  <si>
    <t>Esporles</t>
  </si>
  <si>
    <t>C/ Francina Aina Cirer, 5 - 07190 - Esporles (Illes Balears)</t>
  </si>
  <si>
    <t>Pau Bachero Bertomeu</t>
  </si>
  <si>
    <t>Teatro-danza; Teatro gestual - Teatro del movimiento; Teatro-circo</t>
  </si>
  <si>
    <t>La Mona del Húngaro</t>
  </si>
  <si>
    <t>lamonadelhungaro@yahoo.es; pepa_gracia@hotmail.com</t>
  </si>
  <si>
    <t>600 227 814 - 639 471 971</t>
  </si>
  <si>
    <t>https://www.teatro.es/guiarte/la-mona-del-hungaro-26176</t>
  </si>
  <si>
    <t>Madre de Dios, 11, 2º B - 06002 - Badajoz (Badajoz)</t>
  </si>
  <si>
    <t>Cristina Rosa Velardo; Pepa Gracia</t>
  </si>
  <si>
    <t>La Pacharola Teatro Infantil</t>
  </si>
  <si>
    <t>teatrolapacharola@gmail.com</t>
  </si>
  <si>
    <t>661 67 90 26 - 635 64 66 99</t>
  </si>
  <si>
    <t>https://www.teatro.es/guiarte/la-pacharola-teatro-infantil-60752</t>
  </si>
  <si>
    <t>Bolarque 1, 2 C - 28803 - Alcalá de Henares (Madrid)</t>
  </si>
  <si>
    <t>María Muñoz</t>
  </si>
  <si>
    <t>Teatro-danza; Narración oral escénica; Animaciones; Teatro de texto</t>
  </si>
  <si>
    <t>La Permanente</t>
  </si>
  <si>
    <t>papalomadiaz@yahoo.es</t>
  </si>
  <si>
    <t>639 488 108 - 915 938 417</t>
  </si>
  <si>
    <t>https://www.teatro.es/guiarte/la-permanente-4488</t>
  </si>
  <si>
    <t>La Palma, 15, 4º Izda - 28004 - Madrid (Madrid)</t>
  </si>
  <si>
    <t>Paloma Díaz</t>
  </si>
  <si>
    <t>La Perturbación</t>
  </si>
  <si>
    <t>https://www.teatro.es/guiarte/la-perturbacion-101113</t>
  </si>
  <si>
    <t>30011 - Murcia (Murcia)</t>
  </si>
  <si>
    <t>José Carlos Ruiz</t>
  </si>
  <si>
    <t>La Manzana Dorada S. Coop.</t>
  </si>
  <si>
    <t>C/ General  Martín de la Carrera - Murcia (Murcia)</t>
  </si>
  <si>
    <t>682 372 027</t>
  </si>
  <si>
    <t>info@lamanzanadorada.eu</t>
  </si>
  <si>
    <t>www.lamanzanadorada.eu</t>
  </si>
  <si>
    <t>La Petita Malumaluga</t>
  </si>
  <si>
    <t>office@lapetita.cat</t>
  </si>
  <si>
    <t>617 890 404</t>
  </si>
  <si>
    <t>https://www.teatro.es/guiarte/la-petita-malumaluga-62593</t>
  </si>
  <si>
    <t>Ripollet</t>
  </si>
  <si>
    <t>C/Can Barneda, 17-37. Nave 26 Polígono Industrial Molí d'en Xec  - 08291 - Ripollet (Barcelona)</t>
  </si>
  <si>
    <t>Albert Vilà; Eva Vilamitjana</t>
  </si>
  <si>
    <t>La Petite Producciones</t>
  </si>
  <si>
    <t>lapetite.gr@gmail.com; lapetiteproducciones.com</t>
  </si>
  <si>
    <t>609 544 005</t>
  </si>
  <si>
    <t>https://www.teatro.es/guiarte/la-petite-producciones-102604</t>
  </si>
  <si>
    <t>Urbanización Alcázar del Genil, 13 - 18006 - Granada (Granada)</t>
  </si>
  <si>
    <t>Silvia López Regalado</t>
  </si>
  <si>
    <t>Teatro-danza; Performance-Acciones-Instalaciones; Narración oral escénica; Variedades</t>
  </si>
  <si>
    <t>La Phármaco</t>
  </si>
  <si>
    <t>lapharmaco@gmail.com</t>
  </si>
  <si>
    <t>https://www.teatro.es/guiarte/la-pharmaco-102236</t>
  </si>
  <si>
    <t>Málaga (Málaga)</t>
  </si>
  <si>
    <t>Luz Arcas</t>
  </si>
  <si>
    <t>La Pícara Flamenca</t>
  </si>
  <si>
    <t>lapicaraflamenca@gmail.com</t>
  </si>
  <si>
    <t>https://www.teatro.es/guiarte/la-picara-flamenca-105628</t>
  </si>
  <si>
    <t>Director:</t>
  </si>
  <si>
    <t>Mariché López</t>
  </si>
  <si>
    <t>Celia Negrete. Gestión Cultural</t>
  </si>
  <si>
    <t>Ruta de los Campanilleros, 8, Bloque 7, 1º N - 29740 - Torre del Mar (Málaga)</t>
  </si>
  <si>
    <t>952 967 934 - 676 461 997</t>
  </si>
  <si>
    <t>info@celianegrete.com; celia.negrete@gmail.com</t>
  </si>
  <si>
    <t>La Quadra Màgica (LQM)</t>
  </si>
  <si>
    <t>jmriera2003@yahoo.es; quadramagica@yahoo.es</t>
  </si>
  <si>
    <t>645 765 631</t>
  </si>
  <si>
    <t>https://www.teatro.es/guiarte/la-quadra-magica-lqm-34444</t>
  </si>
  <si>
    <t>Garriga y Roca, 70-72 - 08043 - Barcelona (Barcelona)</t>
  </si>
  <si>
    <t>Josep Maria Riera</t>
  </si>
  <si>
    <t>La República</t>
  </si>
  <si>
    <t>larepublica.t@gmail.com</t>
  </si>
  <si>
    <t>635 137 952</t>
  </si>
  <si>
    <t>https://www.teatro.es/guiarte/la-republica-3018</t>
  </si>
  <si>
    <t>Manuel Cortina, 11 - 28010 - Madrid (Madrid)</t>
  </si>
  <si>
    <t>Fernando Renjifo</t>
  </si>
  <si>
    <t>A.C. Producciones La República</t>
  </si>
  <si>
    <t>Luchana 6, 5º I - 28010 - Madrid (Madrid)</t>
  </si>
  <si>
    <t>La Sonrisa de Caín</t>
  </si>
  <si>
    <t>cristina@lasonrisadecain.com</t>
  </si>
  <si>
    <t>679 180 827 - 619 494 595</t>
  </si>
  <si>
    <t>https://www.teatro.es/guiarte/la-sonrisa-de-cain-34250</t>
  </si>
  <si>
    <t>Avda Antiguo Reino de Valencia, 87, 7, 72 - 46006 - Valencia (Valencia)</t>
  </si>
  <si>
    <t>Vicenta Chaparro; Cristina Andreu</t>
  </si>
  <si>
    <t>La Tribu Imaginaria</t>
  </si>
  <si>
    <t>tribuimaginaria@gmail.com</t>
  </si>
  <si>
    <t>692 546 172</t>
  </si>
  <si>
    <t>https://www.teatro.es/guiarte/la-tribu-imaginaria-54870</t>
  </si>
  <si>
    <t>Barcience</t>
  </si>
  <si>
    <t>C/ Velasques, 10 - 45225 - Barcience (Toledo)</t>
  </si>
  <si>
    <t>Andrés del Bosque</t>
  </si>
  <si>
    <t>Teatro de objetos; Teatro-danza; Performance-Acciones-Instalaciones; Narración oral escénica; Circo; Teatro gestual - Teatro del movimiento; Teatro-circo</t>
  </si>
  <si>
    <t>La Turba</t>
  </si>
  <si>
    <t>carlotom9@hotmail.com</t>
  </si>
  <si>
    <t>664 159 131</t>
  </si>
  <si>
    <t>https://www.teatro.es/guiarte/la-turba-65109</t>
  </si>
  <si>
    <t>C/ Dinastía Músicos Palatín, bloque 11, 4ºA - 41008 - Sevilla (Sevilla)</t>
  </si>
  <si>
    <t>Carlota Berzal</t>
  </si>
  <si>
    <t>Gestora de Nuevos Proyectos Culturales</t>
  </si>
  <si>
    <t>C/ Rafael González Abreu, 16, planta 2, puerta B - 41001 - Sevilla (Sevilla)</t>
  </si>
  <si>
    <t>954 225 094</t>
  </si>
  <si>
    <t>montse@nuevosproyectos.net; julio@nuevosproyectos.net</t>
  </si>
  <si>
    <t>www.nuevosproyectos.net</t>
  </si>
  <si>
    <t>La Veronal</t>
  </si>
  <si>
    <t>laveronal@laveronal.com; produccion@laveronal.com</t>
  </si>
  <si>
    <t>https://www.teatro.es/guiarte/la-veronal-102833</t>
  </si>
  <si>
    <t>Barcelona (Barcelona)</t>
  </si>
  <si>
    <t>Marcos Morau Ureña</t>
  </si>
  <si>
    <t>La Viuda</t>
  </si>
  <si>
    <t>lasviudas@gmail.com</t>
  </si>
  <si>
    <t>630 215 443</t>
  </si>
  <si>
    <t>https://www.teatro.es/guiarte/la-viuda-33820</t>
  </si>
  <si>
    <t>Om, 8, 4º 2ª - 08001 - Barcelona (Barcelona)</t>
  </si>
  <si>
    <t>Kike Blanco</t>
  </si>
  <si>
    <t>La quebrá</t>
  </si>
  <si>
    <t>laquebragarcia@gmail.com</t>
  </si>
  <si>
    <t>615 660 607</t>
  </si>
  <si>
    <t>https://www.teatro.es/guiarte/la-quebra-103574</t>
  </si>
  <si>
    <t>C/ Pavía 50-52, sobre atico 1ª - 08028 - Barcelona (Barcelona)</t>
  </si>
  <si>
    <t>Irene García</t>
  </si>
  <si>
    <t>LaSogorb Artes Escénicas</t>
  </si>
  <si>
    <t>lasogorb@gmail.com</t>
  </si>
  <si>
    <t>https://www.teatro.es/guiarte/lasogorb-artes-escenicas-105756</t>
  </si>
  <si>
    <t>Crta, Agost, 20 - 2º - 03690 - Sant Vicent del Raspeig (Alicante)</t>
  </si>
  <si>
    <t>Elisa Isabel Sogorb García</t>
  </si>
  <si>
    <t>Laboratorio Teatral Terapéutico</t>
  </si>
  <si>
    <t>info@oswaldobordon.com</t>
  </si>
  <si>
    <t>https://www.teatro.es/guiarte/laboratorio-teatral-terapeutico-105553</t>
  </si>
  <si>
    <t>San Cristóbal de La Laguna</t>
  </si>
  <si>
    <t>C/ Baltasar Núñez, 12 - 38203 - San Cristóbal de La Laguna (Santa Cruz de Tenerife)</t>
  </si>
  <si>
    <t>Teatro lírico; Teatro-danza; Performance-Acciones-Instalaciones; Teatro musical; Narración oral escénica; Teatro gestual - Teatro del movimiento; Teatro de texto; Recitales; Lecturas dramatizadas-semimontajes</t>
  </si>
  <si>
    <t>Laboratorio Tábatha S.L</t>
  </si>
  <si>
    <t>laboratoriotabatha@gmail.com; lab@tabatha.es</t>
  </si>
  <si>
    <t>671 941 886</t>
  </si>
  <si>
    <t>https://www.teatro.es/guiarte/laboratorio-tabatha-s-l-35289</t>
  </si>
  <si>
    <t>Esparragal</t>
  </si>
  <si>
    <t>Verduleros, 15 - 30163 - Esparragal (Murcia)</t>
  </si>
  <si>
    <t>Esther Ruiz Ruiz</t>
  </si>
  <si>
    <t>Lacosaneutra</t>
  </si>
  <si>
    <t>915 218 429</t>
  </si>
  <si>
    <t>https://www.teatro.es/guiarte/lacosaneutra-36832</t>
  </si>
  <si>
    <t>C/ La Palma, 18 Local dcho - 28004 - Madrid (Madrid)</t>
  </si>
  <si>
    <t>Eva Caballero Peláez; Angel Málaga Paniagua</t>
  </si>
  <si>
    <t>Teatro-danza; Performance-Acciones-Instalaciones; Teatro musical; Teatro gestual - Teatro del movimiento; Teatro de texto</t>
  </si>
  <si>
    <t>Lanórdika</t>
  </si>
  <si>
    <t>cia@lanordika.com</t>
  </si>
  <si>
    <t>658 644 602</t>
  </si>
  <si>
    <t>https://www.teatro.es/guiarte/lanordika-101610</t>
  </si>
  <si>
    <t>Armill</t>
  </si>
  <si>
    <t>c/ Albacete, 53 - 18100 - Armill (Granada)</t>
  </si>
  <si>
    <t>Darío Dumont Swinkels; Greta García</t>
  </si>
  <si>
    <t>Lapotinguele Producciones S.L</t>
  </si>
  <si>
    <t>info@lapotinguele.com</t>
  </si>
  <si>
    <t>https://www.teatro.es/guiarte/lapotinguele-producciones-s-l-71744</t>
  </si>
  <si>
    <t>Navalcarnero</t>
  </si>
  <si>
    <t>C/ Salvador Gramaje, 75 - 28600 - Navalcarnero (Madrid)</t>
  </si>
  <si>
    <t>Lapsus Espectacles-Associació per la Promoció de la Cultura i la Solidaritat</t>
  </si>
  <si>
    <t>mabel@lapsusespectacles.com; info@lapsusespectacles.com</t>
  </si>
  <si>
    <t>620 997 452 - 933 106 095</t>
  </si>
  <si>
    <t>https://www.teatro.es/guiarte/lapsus-espectacles-associacio-per-la-promocio-de-la-cultura-i-la-solidaritat-31752</t>
  </si>
  <si>
    <t>Sant Pere Mitjà, 77-79, Baixos - 08003 - Barcelona (Barcelona)</t>
  </si>
  <si>
    <t>Mabel Peressini</t>
  </si>
  <si>
    <t>Teatro de objetos; Teatro-danza; Performance-Acciones-Instalaciones; Narración oral escénica; Variedades; Circo; Animaciones; Teatro gestual - Teatro del movimiento; Teatro de texto; Teatro-circo</t>
  </si>
  <si>
    <t>Larna Teatre</t>
  </si>
  <si>
    <t>larnateatre@gmail.com</t>
  </si>
  <si>
    <t>697 860 881</t>
  </si>
  <si>
    <t>https://www.teatro.es/guiarte/larna-teatre-35203</t>
  </si>
  <si>
    <t>Consell de Cent, 453 Pcpal.1ª - 08013 - Barcelona (Barcelona)</t>
  </si>
  <si>
    <t>Meritxell Manyoses; Mireia Trias</t>
  </si>
  <si>
    <t>Las Manías de Nérrupa</t>
  </si>
  <si>
    <t>https://www.teatro.es/guiarte/las-manias-de-nerrupa-101614</t>
  </si>
  <si>
    <t>La Torre de Esteban Hambrán</t>
  </si>
  <si>
    <t>Las Santas</t>
  </si>
  <si>
    <t>info@lassantas.es</t>
  </si>
  <si>
    <t>933 180 612 - 620 810 823 - 934 431 980</t>
  </si>
  <si>
    <t>https://www.teatro.es/guiarte/las-santas-32277</t>
  </si>
  <si>
    <t>Riereta, 18, 2º - 08001 - Barcelona (Barcelona)</t>
  </si>
  <si>
    <t>Mónica Muntaner; Beatriz Fernández; Silvia Sant Funk</t>
  </si>
  <si>
    <t>Las Sistars</t>
  </si>
  <si>
    <t>https://www.teatro.es/guiarte/las-sistars-105991</t>
  </si>
  <si>
    <t>C/ Cristobal de Moura, 105, Nave 1 - 08019 - Barcelona (Barcelona)</t>
  </si>
  <si>
    <t>Teatro-danza; Artes de calle; Circo</t>
  </si>
  <si>
    <t>Leandre Clown Productions</t>
  </si>
  <si>
    <t>agnesforn@leandreclown.com</t>
  </si>
  <si>
    <t>https://www.teatro.es/guiarte/leandre-clown-productions-3142</t>
  </si>
  <si>
    <t>Argentona</t>
  </si>
  <si>
    <t>C/ Ferraters, 8 - 08310 - Argentona (Barcelona)</t>
  </si>
  <si>
    <t>Leandre Ribera Turro</t>
  </si>
  <si>
    <t>Teatro-danza; Artes de calle; Teatro-circo; Clown</t>
  </si>
  <si>
    <t>LeidyMaharet</t>
  </si>
  <si>
    <t>leidymaharet@yahoo.es</t>
  </si>
  <si>
    <t>661 375 491 - 752 258 170</t>
  </si>
  <si>
    <t>https://www.teatro.es/guiarte/leidymaharet-62956</t>
  </si>
  <si>
    <t>Hospitalet de Llobregat</t>
  </si>
  <si>
    <t>Juan Ramón Jiménez, 22 - 08902 - Hospitalet de Llobregat (Barcelona)</t>
  </si>
  <si>
    <t>Jessy López</t>
  </si>
  <si>
    <t>Les Impuxibles</t>
  </si>
  <si>
    <t>lesimpuxibles@gmail.com; info@lesimpuxibles.com</t>
  </si>
  <si>
    <t>636 594 964</t>
  </si>
  <si>
    <t>https://www.teatro.es/guiarte/les-impuxibles-60807</t>
  </si>
  <si>
    <t>C/ Valldoreix 9 bis - 28024 - Barcelona (Barcelona)</t>
  </si>
  <si>
    <t>Clara Peya; Ariadna Peya; Gràcia Camps</t>
  </si>
  <si>
    <t>Licaón Teatro</t>
  </si>
  <si>
    <t>licaonteatro@licaonteatro.com; distribucion@licaonteatro.com; licaonteatro@gmail.com</t>
  </si>
  <si>
    <t>693 361 369</t>
  </si>
  <si>
    <t>https://www.teatro.es/guiarte/licaon-teatro-5853</t>
  </si>
  <si>
    <t>Fuente Grande-Alfacar</t>
  </si>
  <si>
    <t>C/ J. Federico Martínez, 7 - 18179 - Fuente Grande-Alfacar (Granada)</t>
  </si>
  <si>
    <t>Piñaki Gómez</t>
  </si>
  <si>
    <t>Teatro-danza; Performance-Acciones-Instalaciones; Teatro musical; Variedades; Teatro gestual - Teatro del movimiento</t>
  </si>
  <si>
    <t>Llapissera de Teatre S. L</t>
  </si>
  <si>
    <t>607 619 085 - 963 836 954</t>
  </si>
  <si>
    <t>https://www.teatro.es/guiarte/llapissera-de-teatre-s-l-11830</t>
  </si>
  <si>
    <t>Art Major de la Seda, 15, 5ª - 46018 - Valencia (Valencia)</t>
  </si>
  <si>
    <t>Joanvi Cubedo i Capella</t>
  </si>
  <si>
    <t>Loco Brusca</t>
  </si>
  <si>
    <t>locobrusca@gmail.com</t>
  </si>
  <si>
    <t>629 335 234 - 937 631 172</t>
  </si>
  <si>
    <t>https://www.teatro.es/guiarte/loco-brusca-3640</t>
  </si>
  <si>
    <t>Sant Cebria de Vallalta</t>
  </si>
  <si>
    <t>Xiprer, 3 - 08396 - Sant Cebria de Vallalta (Barcelona)</t>
  </si>
  <si>
    <t>Luis Brusca</t>
  </si>
  <si>
    <t>Teatro-danza; Variedades; Circo; Animaciones; Teatro-circo</t>
  </si>
  <si>
    <t>Loco-Motora Teatro</t>
  </si>
  <si>
    <t>llanosina@hotmail.com; locomotorateatro@gmail.com</t>
  </si>
  <si>
    <t>678 316 978</t>
  </si>
  <si>
    <t>https://www.teatro.es/guiarte/loco-motora-teatro-37148</t>
  </si>
  <si>
    <t>Paseo de la Florida 25, 1º B - 28008 - Madrid (Madrid)</t>
  </si>
  <si>
    <t>Llanos Gómez Menéndez</t>
  </si>
  <si>
    <t>Locos por el Teatro</t>
  </si>
  <si>
    <t>albertoceldran@gmail.com</t>
  </si>
  <si>
    <t>622 845 884</t>
  </si>
  <si>
    <t>https://www.teatro.es/guiarte/locos-por-el-teatro-5745</t>
  </si>
  <si>
    <t>Alberto Celdrán</t>
  </si>
  <si>
    <t>Loscorderos.sc</t>
  </si>
  <si>
    <t>loscorderos.sc@gmail.com</t>
  </si>
  <si>
    <t>608 452 304 - 972 160 003</t>
  </si>
  <si>
    <t>https://www.teatro.es/guiarte/loscorderos-sc-5672</t>
  </si>
  <si>
    <t>Riells i Viabrea</t>
  </si>
  <si>
    <t>Can Hosta, 113 - 17404 - Riells i Viabrea (Girona)</t>
  </si>
  <si>
    <t>María Pilar López</t>
  </si>
  <si>
    <t>Losdedae SLU</t>
  </si>
  <si>
    <t>losdedae@gmail.com</t>
  </si>
  <si>
    <t>653 401 616</t>
  </si>
  <si>
    <t>https://www.teatro.es/guiarte/losdedae-slu-36944</t>
  </si>
  <si>
    <t>Nicolás Morales, 38, 4º 1 - 28019 - Madrid (Madrid)</t>
  </si>
  <si>
    <t>Chevi Muraday</t>
  </si>
  <si>
    <t>Losquequedan</t>
  </si>
  <si>
    <t>c.losquequedan@gmail.com</t>
  </si>
  <si>
    <t>616 307 052</t>
  </si>
  <si>
    <t>https://www.teatro.es/guiarte/losquequedan-34126</t>
  </si>
  <si>
    <t>Pintor Gisbert, 15, 8 - 46006 - Valencia (Valencia)</t>
  </si>
  <si>
    <t>Vicente Arlandis; Sandra Gómez</t>
  </si>
  <si>
    <t>Lub - Dub</t>
  </si>
  <si>
    <t>info@imaginamagia.com</t>
  </si>
  <si>
    <t>647 667 156</t>
  </si>
  <si>
    <t>https://www.teatro.es/guiarte/lub-dub-65188</t>
  </si>
  <si>
    <t>C/ Luna, 3 - 28600 - Navalcarnero (Madrid)</t>
  </si>
  <si>
    <t>Jose Luis Varo</t>
  </si>
  <si>
    <t>Teatro-danza; Performance-Acciones-Instalaciones; Teatro musical; Variedades; Circo; Teatro gestual - Teatro del movimiento; Teatro de texto; Teatro-circo</t>
  </si>
  <si>
    <t>Luna Teatro Danza</t>
  </si>
  <si>
    <t>lunateatrodanza@gmail.com; www.lunateatrodanza.com</t>
  </si>
  <si>
    <t>https://www.teatro.es/guiarte/luna-teatro-danza-36791</t>
  </si>
  <si>
    <t>San Lorenzo del Escorial</t>
  </si>
  <si>
    <t>Calle Claudio Coello 31, garaje - 28200 - San Lorenzo del Escorial (Madrid)</t>
  </si>
  <si>
    <t>Julia Aragonés; Pablo Vergne; Alba Vergne</t>
  </si>
  <si>
    <t>Mago Rubini Producciones</t>
  </si>
  <si>
    <t>info@magorubiniproducciones.es</t>
  </si>
  <si>
    <t>652 211 353</t>
  </si>
  <si>
    <t>https://www.teatro.es/guiarte/mago-rubini-producciones-65047</t>
  </si>
  <si>
    <t>Argés</t>
  </si>
  <si>
    <t>Travesía Buenos Aires, 12 - 45122 - Argés (Toledo)</t>
  </si>
  <si>
    <t>Rubén Matínez Guillén</t>
  </si>
  <si>
    <t>Teatro de objetos; Teatro-danza; Performance-Acciones-Instalaciones; Teatro musical; Variedades; Circo; Animaciones; Teatro de texto; Teatro-circo</t>
  </si>
  <si>
    <t>Magrinyana</t>
  </si>
  <si>
    <t>aflera@aflera.com</t>
  </si>
  <si>
    <t>629 113 088 - 916 924 160</t>
  </si>
  <si>
    <t>https://www.teatro.es/guiarte/magrinyana-3374</t>
  </si>
  <si>
    <t>Pinto</t>
  </si>
  <si>
    <t>Apartado de Correos 122 - 28320 - Pinto (Madrid)</t>
  </si>
  <si>
    <t>Isabel Albertus; Antonio Fernández Lera</t>
  </si>
  <si>
    <t>Mal pelo</t>
  </si>
  <si>
    <t>https://www.teatro.es/guiarte/mal-pelo-103869</t>
  </si>
  <si>
    <t>Mas Espolla - 17460 - Celrà (Girona)</t>
  </si>
  <si>
    <t>María Muñoz; Pep Ramis</t>
  </si>
  <si>
    <t>Mala Brigo</t>
  </si>
  <si>
    <t>cie.malabrigo@gmail.com</t>
  </si>
  <si>
    <t>640 217 631 - 605 122 997</t>
  </si>
  <si>
    <t>https://www.teatro.es/guiarte/mala-brigo-106818</t>
  </si>
  <si>
    <t>01002 - Vitoria (Álava)</t>
  </si>
  <si>
    <t>Laura Abrain Cariñena; Diego Saladin Ruiz</t>
  </si>
  <si>
    <t>Malala Producciones</t>
  </si>
  <si>
    <t>malalaproducciones@gmail.com</t>
  </si>
  <si>
    <t>679 725 608</t>
  </si>
  <si>
    <t>https://www.teatro.es/guiarte/malala-producciones-103008</t>
  </si>
  <si>
    <t>C/ Alverja, 16 5D - 28011 - Madrid (Madrid)</t>
  </si>
  <si>
    <t>Tomás Cabané</t>
  </si>
  <si>
    <t>Eunice</t>
  </si>
  <si>
    <t>C/ Donoso Cortés, 30, 4i - 28015 - Madrid (Madrid)</t>
  </si>
  <si>
    <t>643 470 449</t>
  </si>
  <si>
    <t>contacto@euniceproducciones.com</t>
  </si>
  <si>
    <t>www.euniceproducciones.com</t>
  </si>
  <si>
    <t>Malditas Lagartijas</t>
  </si>
  <si>
    <t>malditaslagartijascia@gmail.com; produccionmalditaslagartijas@gmail.com</t>
  </si>
  <si>
    <t>628 561 947</t>
  </si>
  <si>
    <t>https://www.teatro.es/guiarte/malditas-lagartijas-106612</t>
  </si>
  <si>
    <t>Coslada</t>
  </si>
  <si>
    <t>C/Buenos Aires, 2 Piso 2-6 - 28822 - Coslada (Madrid)</t>
  </si>
  <si>
    <t>Beatriz del Monte Fernández</t>
  </si>
  <si>
    <t>Teatro-danza; Performance-Acciones-Instalaciones; Teatro gestual - Teatro del movimiento; Improvisaciones</t>
  </si>
  <si>
    <t>Malditos Compañía</t>
  </si>
  <si>
    <t>https://www.teatro.es/guiarte/malditos-compañia-94729</t>
  </si>
  <si>
    <t>Fuenlabrada</t>
  </si>
  <si>
    <t>C/ Villalba, 20 - 28945 - Fuenlabrada (Madrid)</t>
  </si>
  <si>
    <t>Rubén Frías; José Luis Rodríguez Vázquez</t>
  </si>
  <si>
    <t>Franávila Producción y Distribución</t>
  </si>
  <si>
    <t>C/ Valencia, 20 - 28012 - Madrid (Madrid)</t>
  </si>
  <si>
    <t>659 462 080</t>
  </si>
  <si>
    <t>franaviladistribucion@gmail.com</t>
  </si>
  <si>
    <t>www.franavila.com</t>
  </si>
  <si>
    <t>Maquinant Teatre</t>
  </si>
  <si>
    <t>maquinant@hotmail.es</t>
  </si>
  <si>
    <t>635 826 051</t>
  </si>
  <si>
    <t>https://www.teatro.es/guiarte/maquinant-teatre-101084</t>
  </si>
  <si>
    <t>C/ Humanista Furió, 1, pta7 - 46002 - Valencia (Valencia)</t>
  </si>
  <si>
    <t>Aina Gimeno Pérez</t>
  </si>
  <si>
    <t>Maracaibo Teatro S.L.</t>
  </si>
  <si>
    <t>maracaiboteatro@maracaiboteatro.com</t>
  </si>
  <si>
    <t>629 403 598 - 965 450 167</t>
  </si>
  <si>
    <t>https://www.teatro.es/guiarte/maracaibo-teatro-s-l-2977</t>
  </si>
  <si>
    <t>C/ Asunción Parreño García, 55-5ª - 03205 - Elche (Alicante)</t>
  </si>
  <si>
    <t>Cristina Maciá; Juan Carlos García</t>
  </si>
  <si>
    <t>Mariposa Sobre Llama</t>
  </si>
  <si>
    <t>ninadragona@hotmail.com</t>
  </si>
  <si>
    <t>677 372 024</t>
  </si>
  <si>
    <t>https://www.teatro.es/guiarte/mariposa-sobre-llama-34872</t>
  </si>
  <si>
    <t>Betis, 30, Bajo - 41010 - Sevilla (Sevilla)</t>
  </si>
  <si>
    <t>Martina Banchetti</t>
  </si>
  <si>
    <t>Marlia Produccions</t>
  </si>
  <si>
    <t>marliaproduccions@gmail.com</t>
  </si>
  <si>
    <t>670 243 734</t>
  </si>
  <si>
    <t>https://www.teatro.es/guiarte/marlia-produccions-37184</t>
  </si>
  <si>
    <t>General Contreras, 4  esc. 2  4º-C - 43004 - Tarragona (Tarragona)</t>
  </si>
  <si>
    <t>Marc Chornet Artells; Noèlia Pérez Cervantes</t>
  </si>
  <si>
    <t>Martelache Espectáculos S.L</t>
  </si>
  <si>
    <t>martelache@gmail.com; zonag@zonagmanagement.com</t>
  </si>
  <si>
    <t>619 056 899 - 914 593 064</t>
  </si>
  <si>
    <t>https://www.teatro.es/guiarte/martelache-espectaculos-s-l-4880</t>
  </si>
  <si>
    <t>Pº de la Dirección, 176, Ático A - 28039 - Madrid (Madrid)</t>
  </si>
  <si>
    <t>Marta Ochando; Chema Rodríguez</t>
  </si>
  <si>
    <t>ZonaG Management</t>
  </si>
  <si>
    <t>Masaconfusa. Artes Plásticas y Escénicas</t>
  </si>
  <si>
    <t>marta@masaconfusa.es; masaconfusa@gmail.com</t>
  </si>
  <si>
    <t>691 781 186 - 695 485 261 - 918 482 334</t>
  </si>
  <si>
    <t>https://www.teatro.es/guiarte/masaconfusa-artes-plasticas-y-escenicas-36155</t>
  </si>
  <si>
    <t>Bustarviejo</t>
  </si>
  <si>
    <t>C/ Barco, 1ª - 28720 - Bustarviejo (Madrid)</t>
  </si>
  <si>
    <t>Marta Martínez; Ignacio Yuste</t>
  </si>
  <si>
    <t>Teatro de objetos; Teatro-danza; Performance-Acciones-Instalaciones; Narración oral escénica; Teatro gestual - Teatro del movimiento</t>
  </si>
  <si>
    <t>Indeleble Comunidad Artística A.C</t>
  </si>
  <si>
    <t>Travesía del Arenal, 20 - 28720 - Bustarviejo (Madrid)</t>
  </si>
  <si>
    <t>indeleble@indeleble.es</t>
  </si>
  <si>
    <t>Matarile Teatro</t>
  </si>
  <si>
    <t>matarileteatro@gmail.com</t>
  </si>
  <si>
    <t>666 092 197 - 657 905 130</t>
  </si>
  <si>
    <t>https://www.teatro.es/guiarte/matarile-teatro-1257</t>
  </si>
  <si>
    <t>Sergude, Boqueixón</t>
  </si>
  <si>
    <t>Rodiño Grande, 4 - 15881 - Sergude, Boqueixón (A Coruña)</t>
  </si>
  <si>
    <t>Ana Vallés; Baltasar Patiño; Juancho Gianzo</t>
  </si>
  <si>
    <t>Medea_73</t>
  </si>
  <si>
    <t>medea73@gmail.com</t>
  </si>
  <si>
    <t>690 650 898 - 616 858 365</t>
  </si>
  <si>
    <t>https://www.teatro.es/guiarte/medea-73-5197</t>
  </si>
  <si>
    <t>Santa Cecilia, 4, 2º A - 28011 - Madrid (Madrid)</t>
  </si>
  <si>
    <t>Lorena Briscoe</t>
  </si>
  <si>
    <t>Teatro de objetos; Teatro-danza; Performance-Acciones-Instalaciones; Teatro gestual - Teatro del movimiento</t>
  </si>
  <si>
    <t>Meditea S.L.</t>
  </si>
  <si>
    <t>meditea@gmail.com</t>
  </si>
  <si>
    <t>676 928 044</t>
  </si>
  <si>
    <t>https://www.teatro.es/guiarte/meditea-s-l-26036</t>
  </si>
  <si>
    <t>Calle Santa Susana, 36 - planta 7 - puerta 1 - 28033 - Madrid (Madrid)</t>
  </si>
  <si>
    <t>Ginés Alberto Sánchez Costa</t>
  </si>
  <si>
    <t>Meg Producciones Artísticas S.L.</t>
  </si>
  <si>
    <t>direccion@megproducciones.es</t>
  </si>
  <si>
    <t>https://www.teatro.es/guiarte/meg-producciones-artisticas-s-l-104921</t>
  </si>
  <si>
    <t>Zaratán</t>
  </si>
  <si>
    <t>C/ Ganadería, 13 - 47610 - Zaratán (Valladolid)</t>
  </si>
  <si>
    <t>Sergio San Juan; Jesús Saludes</t>
  </si>
  <si>
    <t>Melpómene</t>
  </si>
  <si>
    <t>https://www.teatro.es/guiarte/melpomene-36070</t>
  </si>
  <si>
    <t>Mephisto Teatro. MPHT</t>
  </si>
  <si>
    <t>luacid@maydabperformance.es</t>
  </si>
  <si>
    <t>https://www.teatro.es/guiarte/mephisto-teatro-mpht-33535</t>
  </si>
  <si>
    <t>Liuba Cid</t>
  </si>
  <si>
    <t>Teatro-danza; Ópera; Zarzuela; Teatro de texto</t>
  </si>
  <si>
    <t>Mayda B Performance</t>
  </si>
  <si>
    <t>C/ Arties 2- Puerta 95 - 28660 - Boadilla del Monte (Madrid)</t>
  </si>
  <si>
    <t>629 254 339</t>
  </si>
  <si>
    <t>mayda@maydabperformance.es</t>
  </si>
  <si>
    <t>maydabperformance.es</t>
  </si>
  <si>
    <t>Mey-Ling Bisogno</t>
  </si>
  <si>
    <t>contact@meylingbisogno.info; peso.producciones@gmail.com</t>
  </si>
  <si>
    <t>https://www.teatro.es/guiarte/mey-ling-bisogno-106558</t>
  </si>
  <si>
    <t>Chinchón</t>
  </si>
  <si>
    <t>Calle de la Cueva - 28370 - Chinchón (Madrid)</t>
  </si>
  <si>
    <t>Meyling Aiaz Bisogno ep Hervet</t>
  </si>
  <si>
    <t>Teatro-danza; Artes de calle</t>
  </si>
  <si>
    <t>Peso Producciones</t>
  </si>
  <si>
    <t>peso.producciones@gmail.com</t>
  </si>
  <si>
    <t>www.peso-producciones.com</t>
  </si>
  <si>
    <t>Milímetro</t>
  </si>
  <si>
    <t>cpatriciaruz@yahoo.es</t>
  </si>
  <si>
    <t>https://www.teatro.es/guiarte/milimetro-107435</t>
  </si>
  <si>
    <t>Patricia Ruz</t>
  </si>
  <si>
    <t>Mimetic. Teatro Getual</t>
  </si>
  <si>
    <t>performenartdodo@gmail.com</t>
  </si>
  <si>
    <t>648 953 146</t>
  </si>
  <si>
    <t>https://www.teatro.es/guiarte/mimetic-teatro-getual-55034</t>
  </si>
  <si>
    <t>Antequera</t>
  </si>
  <si>
    <t>Antequera (Málaga)</t>
  </si>
  <si>
    <t>Pablo López Martín; Arturo Francsico Vargas Lencina</t>
  </si>
  <si>
    <t>Miss Beige</t>
  </si>
  <si>
    <t>gallegohome@hotmail.com</t>
  </si>
  <si>
    <t>646 623 992</t>
  </si>
  <si>
    <t>https://www.teatro.es/guiarte/miss-beige-105817</t>
  </si>
  <si>
    <t>Tres Peces, 34 - 28012 - Madrid (Madrid)</t>
  </si>
  <si>
    <t>Ana Gallego Martínez</t>
  </si>
  <si>
    <t>Moments-Art D&amp;T</t>
  </si>
  <si>
    <t>moments_art@hotmail.com</t>
  </si>
  <si>
    <t>963 844 634</t>
  </si>
  <si>
    <t>https://www.teatro.es/guiarte/moments-art-d-t-26229</t>
  </si>
  <si>
    <t>Plaza Horticultor Corset, 7, bajo - 46008 - Valencia (Valencia)</t>
  </si>
  <si>
    <t>Juanjo Rico Valentín</t>
  </si>
  <si>
    <t>Teatro de objetos; Teatro-danza; Narración oral escénica; Animaciones; Teatro gestual - Teatro del movimiento; Teatro de texto; Teatro-circo</t>
  </si>
  <si>
    <t>Mondigromax S.L</t>
  </si>
  <si>
    <t>info@mondigromax.com; dietrichgrosse@mondigromax.com</t>
  </si>
  <si>
    <t>637 551 322 - 934 541 819</t>
  </si>
  <si>
    <t>https://www.teatro.es/guiarte/mondigromax-s-l-33657</t>
  </si>
  <si>
    <t>Carme, 3, Ático 1 - 08001 - Barcelona (Barcelona)</t>
  </si>
  <si>
    <t>Dietrich Grosse</t>
  </si>
  <si>
    <t>Teatro-danza; Teatro musical; Ópera</t>
  </si>
  <si>
    <t>Mononoke Producciones</t>
  </si>
  <si>
    <t>alehop@mononokeproducciones.com</t>
  </si>
  <si>
    <t>653 140 995</t>
  </si>
  <si>
    <t>https://www.teatro.es/guiarte/mononoke-producciones-35668</t>
  </si>
  <si>
    <t>Puerto Real</t>
  </si>
  <si>
    <t>Real, 111 - 11510 - Puerto Real (Cádiz)</t>
  </si>
  <si>
    <t>Carlos Ferrer; Sonia Cantero</t>
  </si>
  <si>
    <t>Teatro de objetos; Teatro-danza; Narración oral escénica; Circo; Animaciones; Teatro gestual - Teatro del movimiento; Teatro de texto; Teatro-circo</t>
  </si>
  <si>
    <t>Mons Dansa i Educació</t>
  </si>
  <si>
    <t>monsdansa@monsdansa.com</t>
  </si>
  <si>
    <t>629 611 724</t>
  </si>
  <si>
    <t>https://www.teatro.es/guiarte/mons-dansa-i-educacio-94764</t>
  </si>
  <si>
    <t>c/Guytenberg 6, 2º 1ª - 08035 - Barcelona (Barcelona)</t>
  </si>
  <si>
    <t>Mr. Vértigo</t>
  </si>
  <si>
    <t>teatro@mistervertigo.es</t>
  </si>
  <si>
    <t>651 649 360</t>
  </si>
  <si>
    <t>https://www.teatro.es/guiarte/mr-vertigo-104896</t>
  </si>
  <si>
    <t>Canencia</t>
  </si>
  <si>
    <t>Calle Pablo Gasco, 67 - 28743 - Canencia (Madrid)</t>
  </si>
  <si>
    <t>Ignacio Atienza Peña</t>
  </si>
  <si>
    <t>Teatro-danza; Teatro gestual - Teatro del movimiento; Teatro de texto; Recitales</t>
  </si>
  <si>
    <t>Mu Teatro</t>
  </si>
  <si>
    <t>muteatro@gmail.com</t>
  </si>
  <si>
    <t>629 309 706</t>
  </si>
  <si>
    <t>https://www.teatro.es/guiarte/mu-teatro-6513</t>
  </si>
  <si>
    <t>Capitán, 3, 4º - 29008 - Málaga (Málaga)</t>
  </si>
  <si>
    <t>Eun Kyung Kang</t>
  </si>
  <si>
    <t>Mulambo Teatro</t>
  </si>
  <si>
    <t>mulamboteatro@gmail.com</t>
  </si>
  <si>
    <t>695 860 831</t>
  </si>
  <si>
    <t>https://www.teatro.es/guiarte/mulambo-teatro-5168</t>
  </si>
  <si>
    <t>C/ Costanilla de los Desamparados 3 piso 4 Izqd - 28014 - Madrid (Madrid)</t>
  </si>
  <si>
    <t>Val Barreto</t>
  </si>
  <si>
    <t>Mundos Creativos Gozartes S.L</t>
  </si>
  <si>
    <t>https://www.teatro.es/guiarte/mundos-creativos-gozartes-s-l-36626</t>
  </si>
  <si>
    <t>Cándido Laso Escudero, 17 D - 19002 - Guadalajara (Guadalajara)</t>
  </si>
  <si>
    <t>Alberto San Andrés Jiménez</t>
  </si>
  <si>
    <t>Teatro de objetos; Teatro-danza; Performance-Acciones-Instalaciones; Narración oral escénica; Variedades; Circo; Animaciones; Teatro gestual - Teatro del movimiento; Teatro-circo</t>
  </si>
  <si>
    <t>Máscara Laroye</t>
  </si>
  <si>
    <t>mascaralaroye@hotmail.com; giraldoweb@hotmail.com</t>
  </si>
  <si>
    <t>634 163 849</t>
  </si>
  <si>
    <t>https://www.teatro.es/guiarte/mascara-laroye-4394</t>
  </si>
  <si>
    <t>Paseo quince de mayo 8, 4ºb - 28019 - Madrid (Madrid)</t>
  </si>
  <si>
    <t>Giraldo Moisés Cárdenas</t>
  </si>
  <si>
    <t>Mónica Tello</t>
  </si>
  <si>
    <t>monicatellob@yahoo.es</t>
  </si>
  <si>
    <t>https://www.teatro.es/guiarte/monica-tello-102274</t>
  </si>
  <si>
    <t>Calle Pedroñera - 28031 - Madrid (Madrid)</t>
  </si>
  <si>
    <t>Monica Tello Benito</t>
  </si>
  <si>
    <t>NadaQueVer</t>
  </si>
  <si>
    <t>nadaquever@nadaquever.org; produccion@nadaquever.org; info@nadaquever.org</t>
  </si>
  <si>
    <t>616 704 834 - 924 544 205</t>
  </si>
  <si>
    <t>https://www.teatro.es/guiarte/nadaquever-26536</t>
  </si>
  <si>
    <t>Los Santos de Maimona</t>
  </si>
  <si>
    <t>Sevilla, 45 - 06230 - Los Santos de Maimona (Badajoz)</t>
  </si>
  <si>
    <t>Sara García Guisado</t>
  </si>
  <si>
    <t>Talikatao</t>
  </si>
  <si>
    <t>Diego Hidalgo, 4 - 06230 - Los Santos de Maimona (Badajoz)</t>
  </si>
  <si>
    <t>Nadadelirios</t>
  </si>
  <si>
    <t>ric.rigamonti@gmail; com; nadadelirios@gmail.com</t>
  </si>
  <si>
    <t>666 812 528</t>
  </si>
  <si>
    <t>https://www.teatro.es/guiarte/nadadelirios-94216</t>
  </si>
  <si>
    <t>Juan Jose Bautista - 28019 - Madrid (Madrid)</t>
  </si>
  <si>
    <t>Riccardo Rigamonti; Maria Gómez de Castro</t>
  </si>
  <si>
    <t>Teatro-danza; Narración oral escénica; Teatro gestual - Teatro del movimiento; Teatro de texto</t>
  </si>
  <si>
    <t>Nats Nus Dansa</t>
  </si>
  <si>
    <t>rosa@monsdansa.com</t>
  </si>
  <si>
    <t>935 896 260</t>
  </si>
  <si>
    <t>https://www.teatro.es/guiarte/nats-nus-dansa-6908</t>
  </si>
  <si>
    <t>Gutenberg 6 , 2º 1ª - 08035 - Barcelona (Barcelona)</t>
  </si>
  <si>
    <t>Claudia G. Moreso; Toni Mira</t>
  </si>
  <si>
    <t>Nenacaracol</t>
  </si>
  <si>
    <t>belen@nenacaracol.com; nenacaracol@gmail.com</t>
  </si>
  <si>
    <t>685 546 085</t>
  </si>
  <si>
    <t>https://www.teatro.es/guiarte/nenacaracol-35309</t>
  </si>
  <si>
    <t>Úbeda</t>
  </si>
  <si>
    <t>Miguel Hernández - 23400 - Úbeda (Jaén)</t>
  </si>
  <si>
    <t>Belén Gordillo</t>
  </si>
  <si>
    <t>Nexoteatro</t>
  </si>
  <si>
    <t>nexoteatro@nexoteatro.com</t>
  </si>
  <si>
    <t>616 263 185</t>
  </si>
  <si>
    <t>https://www.teatro.es/guiarte/nexoteatro-5958</t>
  </si>
  <si>
    <t>Ogoño 2 Bis - 48004 - Bilbao (Vizcaya)</t>
  </si>
  <si>
    <t>Ricardo Padilla Santamaría</t>
  </si>
  <si>
    <t>Nueva Dirección Teatro</t>
  </si>
  <si>
    <t>nuevadireccionteatro@gmail.com</t>
  </si>
  <si>
    <t>https://www.teatro.es/guiarte/nueva-direccion-teatro-94662</t>
  </si>
  <si>
    <t>Dos Hermanas</t>
  </si>
  <si>
    <t>Avenida Ciudad Blanca, 15, 2º C - 41702 - Dos Hermanas (Sevilla)</t>
  </si>
  <si>
    <t>Alicia González</t>
  </si>
  <si>
    <t>Nuevo Teatro Musical. NTM Producciones</t>
  </si>
  <si>
    <t>nachodci@hotmail.com</t>
  </si>
  <si>
    <t>https://www.teatro.es/guiarte/nuevo-teatro-musical-ntm-producciones-100796</t>
  </si>
  <si>
    <t>C/ Tomillo, 23 - 29190 - Málaga (Málaga)</t>
  </si>
  <si>
    <t>Ignacio Javier Doña Ciézar</t>
  </si>
  <si>
    <t>Ansa Show Affairs S.L</t>
  </si>
  <si>
    <t>Gaztambide, 73, 5º C - 28015 - Madrid (Madrid)</t>
  </si>
  <si>
    <t>O Baúl da Tía Tola</t>
  </si>
  <si>
    <t>obauldatiatola@gmail.com</t>
  </si>
  <si>
    <t>https://www.teatro.es/guiarte/o-baul-da-tia-tola-105296</t>
  </si>
  <si>
    <t>Velázquez Moreno 39, 1º - 36202 - Vigo (Pontevedra)</t>
  </si>
  <si>
    <t>Anna Cañadillas Romero; Soraya Cabrera Paradela</t>
  </si>
  <si>
    <t>ORTZAI CVTD Compañía Vasca de Teatro Danza</t>
  </si>
  <si>
    <t>ortzai@ortzai.com</t>
  </si>
  <si>
    <t>677 336 012 - 650 309 639 - 945 203 845</t>
  </si>
  <si>
    <t>https://www.teatro.es/guiarte/ortzai-cvtd-compañia-vasca-de-teatro-danza-6226</t>
  </si>
  <si>
    <t>Vitoria-Gasteiz</t>
  </si>
  <si>
    <t>Pintorería, 39 bajo - 01001 - Vitoria-Gasteiz (Álava)</t>
  </si>
  <si>
    <t>Iker Ortiz de Zárate</t>
  </si>
  <si>
    <t>Teatro-danza; Teatro musical; Narración oral escénica; Ópera; Zarzuela; Teatro de texto</t>
  </si>
  <si>
    <t>Olympia Metropolitana S.A</t>
  </si>
  <si>
    <t>963 517 315</t>
  </si>
  <si>
    <t>https://www.teatro.es/guiarte/olympia-metropolitana-s-a-33231</t>
  </si>
  <si>
    <t>C/ San Vicente Mártir, 44 - 46002 - Valencia (Valencia)</t>
  </si>
  <si>
    <t>Enrique Fayos Bonell</t>
  </si>
  <si>
    <t>Oniria Teatro</t>
  </si>
  <si>
    <t>produccion@oniriateatro.com</t>
  </si>
  <si>
    <t>https://www.teatro.es/guiarte/oniria-teatro-101946</t>
  </si>
  <si>
    <t>C/ Cuesta 7 1r derecha - 28026 - Madrid (Madrid)</t>
  </si>
  <si>
    <t>Opsis Producciones</t>
  </si>
  <si>
    <t>opsisproducciones@gmail.com</t>
  </si>
  <si>
    <t>https://www.teatro.es/guiarte/opsis-producciones-71746</t>
  </si>
  <si>
    <t>Calle Espejo 4 - 4C - 28013 - Madrid (Madrid)</t>
  </si>
  <si>
    <t>Fiorella Battistini; Juliana Reyes</t>
  </si>
  <si>
    <t>Teatro-danza; Performance-Acciones-Instalaciones; Teatro musical; Narración oral escénica; Ópera; Teatro gestual - Teatro del movimiento; Teatro de texto; Lecturas dramatizadas-semimontajes</t>
  </si>
  <si>
    <t>Organik Dantza Antzerki Elkarte Kulturala. Organik Daek</t>
  </si>
  <si>
    <t>info@organik.dantza.com</t>
  </si>
  <si>
    <t>944 916 019 - 627 937 875</t>
  </si>
  <si>
    <t>https://www.teatro.es/guiarte/organik-dantza-antzerki-elkarte-kulturala-organik-daek-32446</t>
  </si>
  <si>
    <t>Getxo</t>
  </si>
  <si>
    <t>Mirua 10, 1º D - 48993 - Getxo (Vizcaya)</t>
  </si>
  <si>
    <t>Natalia Monge Gómez</t>
  </si>
  <si>
    <t>Organización Efímera</t>
  </si>
  <si>
    <t>organizacionefimera@gmail.com</t>
  </si>
  <si>
    <t>648 658 806</t>
  </si>
  <si>
    <t>https://www.teatro.es/guiarte/organizacion-efimera-65003</t>
  </si>
  <si>
    <t>Calle Quero 65, 8 izq - 28024 - Madrid (Madrid)</t>
  </si>
  <si>
    <t>Robert Julien Tannion; Tania Cervantes Chamorro</t>
  </si>
  <si>
    <t>Oriol Escursell Domènech</t>
  </si>
  <si>
    <t>info.naqba@gmail.com</t>
  </si>
  <si>
    <t>680 683 324</t>
  </si>
  <si>
    <t>https://www.teatro.es/guiarte/oriol-escursell-domenech-101151</t>
  </si>
  <si>
    <t>Esparreguera</t>
  </si>
  <si>
    <t>Tramuntana, 2 - 08292 - Esparreguera (Barcelona)</t>
  </si>
  <si>
    <t>Otradanza</t>
  </si>
  <si>
    <t>od@otradanza.es</t>
  </si>
  <si>
    <t>https://www.teatro.es/guiarte/otradanza-101629</t>
  </si>
  <si>
    <t>Ernesto Martínez - 03203 - Elche (Alicante)</t>
  </si>
  <si>
    <t>Asun Noales</t>
  </si>
  <si>
    <t>Paloma Calle. La Cabeza en las Nubes</t>
  </si>
  <si>
    <t>palomacallealberdi@gmail.com</t>
  </si>
  <si>
    <t>679 552 332</t>
  </si>
  <si>
    <t>https://www.teatro.es/guiarte/paloma-calle-la-cabeza-en-las-nubes-94176</t>
  </si>
  <si>
    <t>Plaza General Maroto, 2 - 28045 - Madrid (Madrid)</t>
  </si>
  <si>
    <t>Paloma Calle Alberdi</t>
  </si>
  <si>
    <t>PanicMap Proyectos Escénicos</t>
  </si>
  <si>
    <t>info@panicmap.com</t>
  </si>
  <si>
    <t>646 167 110 - 667 535 051</t>
  </si>
  <si>
    <t>https://www.teatro.es/guiarte/panicmap-proyectos-escenicos-36864</t>
  </si>
  <si>
    <t>C/ Lope de Rueda 7 Bajo - 46001 - Valencia (Valencia)</t>
  </si>
  <si>
    <t>Margarita Burbano Torres; Juan Pablo Mendiola</t>
  </si>
  <si>
    <t>Park Keito</t>
  </si>
  <si>
    <t>parkkeito@gmail.com</t>
  </si>
  <si>
    <t>https://www.teatro.es/guiarte/park-keito-107096</t>
  </si>
  <si>
    <t>C/Alzina 23, 1er - 08024 - Barcelona (Barcelona)</t>
  </si>
  <si>
    <t>Kotomi Nishiwaki; Miquel Casaponsa Graells</t>
  </si>
  <si>
    <t>Paroxa Creaciones</t>
  </si>
  <si>
    <t>produccion.paroxa@gmail.com</t>
  </si>
  <si>
    <t>697 826 691</t>
  </si>
  <si>
    <t>https://www.teatro.es/guiarte/paroxa-creaciones-106118</t>
  </si>
  <si>
    <t>Hernani</t>
  </si>
  <si>
    <t>Calle Gartzia Goldaratz,  8 - 20129 - Hernani (Guipúzcoa)</t>
  </si>
  <si>
    <t>Javier de Luis González</t>
  </si>
  <si>
    <t>Paspie Danza</t>
  </si>
  <si>
    <t>paspiedanza@yahoo.es</t>
  </si>
  <si>
    <t>657 313 100</t>
  </si>
  <si>
    <t>https://www.teatro.es/guiarte/paspie-danza-62729</t>
  </si>
  <si>
    <t>Navalmoral de la Mata</t>
  </si>
  <si>
    <t>Pº Estacion, 33 Atico A - 10300 - Navalmoral de la Mata (Cáceres)</t>
  </si>
  <si>
    <t>Juan Luis Leonisio</t>
  </si>
  <si>
    <t>Patricia Pardo</t>
  </si>
  <si>
    <t>distribucio@patriciapardo.es</t>
  </si>
  <si>
    <t>644 257 018 - 960 150 496</t>
  </si>
  <si>
    <t>https://www.teatro.es/guiarte/patricia-pardo-70294</t>
  </si>
  <si>
    <t>C/ Alberi, 15, 3 - 46008 - Valencia (Valencia)</t>
  </si>
  <si>
    <t>Teatro-danza; Circo; Teatro gestual - Teatro del movimiento; Teatro de texto; Teatro-circo</t>
  </si>
  <si>
    <t>Pau Bachero</t>
  </si>
  <si>
    <t>info@lamecanica.org</t>
  </si>
  <si>
    <t>625 687 710</t>
  </si>
  <si>
    <t>https://www.teatro.es/guiarte/pau-bachero-93979</t>
  </si>
  <si>
    <t>Paula Quintana</t>
  </si>
  <si>
    <t>contacto@paulaquintana.com; paulagquintana@gmail.com</t>
  </si>
  <si>
    <t>https://www.teatro.es/guiarte/paula-quintana-65056</t>
  </si>
  <si>
    <t>Rubén Marichal López 44, 21-A - 38004 - Santa Cruz de Tenerife (Santa Cruz de Tenerife)</t>
  </si>
  <si>
    <t>Paula Gómez Quintana</t>
  </si>
  <si>
    <t>Crémilo</t>
  </si>
  <si>
    <t>Rúa Pena Corneira 5, 2ºC - 32003 - Ourense (Ourense)</t>
  </si>
  <si>
    <t>678 460 559</t>
  </si>
  <si>
    <t>cmcarbonell@cremilo.es</t>
  </si>
  <si>
    <t>www.cremilo.es</t>
  </si>
  <si>
    <t>Ponten Pie</t>
  </si>
  <si>
    <t>info@ponten-pie.com</t>
  </si>
  <si>
    <t>https://www.teatro.es/guiarte/ponten-pie-36132</t>
  </si>
  <si>
    <t>C/ Milton, 10-12 2º2º - 08924 - Santa Coloma de Gramenet (Barcelona)</t>
  </si>
  <si>
    <t>Sergi Ots</t>
  </si>
  <si>
    <t>Teatro de objetos; Teatro-danza; Variedades; Circo; Animaciones; Teatro gestual - Teatro del movimiento; Teatro-circo</t>
  </si>
  <si>
    <t>Porinercia Teatro</t>
  </si>
  <si>
    <t>porinerciateatro@gmail.com</t>
  </si>
  <si>
    <t>655 421 014</t>
  </si>
  <si>
    <t>https://www.teatro.es/guiarte/porinercia-teatro-35488</t>
  </si>
  <si>
    <t>c/ Arroyo, 23 - 41003 - Sevilla (Sevilla)</t>
  </si>
  <si>
    <t>Baldo Ruiz Cordero; Aïda Santos-Allely</t>
  </si>
  <si>
    <t>Teatro-danza; Variedades; Animaciones; Teatro de texto</t>
  </si>
  <si>
    <t>Pro21cultural</t>
  </si>
  <si>
    <t>inma@pro21cultural.com</t>
  </si>
  <si>
    <t>963 107 018</t>
  </si>
  <si>
    <t>https://www.teatro.es/guiarte/pro21cultural-94182</t>
  </si>
  <si>
    <t>General San Martín 2, 1 - 46004 - Valencia (Valencia)</t>
  </si>
  <si>
    <t>Rafa Jordán; Inma Expósito</t>
  </si>
  <si>
    <t>Teatro de objetos; Teatro-danza; Teatro gestual - Teatro del movimiento; Teatro de texto; Teatro-circo</t>
  </si>
  <si>
    <t>Pro21Cultural</t>
  </si>
  <si>
    <t>General San Martín, 2, 1 - 46004 - Valencia (Valencia)</t>
  </si>
  <si>
    <t>Producciones Alberto Alfaro</t>
  </si>
  <si>
    <t>albertoalfaro@luloproducciones.com</t>
  </si>
  <si>
    <t>666 476 282</t>
  </si>
  <si>
    <t>https://www.teatro.es/guiarte/producciones-alberto-alfaro-33896</t>
  </si>
  <si>
    <t>Glorieta, 8 - 02400 - Hellín (Albacete)</t>
  </si>
  <si>
    <t>Alberto Alfaro Fernández</t>
  </si>
  <si>
    <t>Lulo Producciones</t>
  </si>
  <si>
    <t>www.luloproducciones.com</t>
  </si>
  <si>
    <t>Producciones Cristina Rota S.A</t>
  </si>
  <si>
    <t>produccion@fcnc.es; secretaria@escuelacristinarota.com</t>
  </si>
  <si>
    <t>915 289 504</t>
  </si>
  <si>
    <t>https://www.teatro.es/guiarte/producciones-cristina-rota-s-a-2895</t>
  </si>
  <si>
    <t>Sala Mirador. C/ Dr. Fourquet, 31 - 28012 - Madrid (Madrid)</t>
  </si>
  <si>
    <t>Cristina Rota</t>
  </si>
  <si>
    <t>Producciones Hermanos Caset. Spanish Cirkus</t>
  </si>
  <si>
    <t>spanishcirkus@gmail.com; yenyereh@hotmail.com</t>
  </si>
  <si>
    <t>609 825 914</t>
  </si>
  <si>
    <t>https://www.teatro.es/guiarte/producciones-hermanos-caset-spanish-cirkus-71840</t>
  </si>
  <si>
    <t>C/ Milán, 21, 7a - 28850 - Torrejón de Ardoz (Madrid)</t>
  </si>
  <si>
    <t>Laura Fernández</t>
  </si>
  <si>
    <t>Teatro de objetos; Teatro-danza; Variedades; Teatro gestual - Teatro del movimiento; Teatro de texto</t>
  </si>
  <si>
    <t>Producciones Imperdibles S.L</t>
  </si>
  <si>
    <t>mela@imperdible.org; producciones@imperdible.org; sala@imperdible.org</t>
  </si>
  <si>
    <t>954 388 219</t>
  </si>
  <si>
    <t>https://www.teatro.es/guiarte/producciones-imperdibles-s-l-3425</t>
  </si>
  <si>
    <t>Valencina de la Concepción</t>
  </si>
  <si>
    <t>C/ Carpinteros, 18 - 41907 - Valencina de la Concepción (Sevilla)</t>
  </si>
  <si>
    <t>José María Roca</t>
  </si>
  <si>
    <t>Producciones Kepler</t>
  </si>
  <si>
    <t>larrinaga.itx@gmail.com</t>
  </si>
  <si>
    <t>638 391 615 - 647 534 016</t>
  </si>
  <si>
    <t>https://www.teatro.es/guiarte/producciones-kepler-101299</t>
  </si>
  <si>
    <t>C/ Alonso del Barco, 9, 2 D - 28012 - Madrid (Madrid)</t>
  </si>
  <si>
    <t>Producciones La Barraca &amp; Cía.</t>
  </si>
  <si>
    <t>produccion@produccioneslabarraca.com; produccionlabarraca@gmail.com</t>
  </si>
  <si>
    <t>685 169 584</t>
  </si>
  <si>
    <t>https://www.teatro.es/guiarte/producciones-la-barraca-cia-105734</t>
  </si>
  <si>
    <t>Malpartida de Cáceres</t>
  </si>
  <si>
    <t>C/ Miguel de Cervantes - 10910 - Malpartida de Cáceres (Cáceres)</t>
  </si>
  <si>
    <t>Javier Cerrato Romero; Jesús Custodio Hernández</t>
  </si>
  <si>
    <t>Producciones Landen y Escuela de Interpretación de Pape Pérez-LANDÉN</t>
  </si>
  <si>
    <t>landen@papeperez.com; ciudadanokien@papeperez.com</t>
  </si>
  <si>
    <t>913 564 868 - 607 673 827</t>
  </si>
  <si>
    <t>https://www.teatro.es/guiarte/producciones-landen-y-escuela-de-interpretacion-de-pape-perez-landen-35191</t>
  </si>
  <si>
    <t>Pedro Heredia, 8, 1º Dcha - 28028 - Madrid (Madrid)</t>
  </si>
  <si>
    <t>Pape Pérez</t>
  </si>
  <si>
    <t>Teatro de objetos; Teatro-danza; Performance-Acciones-Instalaciones; Narración oral escénica; Variedades; Ópera; Zarzuela; Teatro-circo; Teatro musical; Circo; Animaciones; Teatro gestual - Teatro del movimiento; Teatro de texto</t>
  </si>
  <si>
    <t>Producciones Monas</t>
  </si>
  <si>
    <t>info@produccionesmonas.com</t>
  </si>
  <si>
    <t>952 246 668</t>
  </si>
  <si>
    <t>https://www.teatro.es/guiarte/producciones-monas-71629</t>
  </si>
  <si>
    <t>Avenida de los Guindos, 19 - 29004 - Málaga (Málaga)</t>
  </si>
  <si>
    <t>Mara Guil; Salva Reina</t>
  </si>
  <si>
    <t>Producciones Nun Tris</t>
  </si>
  <si>
    <t>info@nuntristeatro.com</t>
  </si>
  <si>
    <t>619 724 727 - 696 478 823 - 985 168 481</t>
  </si>
  <si>
    <t>https://www.teatro.es/guiarte/producciones-nun-tris-2967</t>
  </si>
  <si>
    <t>Eladio Carreño, 8-2º - 33202 - Gijón (Asturias)</t>
  </si>
  <si>
    <t>Toño Caamaño; Inmaculada Rodríguez</t>
  </si>
  <si>
    <t>Producciones Teatrales Ditu S.L</t>
  </si>
  <si>
    <t>contacto@dituproducciones.com; prodteatditu@gmail.com</t>
  </si>
  <si>
    <t>https://www.teatro.es/guiarte/producciones-teatrales-ditu-s-l-35483</t>
  </si>
  <si>
    <t>C/ /Príncipe de Vergara, 287, 7º B - 28016 - Madrid (Madrid)</t>
  </si>
  <si>
    <t>Alejandro García Tous</t>
  </si>
  <si>
    <t>Promocions Teatrals Degira S.L</t>
  </si>
  <si>
    <t>miquel-arus@degira.cat</t>
  </si>
  <si>
    <t>932 688 780</t>
  </si>
  <si>
    <t>https://www.teatro.es/guiarte/promocions-teatrals-degira-s-l-31833</t>
  </si>
  <si>
    <t>Girona, 9, 4t. - 08010 - Barcelona (Barcelona)</t>
  </si>
  <si>
    <t>Miquel Arús i Rovira; Jordi Torras March</t>
  </si>
  <si>
    <t>Teatro de objetos; Teatro-danza; Performance-Acciones-Instalaciones; Teatro musical; Ópera; Animaciones; Teatro de texto</t>
  </si>
  <si>
    <t>Proxecto Pank</t>
  </si>
  <si>
    <t>proxectopank@gmail.com</t>
  </si>
  <si>
    <t>607 186 224</t>
  </si>
  <si>
    <t>https://www.teatro.es/guiarte/proxecto-pank-102344</t>
  </si>
  <si>
    <t>Rúa Galeras, 30 2c - 15705 - Santiago de Compostela (A Coruña)</t>
  </si>
  <si>
    <t>Cristina Balboa Rodríguez; Manuel Parra García</t>
  </si>
  <si>
    <t>Proyecto NaNa</t>
  </si>
  <si>
    <t>proyectonanadanza@gmail.com</t>
  </si>
  <si>
    <t>656 577 020</t>
  </si>
  <si>
    <t>https://www.teatro.es/guiarte/proyecto-nana-101681</t>
  </si>
  <si>
    <t>Monachil</t>
  </si>
  <si>
    <t>C/ Cuevas, 2, 2b - 18193 - Monachil (Granada)</t>
  </si>
  <si>
    <t>Paula Carmona; Teresa Martín Sauceda</t>
  </si>
  <si>
    <t>Proyecto Piloto</t>
  </si>
  <si>
    <t>cia.proyectopiloto@gmail.com; proyectopiloto@hotmail.es</t>
  </si>
  <si>
    <t>https://www.teatro.es/guiarte/proyecto-piloto-37038</t>
  </si>
  <si>
    <t>Calle de la Peña, 9 - 33012 - Gijón (Asturias)</t>
  </si>
  <si>
    <t>Proyectos Pupaclown S.L.</t>
  </si>
  <si>
    <t>info@pupaclown.com</t>
  </si>
  <si>
    <t>968 932 311</t>
  </si>
  <si>
    <t>https://www.teatro.es/guiarte/proyectos-pupaclown-s-l-31897</t>
  </si>
  <si>
    <t>Federico García Lorca, 18 B - 30009 - Murcia (Murcia)</t>
  </si>
  <si>
    <t>Francisco Javier Astillero Fuentes</t>
  </si>
  <si>
    <t>PsicoArte Compañía Danza-Teatro</t>
  </si>
  <si>
    <t>psicoarte95@hotmail.com; enbedanzateatro@gmail.com</t>
  </si>
  <si>
    <t>922 152 760 - 608 100 298</t>
  </si>
  <si>
    <t>https://www.teatro.es/guiarte/psicoarte-compañia-danza-teatro-33182</t>
  </si>
  <si>
    <t>Rubens Marichal López, 70, Edf. Vistamar, Local 7 - 38004 - Santa Cruz de Tenerife (Santa Cruz de Tenerife)</t>
  </si>
  <si>
    <t>Alfredo del Rosario Hernández</t>
  </si>
  <si>
    <t>Putxinelli Circus</t>
  </si>
  <si>
    <t>circobabylon@yahoo.es</t>
  </si>
  <si>
    <t>695 098 664</t>
  </si>
  <si>
    <t>https://www.teatro.es/guiarte/putxinelli-circus-33422</t>
  </si>
  <si>
    <t>Lleo, 86, B - 08911 - Badalona (Barcelona)</t>
  </si>
  <si>
    <t>Gigi; Teje</t>
  </si>
  <si>
    <t>Páramo Cero</t>
  </si>
  <si>
    <t>630 678 377 - 686 518 860</t>
  </si>
  <si>
    <t>https://www.teatro.es/guiarte/paramo-cero-26825</t>
  </si>
  <si>
    <t>Fraternitat 35, bajos - 08012 - Barcelona (Barcelona)</t>
  </si>
  <si>
    <t>Cllaudio Daniel Dorigo</t>
  </si>
  <si>
    <t>Teatro-danza; Teatro musical; Teatro-circo</t>
  </si>
  <si>
    <t>Artistas a la carta S, Coop</t>
  </si>
  <si>
    <t>Camino de Valladolid s/n - Castromonte (Valladolid)</t>
  </si>
  <si>
    <t>Pérez y Goldstein S.L</t>
  </si>
  <si>
    <t>https://www.teatro.es/guiarte/perez-y-goldstein-s-l-31831</t>
  </si>
  <si>
    <t>Calle Maqueda, 105- 3º B - 28024 - Madrid (Madrid)</t>
  </si>
  <si>
    <t>Clara Pérez Pérez</t>
  </si>
  <si>
    <t>Clara Pérez Distribución</t>
  </si>
  <si>
    <t>Quijada Qaín Teatro. QQT</t>
  </si>
  <si>
    <t>clingclang5@yahoo.es</t>
  </si>
  <si>
    <t>669 742 316</t>
  </si>
  <si>
    <t>https://www.teatro.es/guiarte/quijada-qain-teatro-qqt-100776</t>
  </si>
  <si>
    <t>C/ Venecia, 3 - 03139 - Elche (Alicante)</t>
  </si>
  <si>
    <t>Francisco Alberola Miralles</t>
  </si>
  <si>
    <t>Rajatabla Producciones S.L</t>
  </si>
  <si>
    <t>699 778 090 - 913 640 084</t>
  </si>
  <si>
    <t>https://www.teatro.es/guiarte/rajatabla-producciones-s-l-7189</t>
  </si>
  <si>
    <t>Maldonadas, 5, 3º B - 28005 - Madrid (Madrid)</t>
  </si>
  <si>
    <t>Esther Tablas; Antonio Castro Guijosa; Jorge Martín Machín</t>
  </si>
  <si>
    <t>Rasatabula</t>
  </si>
  <si>
    <t>simonaquartucci@gmail.com; RASATABULA@terra.es</t>
  </si>
  <si>
    <t>685 548 210 - 931 255 640</t>
  </si>
  <si>
    <t>https://www.teatro.es/guiarte/rasatabula-5207</t>
  </si>
  <si>
    <t>C/ Comte Borrell, 107, 4º,2ª - 08029 - Barcelona (Barcelona)</t>
  </si>
  <si>
    <t>Simona Quartucci</t>
  </si>
  <si>
    <t>Real Línea Cultural S.L</t>
  </si>
  <si>
    <t>juan@teatroamaya.com</t>
  </si>
  <si>
    <t>914 356 835</t>
  </si>
  <si>
    <t>https://www.teatro.es/guiarte/real-linea-cultural-s-l-25789</t>
  </si>
  <si>
    <t>Velázquez, 122, 2º A - 28006 - Madrid (Madrid)</t>
  </si>
  <si>
    <t>Alberto Blasco San Juan</t>
  </si>
  <si>
    <t>Rebeldías Mínimas Danza-Teatro</t>
  </si>
  <si>
    <t>zaidasastre@gmail.com; annamezz@hotmail.com</t>
  </si>
  <si>
    <t>679 283 364 - 610 691 102</t>
  </si>
  <si>
    <t>https://www.teatro.es/guiarte/rebeldias-minimas-danza-teatro-71731</t>
  </si>
  <si>
    <t>c/ Basobidea 11 - 48006 - Bilbao (Vizcaya)</t>
  </si>
  <si>
    <t>Anna Mezz; Zaida Sastre</t>
  </si>
  <si>
    <t>Res de Res en Blanc, SL</t>
  </si>
  <si>
    <t>resdeblanc@gmail.com</t>
  </si>
  <si>
    <t>971 521 180</t>
  </si>
  <si>
    <t>https://www.teatro.es/guiarte/res-de-res-en-blanc-sl-37127</t>
  </si>
  <si>
    <t>Pz Quadrado 10 3ero - 07001 - Sineu (Illes Balears)</t>
  </si>
  <si>
    <t>Marta Barceló; Gabriel Jordà</t>
  </si>
  <si>
    <t>Reymala Teatro</t>
  </si>
  <si>
    <t>difusionescenica2018@gmail.com; reymala2018@gmail.com</t>
  </si>
  <si>
    <t>922 261 413 - 667 668 413</t>
  </si>
  <si>
    <t>https://www.teatro.es/guiarte/reymala-teatro-36419</t>
  </si>
  <si>
    <t>Avenida Trinidad, 17 2º Derecha - 38204 - San Cristóbal de La Laguna (Santa Cruz de Tenerife)</t>
  </si>
  <si>
    <t>Miguel Ángel Batista Rey</t>
  </si>
  <si>
    <t>Difusión Escénica</t>
  </si>
  <si>
    <t>Avda. Lucas Vega 13 edf la parra bloquear 3 1c - 38208 - San Cristóbal de La Laguna (Santa Cruz de Tenerife)</t>
  </si>
  <si>
    <t>637 144 920 - 609 579 477</t>
  </si>
  <si>
    <t>tapialberto@hotmail.com; difusionescenica2018@gmail.com</t>
  </si>
  <si>
    <t>www.difusionescenica.com</t>
  </si>
  <si>
    <t>Rita Clara</t>
  </si>
  <si>
    <t>ritaclara@ritaclara.com; jesus.rodriguez@ritaclara.com</t>
  </si>
  <si>
    <t>983 611 841 - 678 477 383</t>
  </si>
  <si>
    <t>https://www.teatro.es/guiarte/rita-clara-64925</t>
  </si>
  <si>
    <t>Íscar</t>
  </si>
  <si>
    <t>C/ Puente Cabras, 10 - 47420 - Íscar (Valladolid)</t>
  </si>
  <si>
    <t>Rita Clara; Jesús Rodríguez</t>
  </si>
  <si>
    <t>Ritmo y Cadencia. R&amp;C</t>
  </si>
  <si>
    <t>ritmocadencia@gmail.com</t>
  </si>
  <si>
    <t>927 231 145 - 677 150 502</t>
  </si>
  <si>
    <t>https://www.teatro.es/guiarte/ritmo-y-cadencia-r-c-36629</t>
  </si>
  <si>
    <t>Claudio Rodríguez, 29 - 10005 - Cáceres (Cáceres)</t>
  </si>
  <si>
    <t>Francisca García Redondo</t>
  </si>
  <si>
    <t>Rocamora Teatre</t>
  </si>
  <si>
    <t>info@rocamorateatre.com</t>
  </si>
  <si>
    <t>938 309 006</t>
  </si>
  <si>
    <t>https://www.teatro.es/guiarte/rocamora-teatre-1635</t>
  </si>
  <si>
    <t>Calders</t>
  </si>
  <si>
    <t>C/ Manresa, 74 - 08275 - Calders (Barcelona)</t>
  </si>
  <si>
    <t>Carlos Cañellas Viñolas; Susanna Rodríguez Martí</t>
  </si>
  <si>
    <t>Teatro de objetos; Teatro-danza; Animaciones</t>
  </si>
  <si>
    <t>Rosario Lara</t>
  </si>
  <si>
    <t>rosariolara7@hotmail.com</t>
  </si>
  <si>
    <t>626 723 969</t>
  </si>
  <si>
    <t>https://www.teatro.es/guiarte/rosario-lara-28575</t>
  </si>
  <si>
    <t>Burdeos, 22 - 41012 - Sevilla (Sevilla)</t>
  </si>
  <si>
    <t>Rosario Lara García</t>
  </si>
  <si>
    <t>Roseland Musical S.L</t>
  </si>
  <si>
    <t>silvia@roselandmusical.com; mail@roselandmusical.com</t>
  </si>
  <si>
    <t>630 027 286 - 639 667 498</t>
  </si>
  <si>
    <t>https://www.teatro.es/guiarte/roseland-musical-s-l-1640</t>
  </si>
  <si>
    <t>Eugeni d'Ors, 12 - 08028 - Barcelona (Barcelona)</t>
  </si>
  <si>
    <t>Ester Rodríguez Carrió</t>
  </si>
  <si>
    <t>info@rovima.es; sandra@rovima.es</t>
  </si>
  <si>
    <t>910 375 438</t>
  </si>
  <si>
    <t>https://www.teatro.es/guiarte/rovima-producciones-101212</t>
  </si>
  <si>
    <t>Sandra Avella Pereira</t>
  </si>
  <si>
    <t>Teatro-danza; Teatro musical; Zarzuela; Teatro de texto</t>
  </si>
  <si>
    <t>SGCA Producciones Artísticas de Castilla-La Mancha, SLU</t>
  </si>
  <si>
    <t>celestinoaranda@faraute.com</t>
  </si>
  <si>
    <t>914 220 540 - 630 939 810</t>
  </si>
  <si>
    <t>https://www.teatro.es/guiarte/sgca-producciones-artisticas-de-castilla-la-mancha-slu-3116</t>
  </si>
  <si>
    <t>C/ Dolores Armengot, 27 - 28025 - Madrid (Madrid)</t>
  </si>
  <si>
    <t>Celestino Aranda Torres</t>
  </si>
  <si>
    <t>Samarkanda Teatro S.L.</t>
  </si>
  <si>
    <t>samarkanda@samarkandateatro.com</t>
  </si>
  <si>
    <t>667 409 497 - 924 660 083</t>
  </si>
  <si>
    <t>https://www.teatro.es/guiarte/samarkanda-teatro-s-l-3421</t>
  </si>
  <si>
    <t>Almendralejo</t>
  </si>
  <si>
    <t>C/ Luis Ramírez Dópido, 19 - 06200 - Almendralejo (Badajoz)</t>
  </si>
  <si>
    <t>Fermín Núñez; Luisa Santos</t>
  </si>
  <si>
    <t>Santa Mandra SLU</t>
  </si>
  <si>
    <t>admin@santamandra.com</t>
  </si>
  <si>
    <t>937 958 155</t>
  </si>
  <si>
    <t>https://www.teatro.es/guiarte/santa-mandra-slu-36051</t>
  </si>
  <si>
    <t>Es Carabar, 1 - 08350 - Arenys de Mar (Barcelona)</t>
  </si>
  <si>
    <t>Lluís Danés Roca</t>
  </si>
  <si>
    <t>Selene Perdomo. Cía. Teatro Fragmentario</t>
  </si>
  <si>
    <t>seleneperdomocia@hotmail.com</t>
  </si>
  <si>
    <t>662 442 940</t>
  </si>
  <si>
    <t>https://www.teatro.es/guiarte/selene-perdomo-cia-teatro-fragmentario-102095</t>
  </si>
  <si>
    <t>Avenida Madrid, 215 1ºd - 08014 - Barcelona (Barcelona)</t>
  </si>
  <si>
    <t>Semolínika Tomic</t>
  </si>
  <si>
    <t>anticteatre@anticteatre.com</t>
  </si>
  <si>
    <t>933 152 354</t>
  </si>
  <si>
    <t>https://www.teatro.es/guiarte/semolinika-tomic-32469</t>
  </si>
  <si>
    <t>Verdaguer i Callis, 12 - 08003 - Barcelona (Barcelona)</t>
  </si>
  <si>
    <t>Julijana Tomic Fajdetic</t>
  </si>
  <si>
    <t>Seon</t>
  </si>
  <si>
    <t>seon.circo@gmail.com</t>
  </si>
  <si>
    <t>https://www.teatro.es/guiarte/seon-104734</t>
  </si>
  <si>
    <t>Papa Adriano VI, 9 - 50007 - Zaragoza (Zaragoza)</t>
  </si>
  <si>
    <t>Daniel Esteban; Andreu Casadellà</t>
  </si>
  <si>
    <t>Teatro-danza; Performance-Acciones-Instalaciones; Circo; Animaciones; Teatro gestual - Teatro del movimiento; Teatro-circo</t>
  </si>
  <si>
    <t>Servicios especializados en distribución artística, s.l. SEDA</t>
  </si>
  <si>
    <t>distribucion@comolaseda.com</t>
  </si>
  <si>
    <t>910 175 523</t>
  </si>
  <si>
    <t>https://www.teatro.es/guiarte/servicios-especializados-en-distribucion-artistica-s-l-seda-94813</t>
  </si>
  <si>
    <t>C/ Islas Hébridas, 60 - 28035 - Madrid (Madrid)</t>
  </si>
  <si>
    <t>Lope A. García Tamariz</t>
  </si>
  <si>
    <t>Sietesquinas</t>
  </si>
  <si>
    <t>joaquinabella@hotmail.com</t>
  </si>
  <si>
    <t>679 815 294</t>
  </si>
  <si>
    <t>https://www.teatro.es/guiarte/sietesquinas-65133</t>
  </si>
  <si>
    <t>Sabrina Catalán; Joaquín Abella</t>
  </si>
  <si>
    <t>Simply Grateful S.L. Teatro a Voces</t>
  </si>
  <si>
    <t>lorenabayonas@gmail.com</t>
  </si>
  <si>
    <t>https://www.teatro.es/guiarte/simply-grateful-s-l-teatro-a-voces-71791</t>
  </si>
  <si>
    <t>Dolores Armengot, 22 - 28005 - Madrid (Madrid)</t>
  </si>
  <si>
    <t>Lorena García de las Bayonas</t>
  </si>
  <si>
    <t>Sistema Producciones Artísticas S.L.N.E.U.</t>
  </si>
  <si>
    <t>sistema@sistemaproducciones.com</t>
  </si>
  <si>
    <t>963 456 601</t>
  </si>
  <si>
    <t>https://www.teatro.es/guiarte/sistema-producciones-artisticas-s-l-n-e-u-32346</t>
  </si>
  <si>
    <t>Avda. Hnos. Machado, 13 - 213 - 46019 - Valencia (Valencia)</t>
  </si>
  <si>
    <t>Juan Francisco Gómez Burgal</t>
  </si>
  <si>
    <t>Sixto Paz Produccions</t>
  </si>
  <si>
    <t>pol@sixtopazproduccions.com</t>
  </si>
  <si>
    <t>606 815 134</t>
  </si>
  <si>
    <t>https://www.teatro.es/guiarte/sixto-paz-produccions-37023</t>
  </si>
  <si>
    <t>Verntallat, 30 - 08024 - Mataró (Barcelona)</t>
  </si>
  <si>
    <t>Pau Roca</t>
  </si>
  <si>
    <t>Snomians</t>
  </si>
  <si>
    <t>info@snomians.com</t>
  </si>
  <si>
    <t>690 197 460 - 635 802 825</t>
  </si>
  <si>
    <t>https://www.teatro.es/guiarte/snomians-71729</t>
  </si>
  <si>
    <t>C/ Juan de Austria 25, 4º izqda - 28010 - Madrid (Madrid)</t>
  </si>
  <si>
    <t>Ana Kuntzelman</t>
  </si>
  <si>
    <t>Societat Doctor Alonso. SDASofia Asencio</t>
  </si>
  <si>
    <t>tomasaragay@gmail.com; immabovea@gmail.com; sofiadoctoralonso@gmail.com</t>
  </si>
  <si>
    <t>620 325 114</t>
  </si>
  <si>
    <t>https://www.teatro.es/guiarte/societat-doctor-alonso-sdasofia-asencio-6039</t>
  </si>
  <si>
    <t>Pontós</t>
  </si>
  <si>
    <t>C/ Rec, 5 - 17773 - Pontós (Girona)</t>
  </si>
  <si>
    <t>Inma Bové; Sofía Asencio; Tomàs Aragay</t>
  </si>
  <si>
    <t>Sonia Gómez</t>
  </si>
  <si>
    <t>sonia73@hotmail.com; sonia@soniagomez.com</t>
  </si>
  <si>
    <t>934 350 300</t>
  </si>
  <si>
    <t>https://www.teatro.es/guiarte/sonia-gomez-5723</t>
  </si>
  <si>
    <t>Pistó, 34 - 08026 - Barcelona (Barcelona)</t>
  </si>
  <si>
    <t>Sònia Gómez</t>
  </si>
  <si>
    <t>M.O.M. El Vivero</t>
  </si>
  <si>
    <t>Pistó, 34, Bajos - 08026 - Barcelona (Barcelona)</t>
  </si>
  <si>
    <t>mom.elvivero@gmail.com</t>
  </si>
  <si>
    <t>momelvivero.org</t>
  </si>
  <si>
    <t>Sophia Acosta Cía.</t>
  </si>
  <si>
    <t>distribucion.sophie@gmail.com</t>
  </si>
  <si>
    <t>https://www.teatro.es/guiarte/sophia-acosta-cia-105675</t>
  </si>
  <si>
    <t>Torre Pacheco</t>
  </si>
  <si>
    <t>Avd Torre Pacheco 21 - 30709 - Torre Pacheco (Murcia)</t>
  </si>
  <si>
    <t>Sofía Acosta Martínez</t>
  </si>
  <si>
    <t>Teatro-danza; Artes de calle; Circo; Teatro gestual - Teatro del movimiento; Teatro-circo</t>
  </si>
  <si>
    <t>Spectare</t>
  </si>
  <si>
    <t>laura.ortega.pinillos@gmail.com</t>
  </si>
  <si>
    <t>https://www.teatro.es/guiarte/spectare-102430</t>
  </si>
  <si>
    <t>Calle Lavapiés 36 5º A - 28012 - Madrid (Madrid)</t>
  </si>
  <si>
    <t>Paola Villegas; Laura Ortega; Gabriel Blanco Mendoza</t>
  </si>
  <si>
    <t>Sudhum Teatro</t>
  </si>
  <si>
    <t>teatrosudhum@gmail.com; sudhum@hotmail.com</t>
  </si>
  <si>
    <t>669 385 030 - 639 463 730</t>
  </si>
  <si>
    <t>https://www.teatro.es/guiarte/sudhum-teatro-5716</t>
  </si>
  <si>
    <t>C/ Infantas, 13 4ºE - 28004 - Madrid (Madrid)</t>
  </si>
  <si>
    <t>Gustavo del Río</t>
  </si>
  <si>
    <t>Sueños de Humo</t>
  </si>
  <si>
    <t>gusdrp315@hotmail.com; sudhum@hotmail.com; teatrosudhum@gmail.com</t>
  </si>
  <si>
    <t>639 463 730</t>
  </si>
  <si>
    <t>https://www.teatro.es/guiarte/sueños-de-humo-35359</t>
  </si>
  <si>
    <t>Fuencarral, 43 -  1, 12 - 28004 - Madrid (Madrid)</t>
  </si>
  <si>
    <t>Teatro-danza; Narración oral escénica; Variedades; Teatro gestual - Teatro del movimiento; Teatro de texto</t>
  </si>
  <si>
    <t>Sui Generis by Factory</t>
  </si>
  <si>
    <t>info@suigeneristeatro.com</t>
  </si>
  <si>
    <t>664 020 881</t>
  </si>
  <si>
    <t>https://www.teatro.es/guiarte/sui-generis-by-factory-105023</t>
  </si>
  <si>
    <t>Barbastro</t>
  </si>
  <si>
    <t>Calle Saso y Saurina, 9 - 22300 - Barbastro (Huesca)</t>
  </si>
  <si>
    <t>Jose Antonio Royo; Mario Ronsano</t>
  </si>
  <si>
    <t>Factory Producciones</t>
  </si>
  <si>
    <t>Miguel Servet, 2 - 50650 - Gallur (Zaragoza)</t>
  </si>
  <si>
    <t>616 837 881 - 664 020 881</t>
  </si>
  <si>
    <t>marioronsano@factoryproducciones.com; jose@factoryproducciones.com</t>
  </si>
  <si>
    <t>www.factoryproducciones.com</t>
  </si>
  <si>
    <t>Syntexto Teatro</t>
  </si>
  <si>
    <t>Syntexto@gmail.com; syntexto@gmail.com</t>
  </si>
  <si>
    <t>656 646 131</t>
  </si>
  <si>
    <t>https://www.teatro.es/guiarte/syntexto-teatro-34722</t>
  </si>
  <si>
    <t>Langreo</t>
  </si>
  <si>
    <t>La LLera 20, 4 Dcha - 33920 - Langreo (Asturias)</t>
  </si>
  <si>
    <t>Paqui Jambrina; Héctor Fernández</t>
  </si>
  <si>
    <t>Teatro de objetos; Teatro-danza; Variedades; Animaciones; Teatro gestual - Teatro del movimiento; Teatro de texto</t>
  </si>
  <si>
    <t>Sílvia Servan Activitats Teatrals</t>
  </si>
  <si>
    <t>info@tallersdeteatre.org</t>
  </si>
  <si>
    <t>607 725 212 - 936 752 057</t>
  </si>
  <si>
    <t>https://www.teatro.es/guiarte/silvia-servan-activitats-teatrals-28354</t>
  </si>
  <si>
    <t>Sant Cugat del Vallés</t>
  </si>
  <si>
    <t>Av. Josep Anselm Clavé, 17 - 08172 - Sant Cugat del Vallés (Barcelona)</t>
  </si>
  <si>
    <t>Sílvia Servan Rivera</t>
  </si>
  <si>
    <t>Tantágora</t>
  </si>
  <si>
    <t>magali@tantagora.net; tantagora@tantagora.net</t>
  </si>
  <si>
    <t>647 748 533 - 932 131 176</t>
  </si>
  <si>
    <t>https://www.teatro.es/guiarte/tantagora-5163</t>
  </si>
  <si>
    <t>Baró de la Barre, 16, 1º - 08023 - Barcelona (Barcelona)</t>
  </si>
  <si>
    <t>Roser Ros</t>
  </si>
  <si>
    <t>Teatro-danza; Narración oral escénica</t>
  </si>
  <si>
    <t>Tatira Espectáculos &amp; Eventos</t>
  </si>
  <si>
    <t>mcmelema@tatira.com; tatira@tatira.com</t>
  </si>
  <si>
    <t>659 158 377 - 680 587 462 - 913 773 296</t>
  </si>
  <si>
    <t>https://www.teatro.es/guiarte/tatira-espectaculos-eventos-35283</t>
  </si>
  <si>
    <t>Gonzalo de Berceo, 51, Bajo A - 28017 - Madrid (Madrid)</t>
  </si>
  <si>
    <t>Vicente Aguado; Mary Carmen Melero</t>
  </si>
  <si>
    <t>Tdg Laperola</t>
  </si>
  <si>
    <t>636 039 924 - 625 058 064</t>
  </si>
  <si>
    <t>https://www.teatro.es/guiarte/tdg-laperola-35333</t>
  </si>
  <si>
    <t>Jarauta, 27 -4 - 31001 - Pamplona (Navarra)</t>
  </si>
  <si>
    <t>Ainhoa Ruiz</t>
  </si>
  <si>
    <t>Beatriz Miró</t>
  </si>
  <si>
    <t>Kapana, 5 - 31192 - Aradanaz (Navarra)</t>
  </si>
  <si>
    <t>Teatre Nacional de Catalunya, TNC</t>
  </si>
  <si>
    <t>info@tnc.cat</t>
  </si>
  <si>
    <t>933 065 700</t>
  </si>
  <si>
    <t>https://www.teatro.es/guiarte/teatre-nacional-de-catalunya-tnc-3085</t>
  </si>
  <si>
    <t>Plaça de les Arts, 1 - 08013 - Barcelona (Barcelona)</t>
  </si>
  <si>
    <t>Sergi Belbel</t>
  </si>
  <si>
    <t>Teatre de lUll</t>
  </si>
  <si>
    <t>tdu@teatredelull.com</t>
  </si>
  <si>
    <t>963 842 240 - 609 648 282 - 676 984 564 - 676 984 568</t>
  </si>
  <si>
    <t>https://www.teatro.es/guiarte/teatre-de-lull-4671</t>
  </si>
  <si>
    <t>Juan José Benavent Esteve; Celia Gómez Tomás</t>
  </si>
  <si>
    <t>Teatre de la Nau</t>
  </si>
  <si>
    <t>produccio@teatregaudibarcelona.com; info@teatregaudibarcelona.com</t>
  </si>
  <si>
    <t>600 540 268</t>
  </si>
  <si>
    <t>https://www.teatro.es/guiarte/teatre-de-la-nau-1334</t>
  </si>
  <si>
    <t>C/ Castillejos, 179 - 08013 - Barcelona (Barcelona)</t>
  </si>
  <si>
    <t>Ever Blanchet</t>
  </si>
  <si>
    <t>Teatre dels Navegants</t>
  </si>
  <si>
    <t>teatredelsnavegants@yahoo.com</t>
  </si>
  <si>
    <t>606 676 238</t>
  </si>
  <si>
    <t>https://www.teatro.es/guiarte/teatre-dels-navegants-5794</t>
  </si>
  <si>
    <t>Pintor Gisbert, 19, 10ª - 46006 - Valencia (Valencia)</t>
  </si>
  <si>
    <t>Fabrizio Meschini</t>
  </si>
  <si>
    <t>Cámara Blanca Distribución de Artes Escénicas</t>
  </si>
  <si>
    <t>C/ Berenguer de Marquina, 21 2º B - 03004 - Alicante (Alicante)</t>
  </si>
  <si>
    <t>620 610 654</t>
  </si>
  <si>
    <t>amadeo@camarablanca.com; 620 610 654</t>
  </si>
  <si>
    <t>www.camarablanca.com</t>
  </si>
  <si>
    <t>Teatre8</t>
  </si>
  <si>
    <t>teatre8@hotmail.com</t>
  </si>
  <si>
    <t>605 031 117</t>
  </si>
  <si>
    <t>https://www.teatro.es/guiarte/teatre8-26634</t>
  </si>
  <si>
    <t>Ramon i Cajal, 54 bis 1er. 2a - 43005 - Tarragona (Tarragona)</t>
  </si>
  <si>
    <t>Teatro Al Vent</t>
  </si>
  <si>
    <t>culturaalvent@gmail.com; morganblas@hotmail.com</t>
  </si>
  <si>
    <t>652 153 085</t>
  </si>
  <si>
    <t>https://www.teatro.es/guiarte/teatro-al-vent-35009</t>
  </si>
  <si>
    <t>Altea</t>
  </si>
  <si>
    <t>Agulló, 28 - 03590 - Altea (Alicante)</t>
  </si>
  <si>
    <t>Morgan Blasco</t>
  </si>
  <si>
    <t>Teatro de objetos; Teatro-danza; Performance-Acciones-Instalaciones; Teatro musical; Narración oral escénica; Animaciones; Teatro gestual - Teatro del movimiento; Teatro de texto; Teatro-circo</t>
  </si>
  <si>
    <t>Teatro Arte Livre. Encena Produccións Artisticas S.L</t>
  </si>
  <si>
    <t>cit.artelivre@gmail.com</t>
  </si>
  <si>
    <t>607 370 461 - 986 114 444</t>
  </si>
  <si>
    <t>https://www.teatro.es/guiarte/teatro-arte-livre-encena-produccions-artisticas-s-l-2512</t>
  </si>
  <si>
    <t>Vázquez Varela, 19 - 36204 - Vigo (Pontevedra)</t>
  </si>
  <si>
    <t>Roberto Cordovani; Eisenhower Moreno</t>
  </si>
  <si>
    <t>Teatro Aurin</t>
  </si>
  <si>
    <t>teatroaurin@gmail.com</t>
  </si>
  <si>
    <t>986 313 137</t>
  </si>
  <si>
    <t>https://www.teatro.es/guiarte/teatro-aurin-6484</t>
  </si>
  <si>
    <t>Moaña</t>
  </si>
  <si>
    <t>O Pico, 16. Meira - 36955 - Moaña (Pontevedra)</t>
  </si>
  <si>
    <t>Pedro Pablo Riobó Sanluís</t>
  </si>
  <si>
    <t>Teatro-danza; Performance-Acciones-Instalaciones; Teatro musical; Animaciones; Teatro gestual - Teatro del movimiento; Teatro de texto; Teatro-circo</t>
  </si>
  <si>
    <t>Teatro Avento</t>
  </si>
  <si>
    <t>aventoproduccions@gmail.com; correo@teatroavento.com</t>
  </si>
  <si>
    <t>600 070 074</t>
  </si>
  <si>
    <t>https://www.teatro.es/guiarte/teatro-avento-270</t>
  </si>
  <si>
    <t>Val Miñor, 1 - 36210 - Vigo (Pontevedra)</t>
  </si>
  <si>
    <t>Xoan Abreu; Marcos Alonso</t>
  </si>
  <si>
    <t>Teatro de objetos; Teatro-danza; Performance-Acciones-Instalaciones; Teatro musical; Teatro gestual - Teatro del movimiento; Teatro de texto</t>
  </si>
  <si>
    <t>Marcos Alonso Costas</t>
  </si>
  <si>
    <t>A.V. Val do Fragoso. Val Miñor, s/n - 36210 - Vigo (Pontevedra)</t>
  </si>
  <si>
    <t>Teatro Círculo Benimaclet</t>
  </si>
  <si>
    <t>admon@teatrocirculo.com; programacion@teatrocirculo.com</t>
  </si>
  <si>
    <t>963 922 023</t>
  </si>
  <si>
    <t>https://www.teatro.es/guiarte/teatro-circulo-benimaclet-4370</t>
  </si>
  <si>
    <t>C/ Prudenci Alcón i Mateu nº3, Bajo - 46020 - Valencia (Valencia)</t>
  </si>
  <si>
    <t>Miguel Ángel Cantero Pineda; Nez Martínez Gracia</t>
  </si>
  <si>
    <t>Teatro de objetos; Teatro-danza; Performance-Acciones-Instalaciones; Narración oral escénica; Circo; Teatro gestual - Teatro del movimiento; Teatro de texto; Teatro-circo</t>
  </si>
  <si>
    <t>Teatro Inestable de Huelva. La Breva</t>
  </si>
  <si>
    <t>javibreva@hotmail.com</t>
  </si>
  <si>
    <t>959 800 896 - 959 270 247 - 636 114 898</t>
  </si>
  <si>
    <t>https://www.teatro.es/guiarte/teatro-inestable-de-huelva-la-breva-1002</t>
  </si>
  <si>
    <t>Huelva</t>
  </si>
  <si>
    <t>Alamis de la Sierra, 9, 1º - 21007 - Huelva (Huelva)</t>
  </si>
  <si>
    <t>Javier Ceballos Cárdenas</t>
  </si>
  <si>
    <t>Teatro Inverso</t>
  </si>
  <si>
    <t>tt.inverso@gmail.com</t>
  </si>
  <si>
    <t>https://www.teatro.es/guiarte/teatro-inverso-94855</t>
  </si>
  <si>
    <t>c/ Sebastián Elcano 40 - 3izq - 28012 - Madrid (Madrid)</t>
  </si>
  <si>
    <t>Paula Rodríguez; Sandra Arpa</t>
  </si>
  <si>
    <t>Teatro La Manivela SCP</t>
  </si>
  <si>
    <t>teatrodelamanivela@gmail; willocuentacuentos@gmail.com; willoteatro@hotmail.com</t>
  </si>
  <si>
    <t>930 086 601 - 626 120 652</t>
  </si>
  <si>
    <t>https://www.teatro.es/guiarte/teatro-la-manivela-scp-36648</t>
  </si>
  <si>
    <t>Carrer Doctor Letamendi, 82, 3, 2 - 08042 - Barcelona (Barcelona)</t>
  </si>
  <si>
    <t>Javier Manjarrés; William Arunategui</t>
  </si>
  <si>
    <t>Teatro Luminaria</t>
  </si>
  <si>
    <t>contacto@teatroluminaria.com</t>
  </si>
  <si>
    <t>https://www.teatro.es/guiarte/teatro-luminaria-103781</t>
  </si>
  <si>
    <t>Alfajarín</t>
  </si>
  <si>
    <t>C/ Júpiter, 12 - 50172 - Alfajarín (Zaragoza)</t>
  </si>
  <si>
    <t>Eli Val; Octavio Alcober Yagüe</t>
  </si>
  <si>
    <t>Teatro Nueva Era</t>
  </si>
  <si>
    <t>teatronuevaera@yahoo.es</t>
  </si>
  <si>
    <t>630 652 277 - 600 030 403 - 676 892 540</t>
  </si>
  <si>
    <t>https://www.teatro.es/guiarte/teatro-nueva-era-35731</t>
  </si>
  <si>
    <t>Paseo Rosales, 19, 2º B - 30500 - Molina de Segura (Murcia)</t>
  </si>
  <si>
    <t>Irel Faustina Bermejo Hernández</t>
  </si>
  <si>
    <t>Teatro de objetos; Teatro-danza; Teatro musical; Narración oral escénica; Variedades; Animaciones; Teatro de texto</t>
  </si>
  <si>
    <t>Teatro Rebordelos</t>
  </si>
  <si>
    <t>https://www.teatro.es/guiarte/teatro-rebordelos-105673</t>
  </si>
  <si>
    <t>Teatro de Açúcar</t>
  </si>
  <si>
    <t>teatrodeacucar@gmail.com</t>
  </si>
  <si>
    <t>659 930 730</t>
  </si>
  <si>
    <t>https://www.teatro.es/guiarte/teatro-de-açucar-64919</t>
  </si>
  <si>
    <t>Donostia-San Sebastián</t>
  </si>
  <si>
    <t>Calle Istingorra, 3, 3ºC - 20008 - Donostia-San Sebastián (Guipúzcoa)</t>
  </si>
  <si>
    <t>Gabriel F</t>
  </si>
  <si>
    <t>Teatro de Cámara Cervantes</t>
  </si>
  <si>
    <t>soniasebastian@tccervantes.com; produccion@tccervantes.com</t>
  </si>
  <si>
    <t>914 103 437 - 657 018 190</t>
  </si>
  <si>
    <t>https://www.teatro.es/guiarte/teatro-de-camara-cervantes-7073</t>
  </si>
  <si>
    <t>C/ Atocha, 87 - 28012 - Madrid (Madrid)</t>
  </si>
  <si>
    <t>Sonia Sebastián</t>
  </si>
  <si>
    <t>Teatro de La Luna</t>
  </si>
  <si>
    <t>lalunadesiempre2000@yahoo.es; lucia@alternativaslaluna.org</t>
  </si>
  <si>
    <t>690 079 480 - 928 696 601</t>
  </si>
  <si>
    <t>https://www.teatro.es/guiarte/teatro-de-la-luna-35031</t>
  </si>
  <si>
    <t>Telde</t>
  </si>
  <si>
    <t>Azorín, 15, A3 - 35213 - Telde (Las Palmas)</t>
  </si>
  <si>
    <t>Lucía González Díaz</t>
  </si>
  <si>
    <t>Teatro-danza; Narración oral escénica; Variedades; Animaciones; Teatro gestual - Teatro del movimiento; Teatro de texto</t>
  </si>
  <si>
    <t>Teatro del Contrajuego</t>
  </si>
  <si>
    <t>https://www.teatro.es/guiarte/teatro-del-contrajuego-37021</t>
  </si>
  <si>
    <t>Méjico, 35, 2 A - 28028 - Madrid (Madrid)</t>
  </si>
  <si>
    <t>Orlando Arocha</t>
  </si>
  <si>
    <t>La Tropa Produce</t>
  </si>
  <si>
    <t>Gran Vía 78, 8º Exterior Derecha - 28013 - Madrid (Madrid)</t>
  </si>
  <si>
    <t>600 413 964</t>
  </si>
  <si>
    <t>cdavid@latropaproduce.es</t>
  </si>
  <si>
    <t>www.latropaproduce.es</t>
  </si>
  <si>
    <t>Teatro del Dónde</t>
  </si>
  <si>
    <t>teatrodeldonde@gmail.com; depasosycaminos@gmail.com</t>
  </si>
  <si>
    <t>659 881 362 - 677 664 642</t>
  </si>
  <si>
    <t>https://www.teatro.es/guiarte/teatro-del-donde-60790</t>
  </si>
  <si>
    <t>Cristina Canudas Raurell; Laura Ruiz Pacas</t>
  </si>
  <si>
    <t>Teatro del Eclipse</t>
  </si>
  <si>
    <t>teatrodeleclipse@yahoo.es</t>
  </si>
  <si>
    <t>822 021 824 - 616 622 069</t>
  </si>
  <si>
    <t>https://www.teatro.es/guiarte/teatro-del-eclipse-35029</t>
  </si>
  <si>
    <t>La Aceitilla, 5, Portal D, 2º D - 38111 - Santa Cruz de Tenerife (Santa Cruz de Tenerife)</t>
  </si>
  <si>
    <t>Marianexy Yanes Soto</t>
  </si>
  <si>
    <t>Teatro del Reñidero</t>
  </si>
  <si>
    <t>alcalateatro@hotmail.com</t>
  </si>
  <si>
    <t>620 089 868</t>
  </si>
  <si>
    <t>https://www.teatro.es/guiarte/teatro-del-reñidero-34711</t>
  </si>
  <si>
    <t>Alcalá la Real</t>
  </si>
  <si>
    <t>Real, 10, 3º C - 23680 - Alcalá la Real (Jaén)</t>
  </si>
  <si>
    <t>Rubén Hinojosa Calvo</t>
  </si>
  <si>
    <t>Teatro del Temple</t>
  </si>
  <si>
    <t>administracion@teatrodeltemple.com; produccion@teatrodeltemple.com; maria@teatrodeltemple.com; temple@teatrodeltemple.com</t>
  </si>
  <si>
    <t>976 298 865</t>
  </si>
  <si>
    <t>https://www.teatro.es/guiarte/teatro-del-temple-3125</t>
  </si>
  <si>
    <t>Vía Universitas, 30 - 50017 - Zaragoza (Zaragoza)</t>
  </si>
  <si>
    <t>María López Insausti</t>
  </si>
  <si>
    <t>Teatro del Velador</t>
  </si>
  <si>
    <t>info@teatroelvelador.com</t>
  </si>
  <si>
    <t>954 653 460 - 660 715 597</t>
  </si>
  <si>
    <t>https://www.teatro.es/guiarte/teatro-del-velador-2554</t>
  </si>
  <si>
    <t>C/ Aragón, 136 - 41006 - Sevilla (Sevilla)</t>
  </si>
  <si>
    <t>Juan Dolores Caballero</t>
  </si>
  <si>
    <t>Teatro en Punto. TEP</t>
  </si>
  <si>
    <t>gloriarrico@hotmail.com; teatroenpunto@gmail.com</t>
  </si>
  <si>
    <t>609 788 016 - 981 577 748</t>
  </si>
  <si>
    <t>https://www.teatro.es/guiarte/teatro-en-punto-tep-3330</t>
  </si>
  <si>
    <t>Rua Acivecharía, 7, 3º - 15704 - Santiago de Compostela (A Coruña)</t>
  </si>
  <si>
    <t>Nerea Valenzuela; Gloria Rico</t>
  </si>
  <si>
    <t>Teia Moner S.C.C.L</t>
  </si>
  <si>
    <t>info@teiamoner.com; teiamoner@gmail.com</t>
  </si>
  <si>
    <t>https://www.teatro.es/guiarte/teia-moner-s-c-c-l-3506</t>
  </si>
  <si>
    <t>Apdo. de correos 86 - 08184 - Palau-Solità i Plegamans (Barcelona)</t>
  </si>
  <si>
    <t>Miquel Espinosa</t>
  </si>
  <si>
    <t>Teatro de objetos; Teatro-danza; Variedades</t>
  </si>
  <si>
    <t>Teloncillo</t>
  </si>
  <si>
    <t>teloncillo.lola@gmail.com; teloncillo@teloncillo.com</t>
  </si>
  <si>
    <t>983 379 006 - 637 539 065 - 637 539 064</t>
  </si>
  <si>
    <t>https://www.teatro.es/guiarte/teloncillo-4064</t>
  </si>
  <si>
    <t>Veinte de Febrero, 6, 1º B - 47001 - Valladolid (Valladolid)</t>
  </si>
  <si>
    <t>Ana Isabel Gallego Redondo; Manuel Ángel Sánchez Ruiz</t>
  </si>
  <si>
    <t>Telón corto S.L.</t>
  </si>
  <si>
    <t>castel@teloncorto.com; produccion@teloncorto.com</t>
  </si>
  <si>
    <t>620 274 476</t>
  </si>
  <si>
    <t>https://www.teatro.es/guiarte/telon-corto-s-l-35231</t>
  </si>
  <si>
    <t>C/ Carril del Conde 57 - 28043 - Madrid (Madrid)</t>
  </si>
  <si>
    <t>Eduardo Gutiérrez Rojas; Carlos Álvarez Castel</t>
  </si>
  <si>
    <t>Terpsícore Teatro-Danza</t>
  </si>
  <si>
    <t>beatriz_llorente_@terpsicoreteatrodanza.com</t>
  </si>
  <si>
    <t>607 222 557 - 653 922 034</t>
  </si>
  <si>
    <t>https://www.teatro.es/guiarte/terpsicore-teatro-danza-36389</t>
  </si>
  <si>
    <t>Calle Palazuelos, 58 - 28031 - Madrid (Madrid)</t>
  </si>
  <si>
    <t>Trini Díaz; Beatriz Llorente</t>
  </si>
  <si>
    <t>Terra Teatre</t>
  </si>
  <si>
    <t>terrateatre@terrateatre.cat</t>
  </si>
  <si>
    <t>https://www.teatro.es/guiarte/terra-teatre-106908</t>
  </si>
  <si>
    <t>La Pobla de Claramunt</t>
  </si>
  <si>
    <t>Av. Corral de la Farga, 22 - 08787 - La Pobla de Claramunt (Barcelona)</t>
  </si>
  <si>
    <t>Jordi Hervàs Solà</t>
  </si>
  <si>
    <t>Terrario Teatro</t>
  </si>
  <si>
    <t>hola@terrarioteatro.com</t>
  </si>
  <si>
    <t>915 945 045</t>
  </si>
  <si>
    <t>https://www.teatro.es/guiarte/terrario-teatro-37193</t>
  </si>
  <si>
    <t>Calle Francisco Iglesias 21, 1º E - 28038 - Madrid (Madrid)</t>
  </si>
  <si>
    <t>Isabel García Marinas</t>
  </si>
  <si>
    <t>Creatividad Solidaria</t>
  </si>
  <si>
    <t>Calle Machota, 1 - Zarzalejo (Madrid)</t>
  </si>
  <si>
    <t>The Fairy Storyteller Productions</t>
  </si>
  <si>
    <t>thefairystoryteller@gmail.com</t>
  </si>
  <si>
    <t>699 649 889 - 698 122 547</t>
  </si>
  <si>
    <t>https://www.teatro.es/guiarte/the-fairy-storyteller-productions-94077</t>
  </si>
  <si>
    <t>Trav. da Eiriña 7, 4º B - 36004 - Pontevedra (Pontevedra)</t>
  </si>
  <si>
    <t>Ariadna Santana</t>
  </si>
  <si>
    <t>Teatro de objetos; Teatro-danza; Performance-Acciones-Instalaciones; Teatro musical; Variedades; Circo; Animaciones; Teatro gestual - Teatro del movimiento; Teatro-circo</t>
  </si>
  <si>
    <t>The Nose Theater SLU</t>
  </si>
  <si>
    <t>thenosetheater@hotmail.com</t>
  </si>
  <si>
    <t>648 231 592</t>
  </si>
  <si>
    <t>https://www.teatro.es/guiarte/the-nose-theater-slu-94158</t>
  </si>
  <si>
    <t>Ctra Antigua de Málaga s/n - 18015 - Granada (Granada)</t>
  </si>
  <si>
    <t>José María Caballero Brox</t>
  </si>
  <si>
    <t>Teatro-danza; Animaciones; Teatro gestual - Teatro del movimiento</t>
  </si>
  <si>
    <t>Theatretk. THTK</t>
  </si>
  <si>
    <t>contacto@theatretk.com</t>
  </si>
  <si>
    <t>659 965 782 - 630 616 101</t>
  </si>
  <si>
    <t>https://www.teatro.es/guiarte/theatretk-thtk-7163</t>
  </si>
  <si>
    <t>46003 - Valencia (Valencia)</t>
  </si>
  <si>
    <t>Harold Zúñigan; Óscar Sánchez</t>
  </si>
  <si>
    <t>Toc de Retruc</t>
  </si>
  <si>
    <t>toc@tocderetruc.com</t>
  </si>
  <si>
    <t>936 749 150 - 609 361 898</t>
  </si>
  <si>
    <t>https://www.teatro.es/guiarte/toc-de-retruc-1870</t>
  </si>
  <si>
    <t>Pº del Caqui, 50 - 08198 - Sant Cugat del Vallès (Barcelona)</t>
  </si>
  <si>
    <t>Marta Albir Españó; Carles Bertrand Estivill</t>
  </si>
  <si>
    <t>Teatro de objetos; Teatro-danza; Teatro musical; Animaciones</t>
  </si>
  <si>
    <t>TodoArt13</t>
  </si>
  <si>
    <t>info@todoart13.com; donaldson@todoart13.com; barbara@todoart13.com</t>
  </si>
  <si>
    <t>691 356 666 - 629 439 657</t>
  </si>
  <si>
    <t>https://www.teatro.es/guiarte/todoart13-105597</t>
  </si>
  <si>
    <t>Muga de Sayago</t>
  </si>
  <si>
    <t>C/Alameda, 1 - 49212 - Muga de Sayago (Zamora)</t>
  </si>
  <si>
    <t>Bárbara Vega Mederos</t>
  </si>
  <si>
    <t>Tranvía Teatro, S.L</t>
  </si>
  <si>
    <t>info@teatrodelaestacion.com; comunicacion@teatrodelaestacion.com</t>
  </si>
  <si>
    <t>976 469 494</t>
  </si>
  <si>
    <t>https://www.teatro.es/guiarte/tranvia-teatro-s-l-1894</t>
  </si>
  <si>
    <t>Aljafería, 9-11 local - 50004 - Zaragoza (Zaragoza)</t>
  </si>
  <si>
    <t>Cristina Yáñez Giner</t>
  </si>
  <si>
    <t>Teatro-danza; Performance-Acciones-Instalaciones; Teatro musical; Teatro gestual - Teatro del movimiento; Teatro de texto; Teatro-circo</t>
  </si>
  <si>
    <t>Triangle Teatre</t>
  </si>
  <si>
    <t>triangleteatre@hotmail.com</t>
  </si>
  <si>
    <t>629 660 622</t>
  </si>
  <si>
    <t>https://www.teatro.es/guiarte/triangle-teatre-101497</t>
  </si>
  <si>
    <t>Puzol</t>
  </si>
  <si>
    <t>Plaza Jaume David Bayarri Ribelles, 12 - 46530 - Puzol (Valencia)</t>
  </si>
  <si>
    <t>Trécola Teatro</t>
  </si>
  <si>
    <t>trecolateatro@yahoo.es</t>
  </si>
  <si>
    <t>606 689 285 - 988 614 854</t>
  </si>
  <si>
    <t>https://www.teatro.es/guiarte/trecola-teatro-1909</t>
  </si>
  <si>
    <t>Noriega Varela, 18, 6º K - 32004 - Ourense (Ourense)</t>
  </si>
  <si>
    <t>Ledicia Álvarez</t>
  </si>
  <si>
    <t>Tyrsova Producciones</t>
  </si>
  <si>
    <t>tyrsovaproducciones@gmail.com</t>
  </si>
  <si>
    <t>635 850 195</t>
  </si>
  <si>
    <t>https://www.teatro.es/guiarte/tyrsova-producciones-104893</t>
  </si>
  <si>
    <t>Ledaña</t>
  </si>
  <si>
    <t>C / San Antón, 11  - 16237 - Ledaña (Cuenca)</t>
  </si>
  <si>
    <t>Tania Orozco Alfaro</t>
  </si>
  <si>
    <t>Tèntol</t>
  </si>
  <si>
    <t>clara@tentol.cat</t>
  </si>
  <si>
    <t>https://www.teatro.es/guiarte/tentol-105885</t>
  </si>
  <si>
    <t>Encarnació, 43 - 08024 - Barcelona (Barcelona)</t>
  </si>
  <si>
    <t>Clara Matas Vidal</t>
  </si>
  <si>
    <t>Teatro-danza; Artes de calle; Circo; Teatro gestual - Teatro del movimiento; Teatro de texto; Teatro-circo</t>
  </si>
  <si>
    <t>Ultim Vals</t>
  </si>
  <si>
    <t>https://www.teatro.es/guiarte/ultim-vals-102343</t>
  </si>
  <si>
    <t>Umami Dancetheatre</t>
  </si>
  <si>
    <t>gustavo.umami@hotmail.com</t>
  </si>
  <si>
    <t>666 829 213</t>
  </si>
  <si>
    <t>https://www.teatro.es/guiarte/umami-dancetheatre-101130</t>
  </si>
  <si>
    <t>Manuel Laborda, 18, bj b, blq 2 - 28021 - Madrid (Madrid)</t>
  </si>
  <si>
    <t>Gustavo Hoyos Gonzalez</t>
  </si>
  <si>
    <t>Ungrupo Producciones</t>
  </si>
  <si>
    <t>info@ungrupo.com; monica_sagrera@hotmail.com</t>
  </si>
  <si>
    <t>649 857 587</t>
  </si>
  <si>
    <t>https://www.teatro.es/guiarte/ungrupo-producciones-101691</t>
  </si>
  <si>
    <t>C/ Andrés Mellado, 85 esc izq 6ºA - 28003 - Madrid (Madrid)</t>
  </si>
  <si>
    <t>Mónica Sagrera</t>
  </si>
  <si>
    <t>Urbantango</t>
  </si>
  <si>
    <t>manuelalorenteben@gmail.com</t>
  </si>
  <si>
    <t>607 807 887</t>
  </si>
  <si>
    <t>https://www.teatro.es/guiarte/urbantango-94217</t>
  </si>
  <si>
    <t>Begur, 80 bajos - 08028 - Barcelona (Barcelona)</t>
  </si>
  <si>
    <t>Manuela Lorente; Nuria Brucart</t>
  </si>
  <si>
    <t>Ut·Tópico Teatro</t>
  </si>
  <si>
    <t>utopicoteatro@gmail.com</t>
  </si>
  <si>
    <t>630 464 178</t>
  </si>
  <si>
    <t>https://www.teatro.es/guiarte/ut-topico-teatro-55080</t>
  </si>
  <si>
    <t>A Pobra do Caramiñal</t>
  </si>
  <si>
    <t>Recosta-Postmarcos, 2 - 15948 - A Pobra do Caramiñal (A Coruña)</t>
  </si>
  <si>
    <t>Fran Godón</t>
  </si>
  <si>
    <t>Varuma Teatro</t>
  </si>
  <si>
    <t>varuma@varumateatro.com; varumateatro@hotmail.com</t>
  </si>
  <si>
    <t>629 035 860</t>
  </si>
  <si>
    <t>https://www.teatro.es/guiarte/varuma-teatro-5919</t>
  </si>
  <si>
    <t>Parque Atlántico B4 - 9 - 9 - 41008 - Sevilla (Sevilla)</t>
  </si>
  <si>
    <t>Jorge Barroso Alcoba</t>
  </si>
  <si>
    <t>Vecinasmanagement</t>
  </si>
  <si>
    <t>mariavjurado@gmail.com</t>
  </si>
  <si>
    <t>630 182 353</t>
  </si>
  <si>
    <t>https://www.teatro.es/guiarte/vecinasmanagement-94643</t>
  </si>
  <si>
    <t>Calle Pedro Tafur, 5 - 2º izquierda - 41009 - Sevilla (Sevilla)</t>
  </si>
  <si>
    <t>María Velasco</t>
  </si>
  <si>
    <t>Versus Teatre</t>
  </si>
  <si>
    <t>info@versusteatre.net</t>
  </si>
  <si>
    <t>932 323 184 - 600 540 268</t>
  </si>
  <si>
    <t>https://www.teatro.es/guiarte/versus-teatre-2289</t>
  </si>
  <si>
    <t>María Clausó; Ever Blanchet</t>
  </si>
  <si>
    <t>Ververemos S.L.</t>
  </si>
  <si>
    <t>ververemosgijon@gmail.com</t>
  </si>
  <si>
    <t>607 469 164</t>
  </si>
  <si>
    <t>https://www.teatro.es/guiarte/ververemos-s-l-7240</t>
  </si>
  <si>
    <t>Camino del Teyón, 806 - Cabueñes - 33394 - Gijón (Asturias)</t>
  </si>
  <si>
    <t>Joaquín Merediz Vidal</t>
  </si>
  <si>
    <t>Teatro-danza; Teatro musical; Narración oral escénica; Animaciones; Teatro gestual - Teatro del movimiento; Teatro de texto</t>
  </si>
  <si>
    <t>Vicente Arlandis</t>
  </si>
  <si>
    <t>https://www.teatro.es/guiarte/vicente-arlandis-101651</t>
  </si>
  <si>
    <t>Villarroel Teatre</t>
  </si>
  <si>
    <t>info@villarroelteatre.com; info@lavillarroel.cat; premsa@focus.cat</t>
  </si>
  <si>
    <t>934 511 234 - 933 097 538</t>
  </si>
  <si>
    <t>https://www.teatro.es/guiarte/villarroel-teatre-1997</t>
  </si>
  <si>
    <t>Villarroel, 87 - 08011 - Barcelona (Barcelona)</t>
  </si>
  <si>
    <t>Serveis de l'Espectacle Focus S.A</t>
  </si>
  <si>
    <t>Visitants Companyia de Teatre</t>
  </si>
  <si>
    <t>info@visitants.com</t>
  </si>
  <si>
    <t>670 384 964</t>
  </si>
  <si>
    <t>https://www.teatro.es/guiarte/visitants-companyia-de-teatre-2001</t>
  </si>
  <si>
    <t>Carretera onda 14 1er 1a - 12540 - Vila-real (Castellón)</t>
  </si>
  <si>
    <t>Tomás Ibáñez</t>
  </si>
  <si>
    <t>Voadora</t>
  </si>
  <si>
    <t>contacto@voadora.es; produccion@voadora.es</t>
  </si>
  <si>
    <t>687 473 994 - 676 891 508</t>
  </si>
  <si>
    <t>https://www.teatro.es/guiarte/voadora-6576</t>
  </si>
  <si>
    <t>Porta da Pena, 12, 1ºB - 15704 - Santiago de Compostela (A Coruña)</t>
  </si>
  <si>
    <t>José Díaz; Marta Pazos; Hugo Torres</t>
  </si>
  <si>
    <t>Volunto Teatro</t>
  </si>
  <si>
    <t>voluntoteatro@gmail.com</t>
  </si>
  <si>
    <t>622 083 795</t>
  </si>
  <si>
    <t>https://www.teatro.es/guiarte/volunto-teatro-35072</t>
  </si>
  <si>
    <t>Torredonjimeno</t>
  </si>
  <si>
    <t>Avenida de la Paz, 86, 2º B - 23650 - Torredonjimeno (Jaén)</t>
  </si>
  <si>
    <t>César Guerra Cámara</t>
  </si>
  <si>
    <t>Vértice Producciones</t>
  </si>
  <si>
    <t>navelart.art@gmail.com; producciondevertice@gmail.com</t>
  </si>
  <si>
    <t>https://www.teatro.es/guiarte/vertice-producciones-102023</t>
  </si>
  <si>
    <t>Paseo de los melancólicos, 9  1º A - B - 28005 - Madrid (Madrid)</t>
  </si>
  <si>
    <t>Carlos Iglesias Faura</t>
  </si>
  <si>
    <t>Diágoras Producciones; Lulo Producciones</t>
  </si>
  <si>
    <t>Cueva de la Mora 7 local 13 - 28670 - Villaviciosa de Odón (Madrid)</t>
  </si>
  <si>
    <t>600 461 149 - 916 657 668</t>
  </si>
  <si>
    <t>info@diagorasproducciones.com</t>
  </si>
  <si>
    <t>www.diagorasproducciones.com</t>
  </si>
  <si>
    <t>Wai Entertaiment</t>
  </si>
  <si>
    <t>wai@wai-e.com</t>
  </si>
  <si>
    <t>932 080 666</t>
  </si>
  <si>
    <t>https://www.teatro.es/guiarte/wai-entertaiment-5246</t>
  </si>
  <si>
    <t>Torrent de l'Olla, 12,  Ppal - 08012 - Barcelona (Barcelona)</t>
  </si>
  <si>
    <t>Ester Alonso Núñez</t>
  </si>
  <si>
    <t>Teatro de objetos; Teatro-danza; Performance-Acciones-Instalaciones; Teatro musical; Variedades; Ópera; Animaciones; Teatro gestual - Teatro del movimiento; Teatro de texto</t>
  </si>
  <si>
    <t>Xarop Teatre</t>
  </si>
  <si>
    <t>689 617 146 - 646 210 708</t>
  </si>
  <si>
    <t>https://www.teatro.es/guiarte/xarop-teatre-3959</t>
  </si>
  <si>
    <t>Apartado de correos 12080 - 12080 - Castellón de la Plana (Castellón)</t>
  </si>
  <si>
    <t>Carles Benlliure Bou; Rebeca Castro Pinzón</t>
  </si>
  <si>
    <t>Teatro de objetos; Teatro-danza; Artes de calle; Performance-Acciones-Instalaciones; Narración oral escénica; Animaciones; Teatro de texto</t>
  </si>
  <si>
    <t>Xata La Rifa. Laboratorio Escénico</t>
  </si>
  <si>
    <t>laxatalarifa@gmail.com; monicaparabolica@gmail.com</t>
  </si>
  <si>
    <t>653 954 337</t>
  </si>
  <si>
    <t>https://www.teatro.es/guiarte/xata-la-rifa-laboratorio-escenico-94031</t>
  </si>
  <si>
    <t>Carretera Vizcaína, 27A 6E - 33207 - Gijón (Asturias)</t>
  </si>
  <si>
    <t>Teatro-danza; Performance-Acciones-Instalaciones; Variedades; Teatro-circo</t>
  </si>
  <si>
    <t>Xplora Teatro</t>
  </si>
  <si>
    <t>dhn1987@outlook.es</t>
  </si>
  <si>
    <t>631 353 860</t>
  </si>
  <si>
    <t>https://www.teatro.es/guiarte/xplora-teatro-104899</t>
  </si>
  <si>
    <t>Alfafar</t>
  </si>
  <si>
    <t>C/ Doctor Ferràn 59, puerta 35 - 46910 - Alfafar (Valencia)</t>
  </si>
  <si>
    <t>YINdeYAN Teatro</t>
  </si>
  <si>
    <t>yindeyan@gmail.com</t>
  </si>
  <si>
    <t>618 869 963</t>
  </si>
  <si>
    <t>https://www.teatro.es/guiarte/yindeyan-teatro-35412</t>
  </si>
  <si>
    <t>Laudio-Llodio</t>
  </si>
  <si>
    <t>01400 - Laudio-Llodio (Álava)</t>
  </si>
  <si>
    <t>Pablo Ibarluzea</t>
  </si>
  <si>
    <t>Teatro de objetos; Teatro-danza; Narración oral escénica; Variedades; Circo; Teatro gestual - Teatro del movimiento; Teatro de texto; Teatro-circo</t>
  </si>
  <si>
    <t>Zen del Sur</t>
  </si>
  <si>
    <t>info@zendelsur.com; almudena@zendelsur.com</t>
  </si>
  <si>
    <t>657 914 279</t>
  </si>
  <si>
    <t>https://www.teatro.es/guiarte/zen-del-sur-62596</t>
  </si>
  <si>
    <t>Caldereira Vieja, 11, 2º - 18010 - Granada (Granada)</t>
  </si>
  <si>
    <t>Carlos López Aragón</t>
  </si>
  <si>
    <t>[Re]teatro</t>
  </si>
  <si>
    <t>redescubrimientoteatro@gmail.com</t>
  </si>
  <si>
    <t>650 549 603</t>
  </si>
  <si>
    <t>https://www.teatro.es/guiarte/re-teatro-103367</t>
  </si>
  <si>
    <t>C/ Horacio Lengo, 18 1º 1 - 29006 - Málaga (Málaga)</t>
  </si>
  <si>
    <t>Itziar Fernández Navas; Nahuel Cardozo Basteiro</t>
  </si>
  <si>
    <t>teatroDran</t>
  </si>
  <si>
    <t>teatrodran@gmail.com</t>
  </si>
  <si>
    <t>654 319 514 - 677 319 789</t>
  </si>
  <si>
    <t>https://www.teatro.es/guiarte/teatrodran-6850</t>
  </si>
  <si>
    <t>Alberto Fernández, 18 - 1º a - 47004 - Valladolid (Valladolid)</t>
  </si>
  <si>
    <t>Ruth Rivera; Jaime Rodríguez</t>
  </si>
  <si>
    <t>Teatro-danza; Performance-Acciones-Instalaciones; Ópera; Teatro de texto</t>
  </si>
  <si>
    <t>Índigo Teatro</t>
  </si>
  <si>
    <t>info@indigoteatro.com</t>
  </si>
  <si>
    <t>625 070 444</t>
  </si>
  <si>
    <t>https://www.teatro.es/guiarte/indigo-teatro-62633</t>
  </si>
  <si>
    <t>C/ Eugenio Selles,7 3ºB - 29017 - Málaga (Málaga)</t>
  </si>
  <si>
    <t>Celia Almohalla</t>
  </si>
  <si>
    <t>Ïcaro Teatro</t>
  </si>
  <si>
    <t>info@stillnoise.com</t>
  </si>
  <si>
    <t>926 432 246 - 609 044 061 - 659 905 900</t>
  </si>
  <si>
    <t>https://www.teatro.es/guiarte/icaro-teatro-33545</t>
  </si>
  <si>
    <t>Manuel Valero; Augusto Guzmán</t>
  </si>
  <si>
    <t>style</t>
  </si>
  <si>
    <t>profileUrl</t>
  </si>
  <si>
    <t>-dSyR- Cía de Danza</t>
  </si>
  <si>
    <t>carlosfajardo@dsyr.es</t>
  </si>
  <si>
    <t>http://www.desangreyraza.com</t>
  </si>
  <si>
    <t>Compañía Danza (DanceFromSpain)</t>
  </si>
  <si>
    <t>Danza Española, Danza teatro</t>
  </si>
  <si>
    <t>https://dancefromspain.feced.org/de-sangre-y-raza/</t>
  </si>
  <si>
    <t>Chey Jurado</t>
  </si>
  <si>
    <t>artisticprod.cheyjurado@gmail.com</t>
  </si>
  <si>
    <t>https://youtu.be/kDRFa_AirSM</t>
  </si>
  <si>
    <t>Contemporánea, Danza urbana</t>
  </si>
  <si>
    <t>https://dancefromspain.feced.org/chey-jurado/</t>
  </si>
  <si>
    <t>Cía. Almazarte Danza</t>
  </si>
  <si>
    <t>almazartedanza@gmail.com</t>
  </si>
  <si>
    <t>600266308</t>
  </si>
  <si>
    <t>https://www.maritamartinezrey.com/videos-ct1b</t>
  </si>
  <si>
    <t>Danza Española</t>
  </si>
  <si>
    <t>Arte y Danza de Javier del Real</t>
  </si>
  <si>
    <t>arteydanzalaspalmas@gmail.com</t>
  </si>
  <si>
    <t>928982448</t>
  </si>
  <si>
    <t>http://movimientoenred.org</t>
  </si>
  <si>
    <t>CIA. TERESA NAVARRETE</t>
  </si>
  <si>
    <t>aeronave23@gmail.com</t>
  </si>
  <si>
    <t>637317362</t>
  </si>
  <si>
    <t>Carina La Debla</t>
  </si>
  <si>
    <t>info@carinaladebla.com</t>
  </si>
  <si>
    <t>655661314</t>
  </si>
  <si>
    <t>http://www.carinaladebla.com</t>
  </si>
  <si>
    <t>cia.Ale Martin</t>
  </si>
  <si>
    <t>cia.alemartin@gmail.com</t>
  </si>
  <si>
    <t>686927892</t>
  </si>
  <si>
    <t>https://elnidodeanatta.es/</t>
  </si>
  <si>
    <t>CIRCLE OF TRUST</t>
  </si>
  <si>
    <t>amadeo@camarablanca.com</t>
  </si>
  <si>
    <t>965214349</t>
  </si>
  <si>
    <t>http://www.circleoftrustcrew.com/</t>
  </si>
  <si>
    <t>Danza urbana</t>
  </si>
  <si>
    <t>Cía. Vero Cendoya</t>
  </si>
  <si>
    <t>verocendoya@hotmail.com</t>
  </si>
  <si>
    <t>+34 655 11 66 38</t>
  </si>
  <si>
    <t>https://www.verocendoya.com</t>
  </si>
  <si>
    <t>Contemporánea, Danza teatro</t>
  </si>
  <si>
    <t>Cía. Lavelladanza</t>
  </si>
  <si>
    <t>lavellaisa@gmail.com</t>
  </si>
  <si>
    <t>http://www.lavelladanza.com</t>
  </si>
  <si>
    <t>Danza teatro</t>
  </si>
  <si>
    <t>Cía. Gero Domínguez</t>
  </si>
  <si>
    <t>info@gerodominguez.comn</t>
  </si>
  <si>
    <t>675281271</t>
  </si>
  <si>
    <t>https://gerodominguez.com/</t>
  </si>
  <si>
    <t>Experimental, Flamenco</t>
  </si>
  <si>
    <t>DANZA DOWN. Compañia Elias Lafuente.</t>
  </si>
  <si>
    <t>danzadownelias@gmail.com</t>
  </si>
  <si>
    <t>685646541</t>
  </si>
  <si>
    <t>http://www.danzadown.es</t>
  </si>
  <si>
    <t>Clásica/Neoclásica, Danza teatro</t>
  </si>
  <si>
    <t>Alba Lucera</t>
  </si>
  <si>
    <t>contact@albalucera.com</t>
  </si>
  <si>
    <t>629057301</t>
  </si>
  <si>
    <t>http://www.albalucera.com</t>
  </si>
  <si>
    <t>Contemporánea, Flamenco</t>
  </si>
  <si>
    <t>Ana F. Melero &amp; Luna Sánchez</t>
  </si>
  <si>
    <t>anafmelerolunasanchez@gmail.com</t>
  </si>
  <si>
    <t>660259513</t>
  </si>
  <si>
    <t>Annika Pannitto</t>
  </si>
  <si>
    <t>pannikaster@gmail.com</t>
  </si>
  <si>
    <t>+34654145528</t>
  </si>
  <si>
    <t>https://annikapannitto.com/</t>
  </si>
  <si>
    <t>Contemporánea, Experimental</t>
  </si>
  <si>
    <t>CocinandoDanza</t>
  </si>
  <si>
    <t>distribucion@cocinandodanza.com</t>
  </si>
  <si>
    <t>617517709</t>
  </si>
  <si>
    <t>http://www.cocinandodanza.com</t>
  </si>
  <si>
    <t>Alicia Soto – Hojarasca</t>
  </si>
  <si>
    <t>alicia@hojarasca-danza.es</t>
  </si>
  <si>
    <t>https://hojarasca-danza.com/</t>
  </si>
  <si>
    <t>Fernando López</t>
  </si>
  <si>
    <t>contact@lrparrafernando.com</t>
  </si>
  <si>
    <t>636052210</t>
  </si>
  <si>
    <t>http://www.lrparrafernando.com</t>
  </si>
  <si>
    <t>Carmen Fumero cía.</t>
  </si>
  <si>
    <t>carmenfumeroalfonso@gmail.com</t>
  </si>
  <si>
    <t>609196491</t>
  </si>
  <si>
    <t>http://www.ciacarmenfumero.info</t>
  </si>
  <si>
    <t>JAVIER CUEVAS / Laboratorio de Artes Vivas</t>
  </si>
  <si>
    <t>javiercuev@gmail.com</t>
  </si>
  <si>
    <t>617282819</t>
  </si>
  <si>
    <t>http://www.laboratorioartesvivas.org/javiercuevas</t>
  </si>
  <si>
    <t>Contemporánea, Danza teatro, Experimental</t>
  </si>
  <si>
    <t>FRITSCH COMPANY (FUNDACIÓN PSICO BALLET MAITE LEÓN)</t>
  </si>
  <si>
    <t>espectaculos@psicoballetmaiteleon.org</t>
  </si>
  <si>
    <t>91 742 23 20</t>
  </si>
  <si>
    <t>http://www.psicoballetmaiteleon.org</t>
  </si>
  <si>
    <t>ERTZA</t>
  </si>
  <si>
    <t>+34 663767699</t>
  </si>
  <si>
    <t>http://www.ertza.com/index.php</t>
  </si>
  <si>
    <t>Bárbara Sánchez</t>
  </si>
  <si>
    <t>barbarasanchez75@gmail.com</t>
  </si>
  <si>
    <t>+34692200128</t>
  </si>
  <si>
    <t>http://barbarasanchez.es/</t>
  </si>
  <si>
    <t>Compañía Deloflamenco</t>
  </si>
  <si>
    <t>deloflamenco@gmail.com</t>
  </si>
  <si>
    <t>652171562</t>
  </si>
  <si>
    <t>http://www.deloflamenco.com</t>
  </si>
  <si>
    <t>Celeste Ayus Motta</t>
  </si>
  <si>
    <t>celeste.ayus@gmail.com</t>
  </si>
  <si>
    <t>659912251</t>
  </si>
  <si>
    <t>https://celesteayus.wordpress.com/</t>
  </si>
  <si>
    <t>ACHIS PRODUCCIONES</t>
  </si>
  <si>
    <t>achisproducciones@gmail.com</t>
  </si>
  <si>
    <t>https://pepadelosmares.es/</t>
  </si>
  <si>
    <t>BALLETS DE TENERIFE</t>
  </si>
  <si>
    <t>balletsdetenerife@gmail.com</t>
  </si>
  <si>
    <t>666516698</t>
  </si>
  <si>
    <t>https://sites.google.com/view/ballets-de-tenerife-/home</t>
  </si>
  <si>
    <t>Clásica/Neoclásica, Contemporánea</t>
  </si>
  <si>
    <t>Iron Skulls Co – The Theatrical Breakin' Company</t>
  </si>
  <si>
    <t>contacto@ironskulls.es</t>
  </si>
  <si>
    <t>635767642</t>
  </si>
  <si>
    <t>https://ironskulls.es/</t>
  </si>
  <si>
    <t>AndanZas</t>
  </si>
  <si>
    <t>produccion@atalaya-tnt.com</t>
  </si>
  <si>
    <t>954950376</t>
  </si>
  <si>
    <t>http://www.atalaya-tnt.com/</t>
  </si>
  <si>
    <t>Danza teatro, Flamenco</t>
  </si>
  <si>
    <t>ELVI BALBOA</t>
  </si>
  <si>
    <t>elvibalboacia@gmail.com</t>
  </si>
  <si>
    <t>670324463</t>
  </si>
  <si>
    <t>La Basal</t>
  </si>
  <si>
    <t>labasal.labasal@gmail.com</t>
  </si>
  <si>
    <t>646747433</t>
  </si>
  <si>
    <t>https://www.labasal.com</t>
  </si>
  <si>
    <t>Contemporánea, Danza Española</t>
  </si>
  <si>
    <t>caraBdanza</t>
  </si>
  <si>
    <t>ciacarabdanza@gmail.com</t>
  </si>
  <si>
    <t>634979515</t>
  </si>
  <si>
    <t>http://www.carabdanza.com</t>
  </si>
  <si>
    <t>LULA AMIR</t>
  </si>
  <si>
    <t>lulamirdanza@gmail.com</t>
  </si>
  <si>
    <t>605672355</t>
  </si>
  <si>
    <t>https://lulamir.com/</t>
  </si>
  <si>
    <t>EnbeDanza</t>
  </si>
  <si>
    <t>enbedanzateatro@gmail.com</t>
  </si>
  <si>
    <t>608100298</t>
  </si>
  <si>
    <t>http://www.artediversidad.org</t>
  </si>
  <si>
    <t>JANET NOVÁS</t>
  </si>
  <si>
    <t>INFO@JANETNOVAS.COM</t>
  </si>
  <si>
    <t>915278696</t>
  </si>
  <si>
    <t>http://WWW.JANETNOVAS.COM</t>
  </si>
  <si>
    <t>La petita malumaluga</t>
  </si>
  <si>
    <t>albert@lapetita.cat</t>
  </si>
  <si>
    <t>930250879</t>
  </si>
  <si>
    <t>http://www.lapetita.cat</t>
  </si>
  <si>
    <t>C-Art Dance</t>
  </si>
  <si>
    <t>carolina@c-art.dance</t>
  </si>
  <si>
    <t>https://c-art.dance</t>
  </si>
  <si>
    <t>Greta&amp;Anna</t>
  </si>
  <si>
    <t>gretagarciajonsson@gmail.com</t>
  </si>
  <si>
    <t>649318945</t>
  </si>
  <si>
    <t>Emiliana Battista Marino</t>
  </si>
  <si>
    <t>emilianabattistamarino@gmail.com</t>
  </si>
  <si>
    <t>644229691</t>
  </si>
  <si>
    <t>LA QUEBRÁ</t>
  </si>
  <si>
    <t>distribucionlaquebra@gmail.com</t>
  </si>
  <si>
    <t>615660607</t>
  </si>
  <si>
    <t>https://laquebra.com/</t>
  </si>
  <si>
    <t>Larumbe Danza</t>
  </si>
  <si>
    <t>promocion@larumbedanza.com</t>
  </si>
  <si>
    <t>http://www.larumbedanza.com/</t>
  </si>
  <si>
    <t>Barcelona Flamenco Ballet</t>
  </si>
  <si>
    <t>info@barcelonaflamencoballet.com</t>
  </si>
  <si>
    <t>637164147</t>
  </si>
  <si>
    <t>https://www.barcelonaflamencoballet.com</t>
  </si>
  <si>
    <t>Danza Española, Flamenco</t>
  </si>
  <si>
    <t>La Coja Dansa</t>
  </si>
  <si>
    <t>santi.lacojadanza@gmail.com</t>
  </si>
  <si>
    <t>669514173</t>
  </si>
  <si>
    <t>http://www.lacojadanza.com</t>
  </si>
  <si>
    <t>Asociacion BETA PUBLICA</t>
  </si>
  <si>
    <t>administracion@betapublica.org</t>
  </si>
  <si>
    <t>609199700</t>
  </si>
  <si>
    <t>CobosMika Company</t>
  </si>
  <si>
    <t>info@cobosmika.com</t>
  </si>
  <si>
    <t>972196985</t>
  </si>
  <si>
    <t>http://www.cobosmika.com</t>
  </si>
  <si>
    <t>CÍA. IBÉRICA DE DANZA</t>
  </si>
  <si>
    <t>violeta@ibericadedanza.com</t>
  </si>
  <si>
    <t>http://www.ibericadedanza.com/</t>
  </si>
  <si>
    <t>Danza Española, Danza teatro, Flamenco, Folk/Neo Folk</t>
  </si>
  <si>
    <t>ARACALADANZA</t>
  </si>
  <si>
    <t>itziar@aracaladanza.com</t>
  </si>
  <si>
    <t>http://www.aracaladanza.com</t>
  </si>
  <si>
    <t>Eva Guerrero</t>
  </si>
  <si>
    <t>evaguerrero@dooscolectivo.es</t>
  </si>
  <si>
    <t>649110226</t>
  </si>
  <si>
    <t>https://dooscolectivo.es/evaguerrero/</t>
  </si>
  <si>
    <t>Compañía Fresas Con Nata</t>
  </si>
  <si>
    <t>fresasconnatacrew@gmail.com</t>
  </si>
  <si>
    <t>659977240</t>
  </si>
  <si>
    <t>https://fresasconnatacrew.es/espectaculos/</t>
  </si>
  <si>
    <t>LAD Laboratorio Artístico de Danza</t>
  </si>
  <si>
    <t>ladanzamurcia@gmail.com</t>
  </si>
  <si>
    <t>http://www.ladanza.eu</t>
  </si>
  <si>
    <t>Kernel Dance Theatre</t>
  </si>
  <si>
    <t>junyi.sun@kerneldt.com</t>
  </si>
  <si>
    <t>603630472</t>
  </si>
  <si>
    <t>https://www.kerneldt.com/</t>
  </si>
  <si>
    <t>Led Silhouette</t>
  </si>
  <si>
    <t>ledsilhouetteproduccion@gmail.com</t>
  </si>
  <si>
    <t>625218069</t>
  </si>
  <si>
    <t>https://www.ledsilhouette.com/</t>
  </si>
  <si>
    <t>LOSDEDAE</t>
  </si>
  <si>
    <t>+34 654859733</t>
  </si>
  <si>
    <t>http://www.losdedae.com/</t>
  </si>
  <si>
    <t>Mar Garcia i Javi Soler</t>
  </si>
  <si>
    <t>margarciaijavisoler@gmail.com</t>
  </si>
  <si>
    <t>662000158</t>
  </si>
  <si>
    <t>Bikini.Ducc</t>
  </si>
  <si>
    <t>bikiniducc@gmail.com</t>
  </si>
  <si>
    <t>http://bikiniducc.blogspot.com.es/</t>
  </si>
  <si>
    <t>Dani Pannullo Dancetheatre Co</t>
  </si>
  <si>
    <t>management@danipannullo.com</t>
  </si>
  <si>
    <t>http://www.danipannullo.com/</t>
  </si>
  <si>
    <t>Matteo Mascolo</t>
  </si>
  <si>
    <t>info@matteomascolo.com</t>
  </si>
  <si>
    <t>+39 3466272811</t>
  </si>
  <si>
    <t>https://es.matteomascolo.com</t>
  </si>
  <si>
    <t>Compañia Antonio Ruz</t>
  </si>
  <si>
    <t>ciaantonioruz@gmail.com</t>
  </si>
  <si>
    <t>+34 605310434</t>
  </si>
  <si>
    <t>http://www.antonioruz.com</t>
  </si>
  <si>
    <t>Irene Cantero Sanz</t>
  </si>
  <si>
    <t>irenecantero@gmail.com</t>
  </si>
  <si>
    <t>http://www.irenecantero.com</t>
  </si>
  <si>
    <t>2Proposiciones danza-teatro / Raquel Madrid</t>
  </si>
  <si>
    <t>info@dosproposiciones.es</t>
  </si>
  <si>
    <t>http://www.dosproposiciones.es</t>
  </si>
  <si>
    <t>Fueradeleje</t>
  </si>
  <si>
    <t>fueradeleje@hotmail.com</t>
  </si>
  <si>
    <t>http://www.fueradeleje.com</t>
  </si>
  <si>
    <t>Compañía Sharon Fridman</t>
  </si>
  <si>
    <t>lolaortizdelanzagorta@gmail.com</t>
  </si>
  <si>
    <t>635884593</t>
  </si>
  <si>
    <t>http://www.sharon-fridman.com</t>
  </si>
  <si>
    <t>Compañía de Danza Inclusiva A Nuestro Ritmo</t>
  </si>
  <si>
    <t>isabelolavide@gmail.com</t>
  </si>
  <si>
    <t>609056262</t>
  </si>
  <si>
    <t>http://www.isabelolavideflamenco.com</t>
  </si>
  <si>
    <t>Hermanas Gestring</t>
  </si>
  <si>
    <t>marjoriegestring@gmail.com</t>
  </si>
  <si>
    <t>http://www.hermanasgestring.com/</t>
  </si>
  <si>
    <t>Maria M. Cabeza de Vaca</t>
  </si>
  <si>
    <t>trans-forma@trans-forma.es</t>
  </si>
  <si>
    <t>954374679</t>
  </si>
  <si>
    <t>http://trans-forma.es</t>
  </si>
  <si>
    <t>DANZO</t>
  </si>
  <si>
    <t>danzocdm@gmail.com</t>
  </si>
  <si>
    <t>696726714</t>
  </si>
  <si>
    <t>http://danzo.es</t>
  </si>
  <si>
    <t>Clásica/Neoclásica, Danza Española</t>
  </si>
  <si>
    <t>Cristina Hernández Cruz</t>
  </si>
  <si>
    <t>cristina.hdez.cruz.2009@gmail.com</t>
  </si>
  <si>
    <t>606396162</t>
  </si>
  <si>
    <t>Danza teatro, Experimental</t>
  </si>
  <si>
    <t>CIA LUCÍA NICOLÁS</t>
  </si>
  <si>
    <t>d.esp.lucianicolas@gmail.com</t>
  </si>
  <si>
    <t>689179381</t>
  </si>
  <si>
    <t>Danza Española, Experimental</t>
  </si>
  <si>
    <t>Ambae Company</t>
  </si>
  <si>
    <t>ambae.contact@gmail.com</t>
  </si>
  <si>
    <t>+34 652 89 00 72</t>
  </si>
  <si>
    <t>https://ambaecompany.com/</t>
  </si>
  <si>
    <t>Josué Espino</t>
  </si>
  <si>
    <t>josue_ingenio@hotmail.com</t>
  </si>
  <si>
    <t>Compañía Engranaje</t>
  </si>
  <si>
    <t>paulinafornes@gmail.com</t>
  </si>
  <si>
    <t>+34655224861</t>
  </si>
  <si>
    <t>Contemporánea, Danza teatro, Flamenco</t>
  </si>
  <si>
    <t>JAVIER MARTIN</t>
  </si>
  <si>
    <t>oficina@javiermartin.gal</t>
  </si>
  <si>
    <t>http://javiermartin.gal/artesdelmovimiento/teorema.html</t>
  </si>
  <si>
    <t>664159131</t>
  </si>
  <si>
    <t>CORPO LIMINAL</t>
  </si>
  <si>
    <t>corpoliminal@gmail.com</t>
  </si>
  <si>
    <t>https://www.corpoliminal.com</t>
  </si>
  <si>
    <t>Compañía Mercedes de Córdoba</t>
  </si>
  <si>
    <t>info@mercedesdecordoba.com</t>
  </si>
  <si>
    <t>+ 34 605858371</t>
  </si>
  <si>
    <t>http://www.mercedesdecordoba.com</t>
  </si>
  <si>
    <t>Meraki Cía.</t>
  </si>
  <si>
    <t>684626691</t>
  </si>
  <si>
    <t>http://www.merakicia.com</t>
  </si>
  <si>
    <t>MARILÓ MOLINA / LUISMA SORIANO</t>
  </si>
  <si>
    <t>marilomolina@gmail.com</t>
  </si>
  <si>
    <t>667686129</t>
  </si>
  <si>
    <t>Cía. Daniel Abreu</t>
  </si>
  <si>
    <t>ciadanielabreu@gmail.com</t>
  </si>
  <si>
    <t>650981539</t>
  </si>
  <si>
    <t>http://www.danielabreu.com</t>
  </si>
  <si>
    <t>María Jesús de los Reyes Manzano</t>
  </si>
  <si>
    <t>mjdelosreyesmanzano@gmail.com</t>
  </si>
  <si>
    <t>http://mariajesusdelosreyesmanzano.blogspot.com/</t>
  </si>
  <si>
    <t>mymadder</t>
  </si>
  <si>
    <t>info@mymadder.com</t>
  </si>
  <si>
    <t>661815866</t>
  </si>
  <si>
    <t>https://mymadder.com/</t>
  </si>
  <si>
    <t>Contemporánea, Danza urbana, Experimental</t>
  </si>
  <si>
    <t>NATALIA MEDINA COMPAÑÍA DE DANZA</t>
  </si>
  <si>
    <t>produccion@quetalestas.es</t>
  </si>
  <si>
    <t>928369004</t>
  </si>
  <si>
    <t>http://www.quetalestas.es</t>
  </si>
  <si>
    <t>Mari Paula</t>
  </si>
  <si>
    <t>raqueljimenezsola@gmail.com</t>
  </si>
  <si>
    <t>+34 690 15 96 92</t>
  </si>
  <si>
    <t>https://www.maripaula.com/</t>
  </si>
  <si>
    <t>Estévez/Paños Y Compañía</t>
  </si>
  <si>
    <t>contact@auroralimburg.com</t>
  </si>
  <si>
    <t>+34 636 50 90 52</t>
  </si>
  <si>
    <t>https://www.auroralimburg.com/#/la-confluencia</t>
  </si>
  <si>
    <t>Colectivo BanKora</t>
  </si>
  <si>
    <t>contacto@colectivobankora.com</t>
  </si>
  <si>
    <t>605020660</t>
  </si>
  <si>
    <t>https://colectivobankora.com</t>
  </si>
  <si>
    <t>Celia Reyes</t>
  </si>
  <si>
    <t>reyesburgos.celia@gmail.com</t>
  </si>
  <si>
    <t>Cía. Aïda Colmenero Dïaz</t>
  </si>
  <si>
    <t>hola@africamoment.org</t>
  </si>
  <si>
    <t>616994509</t>
  </si>
  <si>
    <t>http://www.africamoment.org</t>
  </si>
  <si>
    <t>SILENCIODANZA</t>
  </si>
  <si>
    <t>info@nievesrosales.com</t>
  </si>
  <si>
    <t>654815424</t>
  </si>
  <si>
    <t>contacto@paulaquintana.com</t>
  </si>
  <si>
    <t>0034 617 145 705</t>
  </si>
  <si>
    <t>http://www.paulaquintana.com</t>
  </si>
  <si>
    <t>Ana Rando Compañía de Danza</t>
  </si>
  <si>
    <t>anarando.ciadedanza@gmail.com</t>
  </si>
  <si>
    <t>661068498</t>
  </si>
  <si>
    <t>https://www.anarando.com/</t>
  </si>
  <si>
    <t>ciafernandohurtado@gmail.com</t>
  </si>
  <si>
    <t>633305576</t>
  </si>
  <si>
    <t>http://www.ciafernandohurtado.com</t>
  </si>
  <si>
    <t>la mínima</t>
  </si>
  <si>
    <t>laminimadanza@gmail.com</t>
  </si>
  <si>
    <t>639465685</t>
  </si>
  <si>
    <t>http://www.laminima.com</t>
  </si>
  <si>
    <t>OTRADANZA</t>
  </si>
  <si>
    <t>info@otradanza.es</t>
  </si>
  <si>
    <t>http://otradanza.es</t>
  </si>
  <si>
    <t>Metamorphosis Dance</t>
  </si>
  <si>
    <t>metamorphosis@danzasdelmundo.com</t>
  </si>
  <si>
    <t>https://www.metamorphosiswebpage.com/</t>
  </si>
  <si>
    <t>La Guajira</t>
  </si>
  <si>
    <t>laguajira523@gmail.com</t>
  </si>
  <si>
    <t>+34 650681556</t>
  </si>
  <si>
    <t>https://laguajiradanza.com/</t>
  </si>
  <si>
    <t>Cia Mariantònia Oliver</t>
  </si>
  <si>
    <t>oficina@mariantoniaoliver.net</t>
  </si>
  <si>
    <t>971106468</t>
  </si>
  <si>
    <t>http://www.mariantoniaoliver.net</t>
  </si>
  <si>
    <t>Luz Arcas / La Phármaco</t>
  </si>
  <si>
    <t>coordinacion.lapharmaco@gmail.com</t>
  </si>
  <si>
    <t>658936146</t>
  </si>
  <si>
    <t>https://www.lapharmaco.com/morphine/</t>
  </si>
  <si>
    <t>Elephant in the Black Box Dance Company</t>
  </si>
  <si>
    <t>ebbcomunicacion@gmail.com</t>
  </si>
  <si>
    <t>+34 657601357</t>
  </si>
  <si>
    <t>http://www.ebbcompany.com/</t>
  </si>
  <si>
    <t>Salud López</t>
  </si>
  <si>
    <t>slddocumenta@gmail.com</t>
  </si>
  <si>
    <t>679536966</t>
  </si>
  <si>
    <t>https://laboratoriosld.wordpress.com/</t>
  </si>
  <si>
    <t>LaMona Danza</t>
  </si>
  <si>
    <t>lamonadanza@gmail.com</t>
  </si>
  <si>
    <t>626596370</t>
  </si>
  <si>
    <t>https://lamonadanza.com/</t>
  </si>
  <si>
    <t>Marina Mascarell</t>
  </si>
  <si>
    <t>marinamascarell@hotmail.com</t>
  </si>
  <si>
    <t>+31614237906</t>
  </si>
  <si>
    <t>http://marinamascarell.com</t>
  </si>
  <si>
    <t>RaulDuran Compañía de Danza</t>
  </si>
  <si>
    <t>raulduranciadedanza@gmail.com</t>
  </si>
  <si>
    <t>https://raulduranciadanza.es/poder-y-perdon/</t>
  </si>
  <si>
    <t>EnClaveDANZA</t>
  </si>
  <si>
    <t>enclavedanza@gmail.com</t>
  </si>
  <si>
    <t>https://coordenadasfest.es/</t>
  </si>
  <si>
    <t>Mª del Mar Suárez La chachi</t>
  </si>
  <si>
    <t>distribuciondactuantes@gmail.com</t>
  </si>
  <si>
    <t>0034 690 006 869</t>
  </si>
  <si>
    <t>http://lachachi.net</t>
  </si>
  <si>
    <t>Elías Aguirre</t>
  </si>
  <si>
    <t>eliasaguirreimber@gmail.com</t>
  </si>
  <si>
    <t>686491840</t>
  </si>
  <si>
    <t>http://www.eliasaguirre.es</t>
  </si>
  <si>
    <t>Sandra Kramerová</t>
  </si>
  <si>
    <t>sandra.kramerovaworks@gmail.com</t>
  </si>
  <si>
    <t>611810918</t>
  </si>
  <si>
    <t>https://www.sandrakramerova.com/</t>
  </si>
  <si>
    <t>Violeta Iriberri</t>
  </si>
  <si>
    <t>violetairiberri@gmail.com</t>
  </si>
  <si>
    <t>http://www.violetairiberri.com</t>
  </si>
  <si>
    <t>CAMINANTES DANZA</t>
  </si>
  <si>
    <t>info@caminantesdanza.com</t>
  </si>
  <si>
    <t>627815358</t>
  </si>
  <si>
    <t>http://www.caminantesdanza.com</t>
  </si>
  <si>
    <t>ALTERACIONES Danza-Teatro Inclusivo</t>
  </si>
  <si>
    <t>quilesantonio@gmail.com</t>
  </si>
  <si>
    <t>https://alteracionesdanzateatro.com/</t>
  </si>
  <si>
    <t>Richard Mascherin</t>
  </si>
  <si>
    <t>richardmascherin@gmail.com</t>
  </si>
  <si>
    <t>https://richardmascherin.com/</t>
  </si>
  <si>
    <t>KOR'SIA</t>
  </si>
  <si>
    <t>korsia@kor-sia.com</t>
  </si>
  <si>
    <t>0034 622225386</t>
  </si>
  <si>
    <t>http://www.kor-sia.com</t>
  </si>
  <si>
    <t>Begoña Quiñones &amp; Verónica Garzón</t>
  </si>
  <si>
    <t>beqveg@gmail.com</t>
  </si>
  <si>
    <t>https://beqveg.wordpress.com/</t>
  </si>
  <si>
    <t>manuela barrero dlcAos</t>
  </si>
  <si>
    <t>barrero.manuela@gmail.com</t>
  </si>
  <si>
    <t>659002538</t>
  </si>
  <si>
    <t>Compañía La piel</t>
  </si>
  <si>
    <t>lapeldanza@gmail.com</t>
  </si>
  <si>
    <t>680666815</t>
  </si>
  <si>
    <t>https://lapieldanza.com/</t>
  </si>
  <si>
    <t>Tejido Conectivo</t>
  </si>
  <si>
    <t>miguelangelpunzano@gmail.com</t>
  </si>
  <si>
    <t>640245225</t>
  </si>
  <si>
    <t>https://www.tejidoconectivo.com/</t>
  </si>
  <si>
    <t>BABIRUSA DANZA</t>
  </si>
  <si>
    <t>ines@impulsarts.com</t>
  </si>
  <si>
    <t>+34 667 95 15 51</t>
  </si>
  <si>
    <t>http://www.babirusadanza.com</t>
  </si>
  <si>
    <t>PEINETA PRODUCCIONES</t>
  </si>
  <si>
    <t>anacarrasco@peinetaproducciones.com</t>
  </si>
  <si>
    <t>687048256</t>
  </si>
  <si>
    <t>http://www.peinetaproducciones.com</t>
  </si>
  <si>
    <t>Compás Modular</t>
  </si>
  <si>
    <t>compasmodularcia@gmail.com</t>
  </si>
  <si>
    <t>635252926</t>
  </si>
  <si>
    <t>Paula Serrano</t>
  </si>
  <si>
    <t>info@serranopaula.com</t>
  </si>
  <si>
    <t>+34 664351223</t>
  </si>
  <si>
    <t>http://www.serranopaula.com</t>
  </si>
  <si>
    <t>La Siamesa</t>
  </si>
  <si>
    <t>lasiamesa.cia@gmail.com</t>
  </si>
  <si>
    <t>https://lasiamesa.wordpress.com/</t>
  </si>
  <si>
    <t>SARA JIMÉNEZ en Compañía</t>
  </si>
  <si>
    <t>pablo@serendipiaglobal.com</t>
  </si>
  <si>
    <t>+34 619 45 91 94</t>
  </si>
  <si>
    <t>COMPAÑÍA ANTONIO GADES</t>
  </si>
  <si>
    <t>compania@antoniogades.com</t>
  </si>
  <si>
    <t>+34 915 210 714</t>
  </si>
  <si>
    <t>http://www.antoniogades.com</t>
  </si>
  <si>
    <t>Reinaldo Ribeiro</t>
  </si>
  <si>
    <t>hola@reinaldoribeiro.eu</t>
  </si>
  <si>
    <t>http://www.reinaldoribeiro.eu</t>
  </si>
  <si>
    <t>distribucion@danzamobile.es</t>
  </si>
  <si>
    <t>+34 955 232 592</t>
  </si>
  <si>
    <t>http://www.ciadanzamobile.com/</t>
  </si>
  <si>
    <t>INcubo Teatro</t>
  </si>
  <si>
    <t>arturoparrilla@hotmail.com</t>
  </si>
  <si>
    <t>+34 677 79 32 65</t>
  </si>
  <si>
    <t>http://incuboteatro.weebly.com/</t>
  </si>
  <si>
    <t>Sara Calero</t>
  </si>
  <si>
    <t>elena@esmanagement.es</t>
  </si>
  <si>
    <t>0034666203137</t>
  </si>
  <si>
    <t>https://www.saracalero.com</t>
  </si>
  <si>
    <t>Colectivo Glovo</t>
  </si>
  <si>
    <t>colectivoglovo@gmail.com</t>
  </si>
  <si>
    <t>http://www.colectivoglovo.com</t>
  </si>
  <si>
    <t>Manuela Nogales Danza</t>
  </si>
  <si>
    <t>nogales_manuela@hotmail.com</t>
  </si>
  <si>
    <t>Dinamo Danza</t>
  </si>
  <si>
    <t>dinamodanza@gmail.com</t>
  </si>
  <si>
    <t>633436455</t>
  </si>
  <si>
    <t>http://www.dinamodanza.com</t>
  </si>
  <si>
    <t>MARCAT DANCE</t>
  </si>
  <si>
    <t>info@marcatdance.com</t>
  </si>
  <si>
    <t>+34 654 030 355</t>
  </si>
  <si>
    <t>https://www.marcatdance.com/</t>
  </si>
  <si>
    <t>La Casquería</t>
  </si>
  <si>
    <t>lacasqueria@yahoo.es</t>
  </si>
  <si>
    <t>+ 34 687 5956 66</t>
  </si>
  <si>
    <t>Melisa Calero</t>
  </si>
  <si>
    <t>melisacaleromorales@gmail.com</t>
  </si>
  <si>
    <t>676788293</t>
  </si>
  <si>
    <t>https://www.taconesmanoli.com/</t>
  </si>
  <si>
    <t>Contemporánea, Danza teatro, Experimental, Flamenco</t>
  </si>
  <si>
    <t>DANTZAZ</t>
  </si>
  <si>
    <t>dantzaz@dantzaz.eus</t>
  </si>
  <si>
    <t>943021136</t>
  </si>
  <si>
    <t>http://www.dantzaz.eus</t>
  </si>
  <si>
    <t>COMPAÑIA FLAMENCA ROCIO POZO</t>
  </si>
  <si>
    <t>adelardo.dorado@flamencorociopozo.com</t>
  </si>
  <si>
    <t>615668516</t>
  </si>
  <si>
    <t>https://flamencorociopozo.com/</t>
  </si>
  <si>
    <t>BAAL (Catalina Carrasco &amp; Gaspar Morey)</t>
  </si>
  <si>
    <t>baal@baal.cat</t>
  </si>
  <si>
    <t>+34 678 779 398</t>
  </si>
  <si>
    <t>http://www.baal.cat</t>
  </si>
  <si>
    <t>Cristina Gómez</t>
  </si>
  <si>
    <t>info@cristinagodance.com</t>
  </si>
  <si>
    <t>607683958</t>
  </si>
  <si>
    <t>https://cristinagodance.com/</t>
  </si>
  <si>
    <t>Compañía Lucía Álvarez La Piñona</t>
  </si>
  <si>
    <t>mtnaranjoproducciones@gmail.com</t>
  </si>
  <si>
    <t>+34 647720579</t>
  </si>
  <si>
    <t>http://www.luciaalvarezlapinona.com</t>
  </si>
  <si>
    <t>Lucía Vázquez Madrid</t>
  </si>
  <si>
    <t>info@luciavazquezmadrid.com</t>
  </si>
  <si>
    <t>http://luciavazquezmadrid.com</t>
  </si>
  <si>
    <t>NOVA GALEGA DE DANZA</t>
  </si>
  <si>
    <t>info@novagalegadedanza.com</t>
  </si>
  <si>
    <t>881895647</t>
  </si>
  <si>
    <t>https://novagalegadedanza.com/</t>
  </si>
  <si>
    <t>Contemporánea, Folk/Neo Folk</t>
  </si>
  <si>
    <t>La Pícara Cía.</t>
  </si>
  <si>
    <t>http://www.lapicaraflamenca.com</t>
  </si>
  <si>
    <t>ÁLVARO SILVAG.</t>
  </si>
  <si>
    <t>asilvagome@gmail.com</t>
  </si>
  <si>
    <t>697347087</t>
  </si>
  <si>
    <t>922290578</t>
  </si>
  <si>
    <t>http://elteatrovictoria.com/cia-nomada/</t>
  </si>
  <si>
    <t>Cia Marco Flores</t>
  </si>
  <si>
    <t>miquel@ciamarcoflores.com</t>
  </si>
  <si>
    <t>http://www.ciamarcoflores.com</t>
  </si>
  <si>
    <t>Rajatabla Danza</t>
  </si>
  <si>
    <t>rajatabladanza@gmail.com</t>
  </si>
  <si>
    <t>+34 644165556</t>
  </si>
  <si>
    <t>http://rajatabladanza.com</t>
  </si>
  <si>
    <t>esther martínez danza</t>
  </si>
  <si>
    <t>esmagonrojas@gmail.com</t>
  </si>
  <si>
    <t>+34 605020660</t>
  </si>
  <si>
    <t>Duo2Arts</t>
  </si>
  <si>
    <t>info@duo2arts.com</t>
  </si>
  <si>
    <t>635558914</t>
  </si>
  <si>
    <t>https://www.duo2arts.com</t>
  </si>
  <si>
    <t>MAY DEL PILAR</t>
  </si>
  <si>
    <t>danzarinamay@gmail.com</t>
  </si>
  <si>
    <t>633206836</t>
  </si>
  <si>
    <t>https://www.maydelpilar.com/</t>
  </si>
  <si>
    <t>MERCEDES PEDROCHE</t>
  </si>
  <si>
    <t>info@mercedespedroche.com</t>
  </si>
  <si>
    <t>https://mercedespedroche.com/bio-extendida</t>
  </si>
  <si>
    <t>Cía. Horacio Macuacua</t>
  </si>
  <si>
    <t>Macuacuahori@gmail.com</t>
  </si>
  <si>
    <t>http://www.horaciomacuacua.com</t>
  </si>
  <si>
    <t>Pau Aran Gimeno</t>
  </si>
  <si>
    <t>jaume.nieto@imagin.art</t>
  </si>
  <si>
    <t>http://www.pauaran.com</t>
  </si>
  <si>
    <t>Ana F. Melero</t>
  </si>
  <si>
    <t>anafmelero@gmail.com</t>
  </si>
  <si>
    <t>670734004</t>
  </si>
  <si>
    <t>DA.TE DANZA</t>
  </si>
  <si>
    <t>datedanza@datedanza.es</t>
  </si>
  <si>
    <t>958 550 704</t>
  </si>
  <si>
    <t>http://www.datedanza.es</t>
  </si>
  <si>
    <t>Cía. Arnau Pérez</t>
  </si>
  <si>
    <t>arnaup22@gmail.com</t>
  </si>
  <si>
    <t>711726723</t>
  </si>
  <si>
    <t>https://www.arnauperez.com/</t>
  </si>
  <si>
    <t>Cía. AndreaCG</t>
  </si>
  <si>
    <t>andcarriongarcia@gmail.com</t>
  </si>
  <si>
    <t>https://andreacarriongarcia.com/</t>
  </si>
  <si>
    <t>la compañía – javier arozena</t>
  </si>
  <si>
    <t>https://www.javierarozenacia.com</t>
  </si>
  <si>
    <t>Rolando Salamé</t>
  </si>
  <si>
    <t>rolandosalame@yahoo.com</t>
  </si>
  <si>
    <t>630007004</t>
  </si>
  <si>
    <t>https://rolandosalame.wixsite.com/rolando-salame-actor</t>
  </si>
  <si>
    <t>Compañía Eszer</t>
  </si>
  <si>
    <t>cia.eszer@gmail.com</t>
  </si>
  <si>
    <t>+34 609874254</t>
  </si>
  <si>
    <t>SARA CANO COMPAÑÍA DE DANZA</t>
  </si>
  <si>
    <t>http://www.saracano.es</t>
  </si>
  <si>
    <t>Contemporánea, Danza Española, Experimental</t>
  </si>
  <si>
    <t>Poliana Lima</t>
  </si>
  <si>
    <t>info@polianalima.com</t>
  </si>
  <si>
    <t>607244429</t>
  </si>
  <si>
    <t>http://www.polianalima.com</t>
  </si>
  <si>
    <t>Proyecto Pies Muertos/María J. Villar</t>
  </si>
  <si>
    <t>piesmuertos@gmail.com</t>
  </si>
  <si>
    <t>646395553</t>
  </si>
  <si>
    <t>http://www.proyectopiesmuertos.com</t>
  </si>
  <si>
    <t>HURyCAN</t>
  </si>
  <si>
    <t>hurycan.hurycan@gmail.com</t>
  </si>
  <si>
    <t>631770140</t>
  </si>
  <si>
    <t>http://www.hurycan.com</t>
  </si>
  <si>
    <t>Proyecto Larrua</t>
  </si>
  <si>
    <t>proyectolarrua@gmail.com</t>
  </si>
  <si>
    <t>634452872</t>
  </si>
  <si>
    <t>http://www.proyectolarrua.com</t>
  </si>
  <si>
    <t>IAN GARSIDE</t>
  </si>
  <si>
    <t>680251284</t>
  </si>
  <si>
    <t>https://www.peso-producciones.com/ian-garside</t>
  </si>
  <si>
    <t>SIL Producciones-Artes en movimiento</t>
  </si>
  <si>
    <t>mikelaristegui68@gmail.com</t>
  </si>
  <si>
    <t>https://www.silproducciones.es</t>
  </si>
  <si>
    <t>Inma Montalvo Cía</t>
  </si>
  <si>
    <t>inmamontalvo.cia@gmail.com</t>
  </si>
  <si>
    <t>+34627224651</t>
  </si>
  <si>
    <t>http://www.inmamontalvocia.com</t>
  </si>
  <si>
    <t>Taiat Dansa</t>
  </si>
  <si>
    <t>ana@taiatdansa.com</t>
  </si>
  <si>
    <t>963525348</t>
  </si>
  <si>
    <t>https://www.taiatdansa.com/la-compania/musica-original-caldo/</t>
  </si>
  <si>
    <t>Chantal Goudard</t>
  </si>
  <si>
    <t>Goudard</t>
  </si>
  <si>
    <t>630459781</t>
  </si>
  <si>
    <t>https://bcert.me/slvkzbvra</t>
  </si>
  <si>
    <t>Contemporánea, Danza vertical</t>
  </si>
  <si>
    <t>Cia danza María Mora</t>
  </si>
  <si>
    <t>carmen.guimar@gmail.com</t>
  </si>
  <si>
    <t>822257133</t>
  </si>
  <si>
    <t>http://www.ciadanzamariamora.com</t>
  </si>
  <si>
    <t>CienfuegosDanza</t>
  </si>
  <si>
    <t>jesusmascaros@gmail.com</t>
  </si>
  <si>
    <t>0034 649883959</t>
  </si>
  <si>
    <t>https://www.cienfuegosdanza.com/coreografias-choreographies/</t>
  </si>
  <si>
    <t>La Ballesta</t>
  </si>
  <si>
    <t>laballesta24@gmail.com</t>
  </si>
  <si>
    <t>+34613535494</t>
  </si>
  <si>
    <t>https://zaidaballesteros.com/</t>
  </si>
  <si>
    <t>INSTITUTO STOCOS</t>
  </si>
  <si>
    <t>acusmatrix@pablopalacio.com</t>
  </si>
  <si>
    <t>https://www.stocos.com</t>
  </si>
  <si>
    <t>lapetite.gr@gmail.com</t>
  </si>
  <si>
    <t>+ 34 647410628</t>
  </si>
  <si>
    <t>http://www.lapetiteproducciones.com</t>
  </si>
  <si>
    <t>Francisco Hidalgo Cía.</t>
  </si>
  <si>
    <t>cia@franciscohidalgo.com</t>
  </si>
  <si>
    <t>http://www.franciscohidalgo.com</t>
  </si>
  <si>
    <t>Cía David Segura</t>
  </si>
  <si>
    <t>danzaypsicologiasl@gmail.com</t>
  </si>
  <si>
    <t>952204687</t>
  </si>
  <si>
    <t>http://www.bydavidsegura.com</t>
  </si>
  <si>
    <t>Clásica/Neoclásica, Contemporánea, Danza teatro, Danza urbana</t>
  </si>
  <si>
    <t>Daniel Morales</t>
  </si>
  <si>
    <t>ciadanielmorales@gmail.com</t>
  </si>
  <si>
    <t>Helena Martín</t>
  </si>
  <si>
    <t>produccion@lafiguranta.com</t>
  </si>
  <si>
    <t>https://helenamartindancer.com/</t>
  </si>
  <si>
    <t>IKER KARRERA</t>
  </si>
  <si>
    <t>karreraiker@gmail.com</t>
  </si>
  <si>
    <t>Mopa</t>
  </si>
  <si>
    <t>mopa89@gmail.com</t>
  </si>
  <si>
    <t>954379559</t>
  </si>
  <si>
    <t>https://soyunamopa.jimdosite.com/</t>
  </si>
  <si>
    <t>Paloma Hurtado</t>
  </si>
  <si>
    <t>paloma.pieldearena@gmail.com</t>
  </si>
  <si>
    <t>619630446</t>
  </si>
  <si>
    <t>http://palomapieldearena.es/</t>
  </si>
  <si>
    <t>BEGOÑA QUIÑONES &amp; MAR RODRÍGUEZ</t>
  </si>
  <si>
    <t>fetch.rq@gmail.com</t>
  </si>
  <si>
    <t>+34637102320</t>
  </si>
  <si>
    <t>http://bq-mr.com/</t>
  </si>
  <si>
    <t>Les del Picnic</t>
  </si>
  <si>
    <t>jgodino.amoya@gmail.com</t>
  </si>
  <si>
    <t>687081043</t>
  </si>
  <si>
    <t>http://www.lesdelpicnic.com/</t>
  </si>
  <si>
    <t>La Clá</t>
  </si>
  <si>
    <t>cia.laclacontacto@gmail.com</t>
  </si>
  <si>
    <t>626318094</t>
  </si>
  <si>
    <t>http://cialacla.com/index.php?/-info-/</t>
  </si>
  <si>
    <t>Enraiza Danza</t>
  </si>
  <si>
    <t>enraiza.ac@gmail.com</t>
  </si>
  <si>
    <t>https://enraizaac.wixsite.com/enraiza--danza</t>
  </si>
  <si>
    <t>Ogmia / Eduardo Vallejo</t>
  </si>
  <si>
    <t>info@batboxproductions.com</t>
  </si>
  <si>
    <t>https://ogmia.net/es/eduardo-vallejo-pinto-es/</t>
  </si>
  <si>
    <t>Nesma Al-Andalus Danza</t>
  </si>
  <si>
    <t>contact@nesma.es</t>
  </si>
  <si>
    <t>+34637827887</t>
  </si>
  <si>
    <t>http://dance.nesma.es</t>
  </si>
  <si>
    <t>Folk/Neo Folk</t>
  </si>
  <si>
    <t>Compañía Violeta Borruel</t>
  </si>
  <si>
    <t>contacto@violetaborruel.com</t>
  </si>
  <si>
    <t>+34699785162</t>
  </si>
  <si>
    <t>https://www.violetaborruel.com/</t>
  </si>
  <si>
    <t>Provisional Danza</t>
  </si>
  <si>
    <t>info@provisionaldanza.com</t>
  </si>
  <si>
    <t>915256276</t>
  </si>
  <si>
    <t>https://www.provisionaldanza.com/</t>
  </si>
  <si>
    <t>Rosa Cerdo</t>
  </si>
  <si>
    <t>cerdorosacerdo@gmail.com</t>
  </si>
  <si>
    <t>619040666</t>
  </si>
  <si>
    <t>https://hagcore.bandcamp.com/</t>
  </si>
  <si>
    <t>EDUARDO GUERRERO</t>
  </si>
  <si>
    <t>oficina@eduardo-guerrero.com</t>
  </si>
  <si>
    <t>0034 669 952 291</t>
  </si>
  <si>
    <t>https://eduardo-guerrero.com/es_es/home/</t>
  </si>
  <si>
    <t>Juliana Reyes</t>
  </si>
  <si>
    <t>julireyes2016@gmail.com</t>
  </si>
  <si>
    <t>696378738</t>
  </si>
  <si>
    <t>https://www.opsisproducciones.com</t>
  </si>
  <si>
    <t>ANGEL DURAN</t>
  </si>
  <si>
    <t>production@angel-duran.com</t>
  </si>
  <si>
    <t>https://angel-duran.com/</t>
  </si>
  <si>
    <t>Son de Flamenco</t>
  </si>
  <si>
    <t>Sheila.izquierdo@yahoo.es</t>
  </si>
  <si>
    <t>Cía. Juan Berlanga</t>
  </si>
  <si>
    <t>berlangamartosjuan@gmail.com</t>
  </si>
  <si>
    <t>FLAMENCURÍA OBDULIA BUSTOS</t>
  </si>
  <si>
    <t>obduliabustos2015@gmail.com</t>
  </si>
  <si>
    <t>+34 637983564</t>
  </si>
  <si>
    <t>esmanagement</t>
  </si>
  <si>
    <t>http://www.esmanagement.es</t>
  </si>
  <si>
    <t>LA VERONAL</t>
  </si>
  <si>
    <t>produccion@laveronal.com</t>
  </si>
  <si>
    <t>http://www.laveronal.com</t>
  </si>
  <si>
    <t>CÍA. LA TARASCA</t>
  </si>
  <si>
    <t>+34 630 82 84 93</t>
  </si>
  <si>
    <t>http://www.cialatarasca.com</t>
  </si>
  <si>
    <t>LaCerda</t>
  </si>
  <si>
    <t>info@lacerda.es</t>
  </si>
  <si>
    <t>https://lacerda.es/</t>
  </si>
  <si>
    <t>Roser López Espinosa | LOWLAND</t>
  </si>
  <si>
    <t>produccio@roserlopez.com</t>
  </si>
  <si>
    <t>697555468</t>
  </si>
  <si>
    <t>http://www.roserlopez.com</t>
  </si>
  <si>
    <t>REA danza</t>
  </si>
  <si>
    <t>readanza@yahoo.es</t>
  </si>
  <si>
    <t>http://readanza.com</t>
  </si>
  <si>
    <t>Contemporánea, Danza teatro, Danza vertical, Experimental, Folk/Neo Folk</t>
  </si>
  <si>
    <t>Élida Dorta</t>
  </si>
  <si>
    <t>elidadorta@gmail.com</t>
  </si>
  <si>
    <t>623199316</t>
  </si>
  <si>
    <t>EntreDanza</t>
  </si>
  <si>
    <t>charofebles@hotmail.com</t>
  </si>
  <si>
    <t>https://youtu.be/tU7zSuCYjIA</t>
  </si>
  <si>
    <t>Clásica/Neoclásica</t>
  </si>
  <si>
    <t>Aleksandar Georgiev</t>
  </si>
  <si>
    <t>georgiev.4ace@gmail.com</t>
  </si>
  <si>
    <t>https://imaginativecc.info/</t>
  </si>
  <si>
    <t>Zig Zag Danza</t>
  </si>
  <si>
    <t>info@zigzagdanza.com</t>
  </si>
  <si>
    <t>985391133</t>
  </si>
  <si>
    <t>http://www.zigzagdanza.com</t>
  </si>
  <si>
    <t>Thomas Noone Dance</t>
  </si>
  <si>
    <t>admin@thomasnoonedance.com</t>
  </si>
  <si>
    <t>http://www.thomasnoonedance.com</t>
  </si>
  <si>
    <t>YINKA ESI GRAVES</t>
  </si>
  <si>
    <t>info@yinkaesigraves.com</t>
  </si>
  <si>
    <t>637818288</t>
  </si>
  <si>
    <t>http://www.yinkaesigraves.com</t>
  </si>
  <si>
    <t>Manuel Cañadas</t>
  </si>
  <si>
    <t>produccion@trans-forma.es</t>
  </si>
  <si>
    <t>http://www.mesdedanza.es/bailar-mi-barrio/</t>
  </si>
  <si>
    <t>Natalia Jiménez Gallardo</t>
  </si>
  <si>
    <t>nataliajiga@gmail.com</t>
  </si>
  <si>
    <t>699414050</t>
  </si>
  <si>
    <t>http://nataliajiga.weebly.com</t>
  </si>
  <si>
    <t>Lucia Montes &amp; Mado Dallery</t>
  </si>
  <si>
    <t>luciamontes.madodallery@gmail.com</t>
  </si>
  <si>
    <t>https://www.luciamontes-madodallery.com/</t>
  </si>
  <si>
    <t>Paula Quintas- Cía.</t>
  </si>
  <si>
    <t>info.paulaquintas@gmail.com</t>
  </si>
  <si>
    <t>http://www.paulaquintas.com</t>
  </si>
  <si>
    <t>Compañia residente del Centro Coreográfico de La Gomera</t>
  </si>
  <si>
    <t>922 87 00 90</t>
  </si>
  <si>
    <t>http://centrocoreograficoislagomera.com</t>
  </si>
  <si>
    <t>CREA DANCE COMPANY by MARÍA ROVIRA</t>
  </si>
  <si>
    <t>comercial@bastetarteycultura.es</t>
  </si>
  <si>
    <t>+ 34 6646053903</t>
  </si>
  <si>
    <t>http://www.bastetarteycultura.es</t>
  </si>
  <si>
    <t>Manuel Roldán</t>
  </si>
  <si>
    <t>Manuelroldan17@gmail.com</t>
  </si>
  <si>
    <t>+34 609347353</t>
  </si>
  <si>
    <t>Danza Española, Danza teatro, Flamenco</t>
  </si>
  <si>
    <t>Colectivo Premohs</t>
  </si>
  <si>
    <t>colectivo.premohs@gmail.com</t>
  </si>
  <si>
    <t>644563158</t>
  </si>
  <si>
    <t>http://www.colectivopremohs.art</t>
  </si>
  <si>
    <t>ART &amp; DANZA PROMOTIONS SL</t>
  </si>
  <si>
    <t>carmen@carmencantero.com</t>
  </si>
  <si>
    <t>+34 915340679</t>
  </si>
  <si>
    <t>http://www.artdanzaevents.como</t>
  </si>
  <si>
    <t>Compañía Lolailo Lanzarote</t>
  </si>
  <si>
    <t>lolailolanzarote@gmail.com</t>
  </si>
  <si>
    <t>+34669866744</t>
  </si>
  <si>
    <t>https://lolailolanzarote.wixsite.com/my-site-2</t>
  </si>
  <si>
    <t>Cía. Rita Clara</t>
  </si>
  <si>
    <t>jesus.rodriguez@ritaclara.com</t>
  </si>
  <si>
    <t>983611841</t>
  </si>
  <si>
    <t>Gloria Godínez</t>
  </si>
  <si>
    <t>proyectosgloriagodinez@gmail.com</t>
  </si>
  <si>
    <t>654 74 94 72</t>
  </si>
  <si>
    <t>https://lucurita.wixsite.com/gloriagodinez</t>
  </si>
  <si>
    <t>Experimental, Folk/Neo Folk</t>
  </si>
  <si>
    <t>Alberto Estébanez Rodríguez (CIDANZ Producciones y Joven Compañía de Danza)</t>
  </si>
  <si>
    <t>info@ciudaddeladanza.com</t>
  </si>
  <si>
    <t>947216522</t>
  </si>
  <si>
    <t>https://www.cidanz.es</t>
  </si>
  <si>
    <t>Paola T/ Colectivo Folkcorp Lab.</t>
  </si>
  <si>
    <t>paolat610@yahoo.es</t>
  </si>
  <si>
    <t>606630190</t>
  </si>
  <si>
    <t>http://fdeasfalto.wordpress.com/</t>
  </si>
  <si>
    <t>EYAS Dance Project</t>
  </si>
  <si>
    <t>eyasdanceproject@gmail.com</t>
  </si>
  <si>
    <t>+34653839556</t>
  </si>
  <si>
    <t>http://www.eyasdanceproject.com</t>
  </si>
  <si>
    <t>COMPAÑÍA ALBERTO SELLÉS</t>
  </si>
  <si>
    <t>sara@saradezza.com</t>
  </si>
  <si>
    <t>+34671610706</t>
  </si>
  <si>
    <t>https://saradezza.com</t>
  </si>
  <si>
    <t>Ángel Garcés</t>
  </si>
  <si>
    <t>angelalgarces@gmail.com</t>
  </si>
  <si>
    <t>http://angelgarces.com</t>
  </si>
  <si>
    <t>Ximena Carnevale Cía.</t>
  </si>
  <si>
    <t>ximena.carnevale.cia@gmail.com</t>
  </si>
  <si>
    <t>688316411</t>
  </si>
  <si>
    <t>ES.ARTE</t>
  </si>
  <si>
    <t>https://esarteycultura.com/project/diario-de-una-perdida/</t>
  </si>
  <si>
    <t>iXa</t>
  </si>
  <si>
    <t>martinezdemiguelx@gmail.com</t>
  </si>
  <si>
    <t>662299575</t>
  </si>
  <si>
    <t>Marina Miguélez – Dance Craft</t>
  </si>
  <si>
    <t>info@marinamiguelez.com</t>
  </si>
  <si>
    <t>http://www.marinamiguelez.com</t>
  </si>
  <si>
    <t>Reinier Alfonso</t>
  </si>
  <si>
    <t>reialfonsodance@gmail.com</t>
  </si>
  <si>
    <t>691772360</t>
  </si>
  <si>
    <t>Alejandro Lara Dance Project</t>
  </si>
  <si>
    <t>produccion@alejandrolaradanceproject.com</t>
  </si>
  <si>
    <t>EL JABLERO cía Danza</t>
  </si>
  <si>
    <t>info@gestionart-e.com</t>
  </si>
  <si>
    <t>606277756</t>
  </si>
  <si>
    <t>David Vento Dance Theater</t>
  </si>
  <si>
    <t>https://www.neonymus.com/es/musica/</t>
  </si>
  <si>
    <t>DANA RAZ DANCE PROJECTS</t>
  </si>
  <si>
    <t>produccion@danarazdanceprojects.com</t>
  </si>
  <si>
    <t>+34 678693133</t>
  </si>
  <si>
    <t>https://danarazdanceprojects.com/</t>
  </si>
  <si>
    <t>Mariana Collado &amp; Compañía</t>
  </si>
  <si>
    <t>marianacollado81@gmail.com</t>
  </si>
  <si>
    <t>686458914</t>
  </si>
  <si>
    <t>https://marianacollado.com/</t>
  </si>
  <si>
    <t>Celia Espadas</t>
  </si>
  <si>
    <t>celiaespadas97@gmail.com</t>
  </si>
  <si>
    <t>656431442</t>
  </si>
  <si>
    <t>ELENA CARRASCAL – ISABEL VÁZQUEZ</t>
  </si>
  <si>
    <t>elena@elenacarrascal.com</t>
  </si>
  <si>
    <t>954951293</t>
  </si>
  <si>
    <t>https://www.elenacarrascal.com</t>
  </si>
  <si>
    <t>Yoel Vargas</t>
  </si>
  <si>
    <t>info@yoelvargas.com</t>
  </si>
  <si>
    <t>675890001</t>
  </si>
  <si>
    <t>http://www.yoelvargas.com</t>
  </si>
  <si>
    <t>martaalonsotejada</t>
  </si>
  <si>
    <t>martaalonsotejada@gmail.com</t>
  </si>
  <si>
    <t>658782564</t>
  </si>
  <si>
    <t>https://www.martaalonsotejada.com/</t>
  </si>
  <si>
    <t>Milagros Galiano</t>
  </si>
  <si>
    <t>mila.galiano.rodriguez@gmail.com</t>
  </si>
  <si>
    <t>606197656</t>
  </si>
  <si>
    <t>https://www.milagrosgaliano.com/</t>
  </si>
  <si>
    <t>LA TAIMADA</t>
  </si>
  <si>
    <t>cia.lataimada@gmail.com</t>
  </si>
  <si>
    <t>605625131</t>
  </si>
  <si>
    <t>http://www.lataimada.com/</t>
  </si>
  <si>
    <t>Colectivo La Triangular</t>
  </si>
  <si>
    <t>colectivolatriangular@gmail.com</t>
  </si>
  <si>
    <t>665489704</t>
  </si>
  <si>
    <t>Yurena Ruiz</t>
  </si>
  <si>
    <t>yurenaruizbaez@gmail.com</t>
  </si>
  <si>
    <t>676150057</t>
  </si>
  <si>
    <t>Compañía Flamenco Inclusivo José Galán</t>
  </si>
  <si>
    <t>josegalan.cia@gmail.com</t>
  </si>
  <si>
    <t>657182816</t>
  </si>
  <si>
    <t>http://www.flamencoinclusivo.es</t>
  </si>
  <si>
    <t>Danza teatro, Experimental, Flamenco</t>
  </si>
  <si>
    <t>CMDANZA</t>
  </si>
  <si>
    <t>miguelangel@cmdanza.com</t>
  </si>
  <si>
    <t>http://www.cmdanza.com</t>
  </si>
  <si>
    <t>ZEN DEL SUR</t>
  </si>
  <si>
    <t>info@zendelsur.com</t>
  </si>
  <si>
    <t>657914279</t>
  </si>
  <si>
    <t>http://www.zendelsur.com/</t>
  </si>
  <si>
    <t>Contemporánea, Danza urbana, Flamenco</t>
  </si>
  <si>
    <t>Carmen Macías</t>
  </si>
  <si>
    <t>kar.glmh@gmail.com</t>
  </si>
  <si>
    <t>618034250</t>
  </si>
  <si>
    <t>Marco Vargas &amp; Chloé Brûlé</t>
  </si>
  <si>
    <t>marcovargas.chloebrule@gmail.com</t>
  </si>
  <si>
    <t>609530684</t>
  </si>
  <si>
    <t>http://www.marcovargas-chloebrule.net</t>
  </si>
  <si>
    <t>Darío Bardam</t>
  </si>
  <si>
    <t>dario.bardam@gmail.com</t>
  </si>
  <si>
    <t>http://laboratorioartesvivas.org/</t>
  </si>
  <si>
    <t>MoBBAA</t>
  </si>
  <si>
    <t>judit.mendoza@gmail.com</t>
  </si>
  <si>
    <t>http://www.mobbaa.com</t>
  </si>
  <si>
    <t>Laila Tafur</t>
  </si>
  <si>
    <t>lailatafur@gmail.com</t>
  </si>
  <si>
    <t>646614282</t>
  </si>
  <si>
    <t>contratacion@maskmusica.es</t>
  </si>
  <si>
    <t>958609611 / 673750935</t>
  </si>
  <si>
    <t>https://www.maskmusica.es</t>
  </si>
  <si>
    <t>Motril</t>
  </si>
  <si>
    <t>Danie Fernandez Manzano</t>
  </si>
  <si>
    <t>Distribuidora RedEscena</t>
  </si>
  <si>
    <t>20cero3events</t>
  </si>
  <si>
    <t>20cero3events@gmail.com</t>
  </si>
  <si>
    <t>Andorra la Vella</t>
  </si>
  <si>
    <t>Internacional</t>
  </si>
  <si>
    <t>Patty Maestre</t>
  </si>
  <si>
    <t>23 ARTS - BROTHERS PROJECTIONS</t>
  </si>
  <si>
    <t>info@23arts.com</t>
  </si>
  <si>
    <t>938480499 / 609401366</t>
  </si>
  <si>
    <t>http://www.23arts.com</t>
  </si>
  <si>
    <t>PALAUTORDERA</t>
  </si>
  <si>
    <t>JORDI FÀBREGAS VILÀ</t>
  </si>
  <si>
    <t>251 Gestió i Assessoria Cultural SL</t>
  </si>
  <si>
    <t>ateixido@251productions.org</t>
  </si>
  <si>
    <t>https://251productions.org/</t>
  </si>
  <si>
    <t>Aleix Teixidó</t>
  </si>
  <si>
    <t>2GIRAS ENTERTAINMENT</t>
  </si>
  <si>
    <t>bauti.martinez@2giras.com</t>
  </si>
  <si>
    <t>https://www.2giras.com</t>
  </si>
  <si>
    <t>Bauti Martínez</t>
  </si>
  <si>
    <t>2GIRAS MANAGEMENT</t>
  </si>
  <si>
    <t>raquel.lopez@2giras.com</t>
  </si>
  <si>
    <t>Raquel López</t>
  </si>
  <si>
    <t>3 Mujeres que...</t>
  </si>
  <si>
    <t>isabel@3mujeres.com</t>
  </si>
  <si>
    <t>91 2338554 / 619253388</t>
  </si>
  <si>
    <t>https://www.3mujeres.com</t>
  </si>
  <si>
    <t>A Priori Gestión Teatral</t>
  </si>
  <si>
    <t>apriorigt@apriorigt.com</t>
  </si>
  <si>
    <t>949 21 08 66 - 610 29 03 66</t>
  </si>
  <si>
    <t>http://www.apriorigt.com</t>
  </si>
  <si>
    <t>Joseba García</t>
  </si>
  <si>
    <t>a+, soluciones culturales</t>
  </si>
  <si>
    <t>ma.marchirant@a-mas.net</t>
  </si>
  <si>
    <t>616533805 - 616273496</t>
  </si>
  <si>
    <t>http://www.a-mas.net</t>
  </si>
  <si>
    <t>Mª Ángeles Marchirant Vila y Laura Marín Marchante</t>
  </si>
  <si>
    <t>A.R.C.A.</t>
  </si>
  <si>
    <t>fatima@altascapacidadesarca.org</t>
  </si>
  <si>
    <t>http://www.altascapacidadesarca.org</t>
  </si>
  <si>
    <t>Fátima Martí</t>
  </si>
  <si>
    <t>accion cultural producciones</t>
  </si>
  <si>
    <t>accionculturalproducciones@gmail.com</t>
  </si>
  <si>
    <t>burgos</t>
  </si>
  <si>
    <t>alberto diez blanco</t>
  </si>
  <si>
    <t>Achinech Productions</t>
  </si>
  <si>
    <t>farandula.comunicaciones@gmail.com</t>
  </si>
  <si>
    <t>1) + 34 616 022 471 / 2) +34 674 86 67 16</t>
  </si>
  <si>
    <t>https://achinechproductions.com</t>
  </si>
  <si>
    <t>Adeje</t>
  </si>
  <si>
    <t>Tenerife</t>
  </si>
  <si>
    <t>1) Laura Álvarez / 2) Fernando Bethencourt</t>
  </si>
  <si>
    <t>Actidea</t>
  </si>
  <si>
    <t>agueda.sanchez@actidea.com</t>
  </si>
  <si>
    <t>https://www.actidea.com</t>
  </si>
  <si>
    <t>Águeda Sánchez</t>
  </si>
  <si>
    <t>Actividades Culturales Unidas</t>
  </si>
  <si>
    <t>sona@ctv.es</t>
  </si>
  <si>
    <t>https://www.sona.grupouni2.com</t>
  </si>
  <si>
    <t>Alboraya</t>
  </si>
  <si>
    <t>José Soriano</t>
  </si>
  <si>
    <t>ACTURA ART GLOBAL</t>
  </si>
  <si>
    <t>artglobalspain@gmail.com</t>
  </si>
  <si>
    <t>Sofía Barroso</t>
  </si>
  <si>
    <t>Adagio Producciones, S.L.</t>
  </si>
  <si>
    <t>adagio@retemail.es</t>
  </si>
  <si>
    <t>91 531 18 66 610 409 576</t>
  </si>
  <si>
    <t>Torrelodones</t>
  </si>
  <si>
    <t>Adelaida Martinez</t>
  </si>
  <si>
    <t>adelaida290559@eresmas.net</t>
  </si>
  <si>
    <t>915478802 / 620828521</t>
  </si>
  <si>
    <t>Alejandra / Adelaida Mrtinez</t>
  </si>
  <si>
    <t>ADI Producciones</t>
  </si>
  <si>
    <t>adi@iproducciones.com</t>
  </si>
  <si>
    <t>96 3740287 609637272 687541711</t>
  </si>
  <si>
    <t>https://www.adiproducciones.com</t>
  </si>
  <si>
    <t>Oriol Caballé</t>
  </si>
  <si>
    <t>Africa Moment</t>
  </si>
  <si>
    <t>Gerard Casas</t>
  </si>
  <si>
    <t>Agadic (Axencia Galega das Industrias Culturais)</t>
  </si>
  <si>
    <t>prensa.agadic@xunta.es</t>
  </si>
  <si>
    <t>981 577 128</t>
  </si>
  <si>
    <t>https://www.agadic.info</t>
  </si>
  <si>
    <t>La Coruña / A Coruña</t>
  </si>
  <si>
    <t>Ana Rosales</t>
  </si>
  <si>
    <t>Agence Artistique Pablo Guzmán</t>
  </si>
  <si>
    <t>Pabguzman@aol.com</t>
  </si>
  <si>
    <t>https://www.agenceartistique.net</t>
  </si>
  <si>
    <t>Pablo Guzman</t>
  </si>
  <si>
    <t>AGENCIA ANDALUZA DE INSTITUCIONES CULTURALES</t>
  </si>
  <si>
    <t>distribucion.balletflamenco.aaiicc@juntadeandalucia.es</t>
  </si>
  <si>
    <t>Rafa Díaz Hoyos</t>
  </si>
  <si>
    <t>Meranges</t>
  </si>
  <si>
    <t>Gerona / Girona</t>
  </si>
  <si>
    <t>Agombola Serveis Culturals</t>
  </si>
  <si>
    <t>alba@agombola.com</t>
  </si>
  <si>
    <t>http://www.agombola.com/</t>
  </si>
  <si>
    <t>Granollers</t>
  </si>
  <si>
    <t>Alba Espinasa Galitó</t>
  </si>
  <si>
    <t>Alcantar</t>
  </si>
  <si>
    <t>alcantar2525@gmail.com</t>
  </si>
  <si>
    <t>680928279- 615962379</t>
  </si>
  <si>
    <t>EL CAMPELLO</t>
  </si>
  <si>
    <t>Jesús Cordón Arce</t>
  </si>
  <si>
    <t>Alejandra Giménez Chiscano</t>
  </si>
  <si>
    <t>trocolaespec@hotmail.com</t>
  </si>
  <si>
    <t>https://www.facebook.com/dansateatrealexandra.gimenezchiscano</t>
  </si>
  <si>
    <t>L'Ametlla de Mar</t>
  </si>
  <si>
    <t>Alejandra Giménez</t>
  </si>
  <si>
    <t>Alejandro Amengual</t>
  </si>
  <si>
    <t>alex@york.st</t>
  </si>
  <si>
    <t>902 40 40 88</t>
  </si>
  <si>
    <t>https://www.york.st</t>
  </si>
  <si>
    <t>Alejandro Colubi</t>
  </si>
  <si>
    <t>amparo@teatrosdemadrid.com</t>
  </si>
  <si>
    <t>https://www.teatrosdemadrid.com</t>
  </si>
  <si>
    <t>Alejandro Yuste</t>
  </si>
  <si>
    <t>lacasadelartedanza@gmail.com</t>
  </si>
  <si>
    <t>Alex Amengual</t>
  </si>
  <si>
    <t>Alex Duarte</t>
  </si>
  <si>
    <t>alexanderduarte64@hotmail.com</t>
  </si>
  <si>
    <t>ALFREDO MENENDEZ BARRAL</t>
  </si>
  <si>
    <t>amenendezbarral@hotmail.com</t>
  </si>
  <si>
    <t>Alfredo</t>
  </si>
  <si>
    <t>ALFREDO MENENDEZ DISTRIBUCIONES</t>
  </si>
  <si>
    <t>ALFREDO</t>
  </si>
  <si>
    <t>Algebarci, S.L.</t>
  </si>
  <si>
    <t>rodolfoalbero@wanadoo.es</t>
  </si>
  <si>
    <t>976253994 - 607976694</t>
  </si>
  <si>
    <t>http://www.jovencamerata.com</t>
  </si>
  <si>
    <t>Rodolfo Albero</t>
  </si>
  <si>
    <t>Alicia Cano</t>
  </si>
  <si>
    <t>aliciagcano.produccion@gmail.com</t>
  </si>
  <si>
    <t>All Roads lead to Barcelona</t>
  </si>
  <si>
    <t>judit@a2b-company.com</t>
  </si>
  <si>
    <t>https://www.a2b-company.com</t>
  </si>
  <si>
    <t>Judit Parés Aleu</t>
  </si>
  <si>
    <t>Agua Bach Artist Management</t>
  </si>
  <si>
    <t>aguabach@gmail.com</t>
  </si>
  <si>
    <t>Llançà</t>
  </si>
  <si>
    <t>Agua Bach</t>
  </si>
  <si>
    <t>Aina Pociello</t>
  </si>
  <si>
    <t>ainapociello@allaumanagement.com</t>
  </si>
  <si>
    <t>http://www.allaumanagement.com</t>
  </si>
  <si>
    <t>AIR Music Tour</t>
  </si>
  <si>
    <t>booking@airmusicgroup.es</t>
  </si>
  <si>
    <t>638951107/691303522</t>
  </si>
  <si>
    <t>Alberto López Martínez</t>
  </si>
  <si>
    <t>Aire Aire</t>
  </si>
  <si>
    <t>isabel@aireaire.com</t>
  </si>
  <si>
    <t>620-543668/ 676-076069</t>
  </si>
  <si>
    <t>https://www.aireaire.com</t>
  </si>
  <si>
    <t>Basauri</t>
  </si>
  <si>
    <t>Vizcaya / Bizkaia</t>
  </si>
  <si>
    <t>Isabel Lorente Pérez</t>
  </si>
  <si>
    <t>Aire de Música</t>
  </si>
  <si>
    <t>contratacion@airedemusica.com</t>
  </si>
  <si>
    <t>https://www.airedemusica.com</t>
  </si>
  <si>
    <t>JORGE MARTINEZ</t>
  </si>
  <si>
    <t>ALAMBIQUE DE IDEAS SL</t>
  </si>
  <si>
    <t>carolina.mirmidon@outlook.es</t>
  </si>
  <si>
    <t>CARBALLEDO</t>
  </si>
  <si>
    <t>MARIA JESUS SUÁREZ GARCÍA</t>
  </si>
  <si>
    <t>AlaPista</t>
  </si>
  <si>
    <t>info@alapista.com</t>
  </si>
  <si>
    <t>https://alapista.com/es/</t>
  </si>
  <si>
    <t>Silvia Compte Bustos</t>
  </si>
  <si>
    <t>Albert Suñé</t>
  </si>
  <si>
    <t>albertysamat@mixmail.com</t>
  </si>
  <si>
    <t>667 418 896</t>
  </si>
  <si>
    <t>Alberto Closas Producciones</t>
  </si>
  <si>
    <t>acproduciones@albertoclosas.com</t>
  </si>
  <si>
    <t>91 563 14 96</t>
  </si>
  <si>
    <t>Alberto de Andres Gamboa</t>
  </si>
  <si>
    <t>maestreproduct@eresmas.net</t>
  </si>
  <si>
    <t>91 5021392</t>
  </si>
  <si>
    <t>Eva Maestre</t>
  </si>
  <si>
    <t>Alberto Muyo Artes Escénicas Distribución</t>
  </si>
  <si>
    <t>http://www.muyoescena.com</t>
  </si>
  <si>
    <t>Alberto Muyo</t>
  </si>
  <si>
    <t>Alberto Otero</t>
  </si>
  <si>
    <t>hola@maximafusion.com</t>
  </si>
  <si>
    <t>https://www.maximafusion.com</t>
  </si>
  <si>
    <t>All'antica Musika</t>
  </si>
  <si>
    <t>allantica.musika@gmail.com</t>
  </si>
  <si>
    <t>http://allantica.org</t>
  </si>
  <si>
    <t>ALMORAÚ PRODUCCIONES</t>
  </si>
  <si>
    <t>beni@almorau.com</t>
  </si>
  <si>
    <t>http://www.almorau.com</t>
  </si>
  <si>
    <t>BENIGNO CENTELLA MORENO</t>
  </si>
  <si>
    <t>Alnilam Artistic Distribucio S,L</t>
  </si>
  <si>
    <t>enrictobe@gmail.com</t>
  </si>
  <si>
    <t>0034 608470932</t>
  </si>
  <si>
    <t>https://www.alnilam.net/espectaculos/</t>
  </si>
  <si>
    <t>Arbucies</t>
  </si>
  <si>
    <t>alnilam artistic distribucio sl</t>
  </si>
  <si>
    <t>https://www.alnilam.net</t>
  </si>
  <si>
    <t>ARBUCIES</t>
  </si>
  <si>
    <t>LUCIANA CORRIONERO</t>
  </si>
  <si>
    <t>Alojan</t>
  </si>
  <si>
    <t>piguel44@yahoo.es</t>
  </si>
  <si>
    <t>947215525 - 620920915</t>
  </si>
  <si>
    <t>https://www.alojan.org</t>
  </si>
  <si>
    <t>ALONSO PRODUCCIONES</t>
  </si>
  <si>
    <t>alonso.distribucion@gmail.com</t>
  </si>
  <si>
    <t>http://www.alonsoproducciones.es</t>
  </si>
  <si>
    <t>andújar</t>
  </si>
  <si>
    <t>Cristian Alonso</t>
  </si>
  <si>
    <t>Alquimia Produccions S.A.</t>
  </si>
  <si>
    <t>info@alquimiaproduccions.com</t>
  </si>
  <si>
    <t>https://www.alquimiaproduccions.com</t>
  </si>
  <si>
    <t>Alsur Prod. Musicales</t>
  </si>
  <si>
    <t>alsur_producciones@yahoo.es</t>
  </si>
  <si>
    <t>Marily o Pilar</t>
  </si>
  <si>
    <t>Alza producciones artísticas,s.l</t>
  </si>
  <si>
    <t>alzaprod@yahoo.es</t>
  </si>
  <si>
    <t>AMALGAMA</t>
  </si>
  <si>
    <t>mariodelacalle@amalgamagestionartistica.com</t>
  </si>
  <si>
    <t>https://www.amalgamagestionartistica.com</t>
  </si>
  <si>
    <t>Amalia Marín</t>
  </si>
  <si>
    <t>amalia.distribucion@gmail.com</t>
  </si>
  <si>
    <t>AMALIA TORRES SALGADO</t>
  </si>
  <si>
    <t>amaliaprisma@gmail.com</t>
  </si>
  <si>
    <t>Morata &amp; Asociados</t>
  </si>
  <si>
    <t>jl.morata@moratayasociados.com</t>
  </si>
  <si>
    <t>91-409.35.40 / 659.933.002 /629871036</t>
  </si>
  <si>
    <t>https://moratayasociados.com</t>
  </si>
  <si>
    <t>José Luis Morata Torres / Luis E. González</t>
  </si>
  <si>
    <t>Morata y Asociados, Producciones Artísticas</t>
  </si>
  <si>
    <t>91. 4093540 - 629871036 - 659933002</t>
  </si>
  <si>
    <t>Jose Luis Morata</t>
  </si>
  <si>
    <t>MORFEO TEATRO</t>
  </si>
  <si>
    <t>info@morfeoteatro.com</t>
  </si>
  <si>
    <t>https://www.morfeoteatro.com</t>
  </si>
  <si>
    <t>Cuevas de San Clemente</t>
  </si>
  <si>
    <t>Mayte Bona</t>
  </si>
  <si>
    <t>Moviendo Teatro</t>
  </si>
  <si>
    <t>info@moviendoteatro.com</t>
  </si>
  <si>
    <t>https://www.moviendoteatro.com/</t>
  </si>
  <si>
    <t>Waldo Rosales</t>
  </si>
  <si>
    <t>Multiescena S.A.</t>
  </si>
  <si>
    <t>grupoom@grupoom.e.telefonica.net</t>
  </si>
  <si>
    <t>multimedia ART produtions</t>
  </si>
  <si>
    <t>multimediaartprodution@hotmail.com</t>
  </si>
  <si>
    <t>Elizaveta</t>
  </si>
  <si>
    <t>Munster Tourin Producciones S.L.</t>
  </si>
  <si>
    <t>cristobal@munster-tourin.com</t>
  </si>
  <si>
    <t>958/139952</t>
  </si>
  <si>
    <t>https://www.munster-tourin.com</t>
  </si>
  <si>
    <t>Cristobal Ortega / Isabel Garcia</t>
  </si>
  <si>
    <t>MURCIA EVENTOS S.L</t>
  </si>
  <si>
    <t>contacto@geventosmurcia.com</t>
  </si>
  <si>
    <t>http://www.geventosmurcia.com</t>
  </si>
  <si>
    <t>LA ALBATALIA</t>
  </si>
  <si>
    <t>MARIANO GARCIA RUIZ</t>
  </si>
  <si>
    <t>Music Management GB</t>
  </si>
  <si>
    <t>info@musicmanagementgb.com</t>
  </si>
  <si>
    <t>https://www.musicmanagementgb.com</t>
  </si>
  <si>
    <t>Majadahonda</t>
  </si>
  <si>
    <t>MUSICA VIVA International Management</t>
  </si>
  <si>
    <t>juan@musicaviva.eu</t>
  </si>
  <si>
    <t>http://www.musicaviva.eu</t>
  </si>
  <si>
    <t>Juan Miguel Morales</t>
  </si>
  <si>
    <t>musicadhoy</t>
  </si>
  <si>
    <t>info@musicadhoy.com</t>
  </si>
  <si>
    <t>https://www.musicadhoy.com</t>
  </si>
  <si>
    <t>Rebeca Largo</t>
  </si>
  <si>
    <t>Musicanueva</t>
  </si>
  <si>
    <t>musicanueva@musicanueva.com</t>
  </si>
  <si>
    <t>981531398 /658814439</t>
  </si>
  <si>
    <t>https://www.musicanueva.com</t>
  </si>
  <si>
    <t>Musiepoca Produccions</t>
  </si>
  <si>
    <t>info@musiepoca.com</t>
  </si>
  <si>
    <t>https://www.musiepoca.com</t>
  </si>
  <si>
    <t>Finestrat</t>
  </si>
  <si>
    <t>Pere Saragossa Galvany</t>
  </si>
  <si>
    <t>Nación Funk</t>
  </si>
  <si>
    <t>info@nacionfunk.com</t>
  </si>
  <si>
    <t>https://www.nacionfunk.com/</t>
  </si>
  <si>
    <t>Sant Pere de Ribes</t>
  </si>
  <si>
    <t>Amaia Panizo Sáez de Maturana</t>
  </si>
  <si>
    <t>Nakado.es</t>
  </si>
  <si>
    <t>marqueznaka@gmail.com</t>
  </si>
  <si>
    <t>http://www.nakado.es</t>
  </si>
  <si>
    <t>Naka Márquez</t>
  </si>
  <si>
    <t>Nataly Artes Escénicas</t>
  </si>
  <si>
    <t>info@natalyartesescenicas.com</t>
  </si>
  <si>
    <t>https://natalyartesescenicas.com/</t>
  </si>
  <si>
    <t>Nataly Chamorro</t>
  </si>
  <si>
    <t>Nelson Management / NelsonMusicSpain</t>
  </si>
  <si>
    <t>nelson@nelsonmusicspain.com</t>
  </si>
  <si>
    <t>629 14 48 06 / 91 842 33 42</t>
  </si>
  <si>
    <t>https://www.nelsonmusicspain.com</t>
  </si>
  <si>
    <t>Colmenarejo</t>
  </si>
  <si>
    <t>New Technology</t>
  </si>
  <si>
    <t>jlscodina@arcomed.es</t>
  </si>
  <si>
    <t>Jose Luis Sanchez</t>
  </si>
  <si>
    <t>Nexus Producciones artísticas</t>
  </si>
  <si>
    <t>sosius1972@gmail.com</t>
  </si>
  <si>
    <t>Juan Antonio Molina</t>
  </si>
  <si>
    <t>NGR Producciones</t>
  </si>
  <si>
    <t>info@ngrproducciones.com</t>
  </si>
  <si>
    <t>922 241 741</t>
  </si>
  <si>
    <t>https://www.ngrproducciones.com</t>
  </si>
  <si>
    <t>No hay pereza en Lazytown</t>
  </si>
  <si>
    <t>teresa@thuleproducciones.com</t>
  </si>
  <si>
    <t>629742104 / 687495752</t>
  </si>
  <si>
    <t>Teresa Osuna</t>
  </si>
  <si>
    <t>NO SOMOS NADIE</t>
  </si>
  <si>
    <t>gabriel@nosomosnadie.eu</t>
  </si>
  <si>
    <t>https://nosomosnadie.eu/</t>
  </si>
  <si>
    <t>valencia</t>
  </si>
  <si>
    <t>Gabriel</t>
  </si>
  <si>
    <t>Nocturns Produccions</t>
  </si>
  <si>
    <t>info@nocturns.net</t>
  </si>
  <si>
    <t>https://www.nocturns.net</t>
  </si>
  <si>
    <t>Héctor Sánchez</t>
  </si>
  <si>
    <t>Norte Flamenco Cultural Agency</t>
  </si>
  <si>
    <t>info@norteflamenco.com</t>
  </si>
  <si>
    <t>https://www.norteflamenco.com</t>
  </si>
  <si>
    <t>Luis Escudero Tan</t>
  </si>
  <si>
    <t>Amanecer Musical, S.L.</t>
  </si>
  <si>
    <t>amusical@navegalia.com</t>
  </si>
  <si>
    <t>954185514 - 954185517</t>
  </si>
  <si>
    <t>Mairena del Aljarafe</t>
  </si>
  <si>
    <t>Amara Producciones</t>
  </si>
  <si>
    <t>prensa@ladamaduende.info</t>
  </si>
  <si>
    <t>619.248. 578 - 649.090.400 - 91.559.68.14</t>
  </si>
  <si>
    <t>https://www.ladamaduende.info</t>
  </si>
  <si>
    <t>AMARELO Distribución</t>
  </si>
  <si>
    <t>lilian@amarelo.es</t>
  </si>
  <si>
    <t>https://www.amarelo.es/</t>
  </si>
  <si>
    <t>Lilian Portela</t>
  </si>
  <si>
    <t>Ambigú Producciones</t>
  </si>
  <si>
    <t>ambigu@ya.com</t>
  </si>
  <si>
    <t>948175789 948250147 677577103</t>
  </si>
  <si>
    <t>https://www.ambiguproducciones.com</t>
  </si>
  <si>
    <t>AMELIA ARAUZ REPRESENTACIONES ESPECTACULARES</t>
  </si>
  <si>
    <t>manager@ameliaarauz.es</t>
  </si>
  <si>
    <t>Amelia Arauz Martín</t>
  </si>
  <si>
    <t>AMEZTU ANTZERKIA</t>
  </si>
  <si>
    <t>info@ameztu.net</t>
  </si>
  <si>
    <t>https://www.ameztu.net</t>
  </si>
  <si>
    <t>Álava / Araba</t>
  </si>
  <si>
    <t>David Gutierrez</t>
  </si>
  <si>
    <t>Amilkilometros</t>
  </si>
  <si>
    <t>braulio@amilkilometros.com</t>
  </si>
  <si>
    <t>https://www.amilkilometros.com/</t>
  </si>
  <si>
    <t>AMOR AL TEATRO</t>
  </si>
  <si>
    <t>contabilidad@amoralteatro.es</t>
  </si>
  <si>
    <t>https://amoralteatro.es/</t>
  </si>
  <si>
    <t>CUCA VIILLÉN</t>
  </si>
  <si>
    <t>Amores que matan</t>
  </si>
  <si>
    <t>dlopez@rafael-amargo.com</t>
  </si>
  <si>
    <t>91 524 91 56</t>
  </si>
  <si>
    <t>https://www.rafael-amargo.com</t>
  </si>
  <si>
    <t>David López</t>
  </si>
  <si>
    <t>AMUNT PRODUCCIONS</t>
  </si>
  <si>
    <t>mar@amuntproduccions.cat</t>
  </si>
  <si>
    <t>https://www.amuntproduccions.cat</t>
  </si>
  <si>
    <t>Blanes</t>
  </si>
  <si>
    <t>Ana Aleixandre Gozalbo</t>
  </si>
  <si>
    <t>comedias@vodafone.es</t>
  </si>
  <si>
    <t>963 51 21 77 / 676277849</t>
  </si>
  <si>
    <t>idem</t>
  </si>
  <si>
    <t>Ana Beatriz Alonso Arribas</t>
  </si>
  <si>
    <t>cdanzaflamenco@yahoo.es</t>
  </si>
  <si>
    <t>MIGUEL ÁNGEL MEJÍAS VERA</t>
  </si>
  <si>
    <t>Ana Bettschen</t>
  </si>
  <si>
    <t>anabettschen@gmail.com</t>
  </si>
  <si>
    <t>915217902 / 627804568</t>
  </si>
  <si>
    <t>ANATH Asociación Nacional de Cultura y Bienestar</t>
  </si>
  <si>
    <t>anathasociacion@hotmail.com</t>
  </si>
  <si>
    <t>Guadarrama</t>
  </si>
  <si>
    <t>ANDA Gestión Cultural</t>
  </si>
  <si>
    <t>contacto@andapro.com</t>
  </si>
  <si>
    <t>https://andapro.com/</t>
  </si>
  <si>
    <t>Rosa Gracia</t>
  </si>
  <si>
    <t>Andén 47</t>
  </si>
  <si>
    <t>distribucion@anden47.es</t>
  </si>
  <si>
    <t>http://www.anden47.es</t>
  </si>
  <si>
    <t>Juan Pardo</t>
  </si>
  <si>
    <t>Andrea Herrera Heredero</t>
  </si>
  <si>
    <t>herhermanager@gmail.com</t>
  </si>
  <si>
    <t>Andrés González</t>
  </si>
  <si>
    <t>andresgonzalez34@yahoo.es</t>
  </si>
  <si>
    <t>Andres Lomander Kjellstrand</t>
  </si>
  <si>
    <t>andreslomander@gmail.com</t>
  </si>
  <si>
    <t>Andrés Lomander Kjellstrand</t>
  </si>
  <si>
    <t>ANEXA</t>
  </si>
  <si>
    <t>distribucion@anexa.nu</t>
  </si>
  <si>
    <t>93 452 59 00</t>
  </si>
  <si>
    <t>https://www.anexa.nu</t>
  </si>
  <si>
    <t>Marta Hervás</t>
  </si>
  <si>
    <t>Angel Andres Caballero</t>
  </si>
  <si>
    <t>info@grupoangimoreno.com</t>
  </si>
  <si>
    <t>619 09 61 61</t>
  </si>
  <si>
    <t>https://www.grupoangimoreno.com</t>
  </si>
  <si>
    <t>Angel Delgado</t>
  </si>
  <si>
    <t>adelgado@stage.es</t>
  </si>
  <si>
    <t>91 5238283</t>
  </si>
  <si>
    <t>https://www.stage.es</t>
  </si>
  <si>
    <t>Angel Domínguez López</t>
  </si>
  <si>
    <t>mail@otel-lo.com</t>
  </si>
  <si>
    <t>https://www.otel-lo.com</t>
  </si>
  <si>
    <t>Ángel Sánchez</t>
  </si>
  <si>
    <t>angel.sanchez@inaem.mcu.es</t>
  </si>
  <si>
    <t>91-532-01-10</t>
  </si>
  <si>
    <t>https://cdn.mcu.es</t>
  </si>
  <si>
    <t>Nuevos Planes Distribución</t>
  </si>
  <si>
    <t>susana@nuevosplanes.com</t>
  </si>
  <si>
    <t>630 31 99 94</t>
  </si>
  <si>
    <t>Susana Rubio</t>
  </si>
  <si>
    <t>Obsidiana, Acompañamiento de Artistas</t>
  </si>
  <si>
    <t>info@obsidiana.cat</t>
  </si>
  <si>
    <t>http://www.obsidiana.cat</t>
  </si>
  <si>
    <t>Daniel Carreras Ruiz</t>
  </si>
  <si>
    <t>Offbeat</t>
  </si>
  <si>
    <t>evie@offbeat-bcn.com</t>
  </si>
  <si>
    <t>https://www.offbeat-bcn.com</t>
  </si>
  <si>
    <t>Evie Vanquaillie</t>
  </si>
  <si>
    <t>Oí Edición Producción Artística S.L</t>
  </si>
  <si>
    <t>manuel@oiedicion.es</t>
  </si>
  <si>
    <t>https://www.oiedicion.es</t>
  </si>
  <si>
    <t>Manuel Robles</t>
  </si>
  <si>
    <t>OLA MANAGEMENT</t>
  </si>
  <si>
    <t>ola@laola.management</t>
  </si>
  <si>
    <t>GERÓNIMO NAVARRETE</t>
  </si>
  <si>
    <t>OLENA PANASYUK</t>
  </si>
  <si>
    <t>elenapanromero@gmail.com</t>
  </si>
  <si>
    <t>Ooops! Circo,Cultura y Ocio</t>
  </si>
  <si>
    <t>eduardo@ooops.es</t>
  </si>
  <si>
    <t>https://www.ooops.es</t>
  </si>
  <si>
    <t>Avila</t>
  </si>
  <si>
    <t>Ávila</t>
  </si>
  <si>
    <t>Eduardo Vaquero</t>
  </si>
  <si>
    <t>Opera 2001</t>
  </si>
  <si>
    <t>opera2001@opera2001.net</t>
  </si>
  <si>
    <t>http://www.opera2001.net</t>
  </si>
  <si>
    <t>El Campello</t>
  </si>
  <si>
    <t>Marie-Ange Q. Lainz</t>
  </si>
  <si>
    <t>OPSIS PRODUCCIONES</t>
  </si>
  <si>
    <t>https://www.opsisproducciones.com/</t>
  </si>
  <si>
    <t>OriginalL, S.L.</t>
  </si>
  <si>
    <t>dolors@originalprod.com</t>
  </si>
  <si>
    <t>https://www.originalprod.com</t>
  </si>
  <si>
    <t>Caldes de Montbui</t>
  </si>
  <si>
    <t>Outsiders Arts</t>
  </si>
  <si>
    <t>info@outsidersarts.com</t>
  </si>
  <si>
    <t>http://www.outsidersarts.com</t>
  </si>
  <si>
    <t>Mar Campillo</t>
  </si>
  <si>
    <t>Pablo Rodríguez Sánchez</t>
  </si>
  <si>
    <t>pablo_rod20@hotmail.com</t>
  </si>
  <si>
    <t>971516225-617303572</t>
  </si>
  <si>
    <t>Buger</t>
  </si>
  <si>
    <t>Pablo Suárez</t>
  </si>
  <si>
    <t>Buratini@terra.es</t>
  </si>
  <si>
    <t>981586034/649823825</t>
  </si>
  <si>
    <t>Painted Bird Productions</t>
  </si>
  <si>
    <t>giacoman@terra.es</t>
  </si>
  <si>
    <t>965 25 78 32 - 667 49 51 55</t>
  </si>
  <si>
    <t>PASION TURCA</t>
  </si>
  <si>
    <t>montaruli@pasionturca.net</t>
  </si>
  <si>
    <t>VITO MONTARULI</t>
  </si>
  <si>
    <t>Pasionarte - Alex Graneri</t>
  </si>
  <si>
    <t>lanota@pasionarte.com</t>
  </si>
  <si>
    <t>913540240 / 913651606</t>
  </si>
  <si>
    <t>Passione Proyectos e Ideas</t>
  </si>
  <si>
    <t>infopassione@telefonica.net</t>
  </si>
  <si>
    <t>607 802848</t>
  </si>
  <si>
    <t>Villamayor de Armuña</t>
  </si>
  <si>
    <t>Patricia Daries</t>
  </si>
  <si>
    <t>patricia.montrealdanse@gmail.com</t>
  </si>
  <si>
    <t>Patricia Dariees</t>
  </si>
  <si>
    <t>Patricia Garzón</t>
  </si>
  <si>
    <t>pgarzonprofesional@gmail.com</t>
  </si>
  <si>
    <t>Torre de la Reina</t>
  </si>
  <si>
    <t>Patty Hinchado</t>
  </si>
  <si>
    <t>produccionespatto@gmail.com</t>
  </si>
  <si>
    <t>https://pattoproducciones.com</t>
  </si>
  <si>
    <t>Paula Acuña</t>
  </si>
  <si>
    <t>unapaula2002@yahoo.com.ar</t>
  </si>
  <si>
    <t>Buenos Aires</t>
  </si>
  <si>
    <t>Pecan Pie música i cultura</t>
  </si>
  <si>
    <t>info@pecan-pie.org</t>
  </si>
  <si>
    <t>Joan Andreu Juan Torrens</t>
  </si>
  <si>
    <t>Pedro Iturralde</t>
  </si>
  <si>
    <t>PEDRO.ITURRALDE@TERRA.ES</t>
  </si>
  <si>
    <t>https://www.pedroiturralde.org</t>
  </si>
  <si>
    <t>Pablo Lopez</t>
  </si>
  <si>
    <t>Ángela García</t>
  </si>
  <si>
    <t>endomayor@gmail.com</t>
  </si>
  <si>
    <t>915325427 - 608044900</t>
  </si>
  <si>
    <t>Antonia Bueno Mingallón</t>
  </si>
  <si>
    <t>antoniabuenomingallon@gmail.com</t>
  </si>
  <si>
    <t>BURJASSOT</t>
  </si>
  <si>
    <t>Antonia Gómez</t>
  </si>
  <si>
    <t>antonia.g.grande@gmail.com</t>
  </si>
  <si>
    <t>Antonio Aragón</t>
  </si>
  <si>
    <t>antonio@erase.es</t>
  </si>
  <si>
    <t>https://www.erase.es</t>
  </si>
  <si>
    <t>San Sebastian de los Reyes</t>
  </si>
  <si>
    <t>Antonio González Chamorro</t>
  </si>
  <si>
    <t>antoniogch@wanadoo.es</t>
  </si>
  <si>
    <t>915240123/678665209</t>
  </si>
  <si>
    <t>Antonio Martínez López</t>
  </si>
  <si>
    <t>artenomia@gmail.com</t>
  </si>
  <si>
    <t>Antonio Muñoz</t>
  </si>
  <si>
    <t>comedia@inicia.es</t>
  </si>
  <si>
    <t>https://institutodelacomedia.com</t>
  </si>
  <si>
    <t>Anxo Xesteira Serrano</t>
  </si>
  <si>
    <t>xesteira@anxest.com</t>
  </si>
  <si>
    <t>https://anxest.com/</t>
  </si>
  <si>
    <t>APORARTE</t>
  </si>
  <si>
    <t>miguelgato@aporarte.com</t>
  </si>
  <si>
    <t>https://www.aporarte.com/</t>
  </si>
  <si>
    <t>MIGUEL ANGEL GATO MORAIS</t>
  </si>
  <si>
    <t>Aramus</t>
  </si>
  <si>
    <t>villarmorales@gmail.com</t>
  </si>
  <si>
    <t>Area</t>
  </si>
  <si>
    <t>correopanoja@gmail.com</t>
  </si>
  <si>
    <t>Rosa</t>
  </si>
  <si>
    <t>Pizzicatto Management</t>
  </si>
  <si>
    <t>pizzicattomanagement@hotmail.com</t>
  </si>
  <si>
    <t>Plan &amp; Place Events</t>
  </si>
  <si>
    <t>daniel@plannevents.es</t>
  </si>
  <si>
    <t>669 848 011</t>
  </si>
  <si>
    <t>Las Rozas</t>
  </si>
  <si>
    <t>Dani Maza</t>
  </si>
  <si>
    <t>Plan B music</t>
  </si>
  <si>
    <t>info@planb-music.com</t>
  </si>
  <si>
    <t>http://www.planb-music.com</t>
  </si>
  <si>
    <t>Estefanía Serrano</t>
  </si>
  <si>
    <t>Planas Artist Manager Co.</t>
  </si>
  <si>
    <t>oficina@planasconcert.com</t>
  </si>
  <si>
    <t>http://www.planasconcert.com</t>
  </si>
  <si>
    <t>Joan Planas</t>
  </si>
  <si>
    <t>cultura@playplan.es</t>
  </si>
  <si>
    <t>986903509 | 696874392 | 605 022 449</t>
  </si>
  <si>
    <t>http://www.playplan.es</t>
  </si>
  <si>
    <t>Andrés</t>
  </si>
  <si>
    <t>POLAR</t>
  </si>
  <si>
    <t>sofi@polaragency.net</t>
  </si>
  <si>
    <t>https://polaragency.net/</t>
  </si>
  <si>
    <t>Sofi Georgieva</t>
  </si>
  <si>
    <t>Poliedrics</t>
  </si>
  <si>
    <t>poliedrics@poliedrics.com</t>
  </si>
  <si>
    <t>902 310 340</t>
  </si>
  <si>
    <t>https://www.poliedrics.com</t>
  </si>
  <si>
    <t>Lérida / Lleida</t>
  </si>
  <si>
    <t>Portal 71</t>
  </si>
  <si>
    <t>rociopindado@portal71.com</t>
  </si>
  <si>
    <t>94 410 07 98 / 635 70 89 99</t>
  </si>
  <si>
    <t>http://www.portal71.com</t>
  </si>
  <si>
    <t>BIlbao</t>
  </si>
  <si>
    <t>Rocío Pindado Larrea</t>
  </si>
  <si>
    <t>Postonove</t>
  </si>
  <si>
    <t>info@postonove.com</t>
  </si>
  <si>
    <t>https://www.postonove.com</t>
  </si>
  <si>
    <t>PRÀXEDES COLECTIVO CULTURAL</t>
  </si>
  <si>
    <t>carme@praxedescol.com</t>
  </si>
  <si>
    <t>https://praxedescol.com/</t>
  </si>
  <si>
    <t>Carme Tasias Andreu</t>
  </si>
  <si>
    <t>PREVEE SL</t>
  </si>
  <si>
    <t>fernando@prevee.net</t>
  </si>
  <si>
    <t>Alcorcon</t>
  </si>
  <si>
    <t>FERNANDO VALERO GIMENEZ</t>
  </si>
  <si>
    <t>Prima y bordón Producciones</t>
  </si>
  <si>
    <t>info@primaybordon.com</t>
  </si>
  <si>
    <t>955110315 / 615047890</t>
  </si>
  <si>
    <t>https://www.primaybordon.com/</t>
  </si>
  <si>
    <t>Francisco Javier Cortés Aguilar</t>
  </si>
  <si>
    <t>ARGOT FLAMENCO</t>
  </si>
  <si>
    <t>espectaculos@argotflamenco.com</t>
  </si>
  <si>
    <t>670715310 / 660686035</t>
  </si>
  <si>
    <t>https://www.argotflamenco.com/</t>
  </si>
  <si>
    <t>Argot Flamenco, S.L.</t>
  </si>
  <si>
    <t>Arko Promociones Culturales</t>
  </si>
  <si>
    <t>joseluis@arkopromocionesculturales.com</t>
  </si>
  <si>
    <t>942 54 42 16</t>
  </si>
  <si>
    <t>https://www.arkopromocionesculturales.com</t>
  </si>
  <si>
    <t>Guarnizo</t>
  </si>
  <si>
    <t>ARLEQUINA</t>
  </si>
  <si>
    <t>info@arlequina.es</t>
  </si>
  <si>
    <t>657 257 303</t>
  </si>
  <si>
    <t>http://www.arlequina.es</t>
  </si>
  <si>
    <t>Paz Álvarez</t>
  </si>
  <si>
    <t>ARRASA | Produccion &amp; Distribucion</t>
  </si>
  <si>
    <t>raquelanaya@arrasa.org</t>
  </si>
  <si>
    <t>http://www.arrasa.org</t>
  </si>
  <si>
    <t>Raquel Anaya</t>
  </si>
  <si>
    <t>Art &amp; Danza Promotions</t>
  </si>
  <si>
    <t>http://www.artdanzaevents.com</t>
  </si>
  <si>
    <t>CARMEN CANTERO / SARA CAÑIZARES</t>
  </si>
  <si>
    <t>ART GLOBAL SPAIN</t>
  </si>
  <si>
    <t>office@artglobalspain.es</t>
  </si>
  <si>
    <t>652624123 - 635833283</t>
  </si>
  <si>
    <t>http://www.artglobalspain.es</t>
  </si>
  <si>
    <t>Francisco Barroso</t>
  </si>
  <si>
    <t>Art i Dialeg</t>
  </si>
  <si>
    <t>maria@artidialeg.es</t>
  </si>
  <si>
    <t>96- 2661131 - 679930480</t>
  </si>
  <si>
    <t>https://www.artidialeg.es</t>
  </si>
  <si>
    <t>ART REPUBLIC</t>
  </si>
  <si>
    <t>info@artrepublic.es</t>
  </si>
  <si>
    <t>615271632 / 619874134</t>
  </si>
  <si>
    <t>http://www.artrepublic.es</t>
  </si>
  <si>
    <t>Castelldefels</t>
  </si>
  <si>
    <t>Iva Horvat</t>
  </si>
  <si>
    <t>Arte 4, T4 S.L.</t>
  </si>
  <si>
    <t>info@arte4.es</t>
  </si>
  <si>
    <t>918424531 - 918424871 - 607745423 - 607695541</t>
  </si>
  <si>
    <t>https://www.arte4.es</t>
  </si>
  <si>
    <t>Germán Torrellas</t>
  </si>
  <si>
    <t>Arte Opera S.L.</t>
  </si>
  <si>
    <t>INFO@ARTEOPERA.COM</t>
  </si>
  <si>
    <t>915531724 / 629612492</t>
  </si>
  <si>
    <t>https://WWW.ARTEOPERA.COM</t>
  </si>
  <si>
    <t>ANTONIO FERNANDEZ</t>
  </si>
  <si>
    <t>ARTE&amp;OCIO</t>
  </si>
  <si>
    <t>info@arteocio.com</t>
  </si>
  <si>
    <t>https://www.arteocio.com</t>
  </si>
  <si>
    <t>El Viso de San Juan</t>
  </si>
  <si>
    <t>Inma González</t>
  </si>
  <si>
    <t>Artemusica</t>
  </si>
  <si>
    <t>concerts@artemusica.com</t>
  </si>
  <si>
    <t>916646366 / 67</t>
  </si>
  <si>
    <t>https://www.artemusica.com</t>
  </si>
  <si>
    <t>Ana Carrasco</t>
  </si>
  <si>
    <t>Penélope distribuye</t>
  </si>
  <si>
    <t>penelopedistribuye@gmail.com</t>
  </si>
  <si>
    <t>680980688/976392933</t>
  </si>
  <si>
    <t>https://www.penelopedistribuye.com</t>
  </si>
  <si>
    <t>Pilara Pinilla</t>
  </si>
  <si>
    <t>Pértiga Music</t>
  </si>
  <si>
    <t>idoia@pertigamusic.com</t>
  </si>
  <si>
    <t>https://pertigamusic.com/</t>
  </si>
  <si>
    <t>Idoia Rueda</t>
  </si>
  <si>
    <t>PG Booking</t>
  </si>
  <si>
    <t>nunobarros@pgbooking.pt</t>
  </si>
  <si>
    <t>http://www.pgbooking.pt</t>
  </si>
  <si>
    <t>Charneca de Caparica</t>
  </si>
  <si>
    <t>Nuno Barros</t>
  </si>
  <si>
    <t>Phoenix Productions</t>
  </si>
  <si>
    <t>phoenixpro@telefonica.net</t>
  </si>
  <si>
    <t>Pickpocket SL (Bankrobber)</t>
  </si>
  <si>
    <t>mllado@bankrobber.net</t>
  </si>
  <si>
    <t>http://www.bankrobber.net</t>
  </si>
  <si>
    <t>Marçal Lladó</t>
  </si>
  <si>
    <t>Pikupe Produkzioak</t>
  </si>
  <si>
    <t>pikupe@pikupe.com</t>
  </si>
  <si>
    <t>https://www.pikupe.com</t>
  </si>
  <si>
    <t>Bergara</t>
  </si>
  <si>
    <t>Guipúzcoa / Gipuzkoa</t>
  </si>
  <si>
    <t>Iker y Karlos</t>
  </si>
  <si>
    <t>Pilar de Yzaguirre</t>
  </si>
  <si>
    <t>ysarca@ysarca.com</t>
  </si>
  <si>
    <t>91 639 24 11 - 606 385 324</t>
  </si>
  <si>
    <t>http://www.ysarca.com</t>
  </si>
  <si>
    <t>Pilar Izaguirre</t>
  </si>
  <si>
    <t>Pilar Royo. Distribución, gestión y comunicación Artes Escénicas</t>
  </si>
  <si>
    <t>mproyosa@gmail.com</t>
  </si>
  <si>
    <t>Zuera</t>
  </si>
  <si>
    <t>Pilar Royo Sanz</t>
  </si>
  <si>
    <t>Pink House Management</t>
  </si>
  <si>
    <t>alfonso@pinkhousemanagement.com</t>
  </si>
  <si>
    <t>http://www.pinkhousemanagement.com</t>
  </si>
  <si>
    <t>Baeza</t>
  </si>
  <si>
    <t>Alfonso Valverde</t>
  </si>
  <si>
    <t>PISTACATRO PRODUCTORA DE SOÑOS</t>
  </si>
  <si>
    <t>distribucion@pistacatro.com</t>
  </si>
  <si>
    <t>627778351 981937819</t>
  </si>
  <si>
    <t>http://www.pistacatro.com/gl/</t>
  </si>
  <si>
    <t>Piturda Eventos y Ocio</t>
  </si>
  <si>
    <t>produccion@piturda.com</t>
  </si>
  <si>
    <t>https://piturda.com/</t>
  </si>
  <si>
    <t>Maria del Carmen Párraga Montero</t>
  </si>
  <si>
    <t>Asociación Ditirambo Arte Madrid</t>
  </si>
  <si>
    <t>rubenbarreira@hotmail.com</t>
  </si>
  <si>
    <t>http://www.ditiramboarte.com</t>
  </si>
  <si>
    <t>Omar Ruben Barreira Gonzalez</t>
  </si>
  <si>
    <t>Associació de Músics de Tarragona</t>
  </si>
  <si>
    <t>comunicacio@musicstgn.com</t>
  </si>
  <si>
    <t>http://www.musicstgn.com</t>
  </si>
  <si>
    <t>aMt</t>
  </si>
  <si>
    <t>Atípicos Utópicos</t>
  </si>
  <si>
    <t>josedaniel@atipicosutopicos.com</t>
  </si>
  <si>
    <t>https://www.atipicosutopicos.com</t>
  </si>
  <si>
    <t>José Daniel Domínguez Bermúdez</t>
  </si>
  <si>
    <t>Aurora Artists and Projects</t>
  </si>
  <si>
    <t>carla@aurorartists.com</t>
  </si>
  <si>
    <t>666 795 600</t>
  </si>
  <si>
    <t>https://www.aurorartists.com</t>
  </si>
  <si>
    <t>Berlín</t>
  </si>
  <si>
    <t>Ausamusic</t>
  </si>
  <si>
    <t>info@ausamusic.cat</t>
  </si>
  <si>
    <t>https://www.ausamusic.cat</t>
  </si>
  <si>
    <t>Azalea Espectáculos</t>
  </si>
  <si>
    <t>azalea.marco@gmail.com</t>
  </si>
  <si>
    <t>649 938 323</t>
  </si>
  <si>
    <t>Chiclana de la Frontera</t>
  </si>
  <si>
    <t>Bàcum /artes escénicas y visuales</t>
  </si>
  <si>
    <t>joan@bacum.info</t>
  </si>
  <si>
    <t>634 52 55 63</t>
  </si>
  <si>
    <t>https://www.bacum.info</t>
  </si>
  <si>
    <t>Joan Laporta</t>
  </si>
  <si>
    <t>Baila Morena distribuye</t>
  </si>
  <si>
    <t>bailamorenadistribuye@gmail.com</t>
  </si>
  <si>
    <t>680980688 / 976392933</t>
  </si>
  <si>
    <t>Bailamorena distribuye</t>
  </si>
  <si>
    <t>https://www.bailamorena.com</t>
  </si>
  <si>
    <t>Cuarta de Huerva</t>
  </si>
  <si>
    <t>Balaio Producciones</t>
  </si>
  <si>
    <t>mar@balaioproducciones.com</t>
  </si>
  <si>
    <t>http://www.balaioproducciones.com</t>
  </si>
  <si>
    <t>Mar Rubiralta</t>
  </si>
  <si>
    <t>Primavera Labels</t>
  </si>
  <si>
    <t>anna.romeu@primaverasound.com</t>
  </si>
  <si>
    <t>https://www.primaverasound.com/es/primavera-labels</t>
  </si>
  <si>
    <t>Anna Romeu</t>
  </si>
  <si>
    <t>PRIMAVERA LABELS</t>
  </si>
  <si>
    <t>info@primaveralabels.com</t>
  </si>
  <si>
    <t>http://www.primaverasound.com</t>
  </si>
  <si>
    <t>Anna Romeu Garcia</t>
  </si>
  <si>
    <t>PRIMEIRA FILA PRODUÇÕES</t>
  </si>
  <si>
    <t>leticia@primeirafilaproducoes.com.br</t>
  </si>
  <si>
    <t>PORTO ALEGRE</t>
  </si>
  <si>
    <t>Leticia Vieira</t>
  </si>
  <si>
    <t>Primera Linea Producciones</t>
  </si>
  <si>
    <t>mickyspain@yahoo.es</t>
  </si>
  <si>
    <t>916347429 - 620.17.74.88</t>
  </si>
  <si>
    <t>Miguel Millan (director)</t>
  </si>
  <si>
    <t>Producciónes AR</t>
  </si>
  <si>
    <t>ar@produccionesar.com</t>
  </si>
  <si>
    <t>https://www.produccionesar.com</t>
  </si>
  <si>
    <t>Nataliya Zalyesova</t>
  </si>
  <si>
    <t>Producciones Artísticas Orange, S.L.</t>
  </si>
  <si>
    <t>orange@espectaculosorange.com</t>
  </si>
  <si>
    <t>963 34 27 00</t>
  </si>
  <si>
    <t>https://espectaculosorange.es/</t>
  </si>
  <si>
    <t>Producciones Artísticas Serrano</t>
  </si>
  <si>
    <t>serrano@pserrano.com</t>
  </si>
  <si>
    <t>https://www.pserrano.com</t>
  </si>
  <si>
    <t>Barrika</t>
  </si>
  <si>
    <t>José Angel Serrano</t>
  </si>
  <si>
    <t>Producciones Datasa</t>
  </si>
  <si>
    <t>Jose Luis Sánchez Codina</t>
  </si>
  <si>
    <t>Producciones De Lunares</t>
  </si>
  <si>
    <t>danza@delunares.com</t>
  </si>
  <si>
    <t>91 532 58 79- 619 73 75 61</t>
  </si>
  <si>
    <t>https://www.delunares.com</t>
  </si>
  <si>
    <t>Paloma Gómez</t>
  </si>
  <si>
    <t>Producciones en la Arena</t>
  </si>
  <si>
    <t>info@produccionesenlaarena.com</t>
  </si>
  <si>
    <t>https://www.produccionesenlaarena.com</t>
  </si>
  <si>
    <t>Agaete</t>
  </si>
  <si>
    <t>Andrea Farah Gaeta</t>
  </si>
  <si>
    <t>Producciones la vaca feliz</t>
  </si>
  <si>
    <t>produccioneslavacafeliz@gmail.com</t>
  </si>
  <si>
    <t>Boadilla del Monte</t>
  </si>
  <si>
    <t>Andrés Fernández</t>
  </si>
  <si>
    <t>Artestudio Xestión Cultural S.L.</t>
  </si>
  <si>
    <t>produccion@artestudioxestioncultural.com</t>
  </si>
  <si>
    <t>630867712 - 696723016</t>
  </si>
  <si>
    <t>http://www.artestudioxestioncultural.com/</t>
  </si>
  <si>
    <t>Estefanía Vázquez Seoane</t>
  </si>
  <si>
    <t>ARTIBUS S.L.</t>
  </si>
  <si>
    <t>pablo.garrdio@artibus.es</t>
  </si>
  <si>
    <t>917306307 / 639150373</t>
  </si>
  <si>
    <t>https://www.artibus.es</t>
  </si>
  <si>
    <t>ALCORCÓN</t>
  </si>
  <si>
    <t>Pablo Garrido</t>
  </si>
  <si>
    <t>artimaña. gestión cultural</t>
  </si>
  <si>
    <t>artimanagc@gmail.com</t>
  </si>
  <si>
    <t>976226630/630948452</t>
  </si>
  <si>
    <t>Cahti Calvo</t>
  </si>
  <si>
    <t>Artistalia</t>
  </si>
  <si>
    <t>info@artistalia.es</t>
  </si>
  <si>
    <t>https://www.artistalia.es</t>
  </si>
  <si>
    <t>Cornellà de Llobregat</t>
  </si>
  <si>
    <t>Pau Quesada Fuentes</t>
  </si>
  <si>
    <t>Artistas Internacionales</t>
  </si>
  <si>
    <t>danbert7@yahoo.es</t>
  </si>
  <si>
    <t>91 479 08 71</t>
  </si>
  <si>
    <t>Arts Managers</t>
  </si>
  <si>
    <t>psampietro@exitsweb.com</t>
  </si>
  <si>
    <t>https://www.exitsweb.com</t>
  </si>
  <si>
    <t>Arturo del Piñal</t>
  </si>
  <si>
    <t>adelpinal@omegaproducciones.com</t>
  </si>
  <si>
    <t>http://www.omegaproducciones.com</t>
  </si>
  <si>
    <t>Villaviciosa de Odón</t>
  </si>
  <si>
    <t>Artyc Content</t>
  </si>
  <si>
    <t>info@artyc.es</t>
  </si>
  <si>
    <t>https://artyc.es/</t>
  </si>
  <si>
    <t>Rubén Coca</t>
  </si>
  <si>
    <t>As de Guia</t>
  </si>
  <si>
    <t>catalina@asdeguia.cat</t>
  </si>
  <si>
    <t>https://asdeguia.cat</t>
  </si>
  <si>
    <t>Catalina Rosselló Alcina</t>
  </si>
  <si>
    <t>Asociación de amigos de la música de Alcoy</t>
  </si>
  <si>
    <t>info@aamalcoy.com</t>
  </si>
  <si>
    <t>636480807-618872882</t>
  </si>
  <si>
    <t>https://www.aamalcoy.com</t>
  </si>
  <si>
    <t>ALCOY</t>
  </si>
  <si>
    <t>ALFONSO JORDÁ MOREY</t>
  </si>
  <si>
    <t>Ballem!</t>
  </si>
  <si>
    <t>ballem@ballem.es</t>
  </si>
  <si>
    <t>https://www.ballem.es</t>
  </si>
  <si>
    <t>BALLENA SOLUCIONES, S.L.</t>
  </si>
  <si>
    <t>eventos@ballenasoluciones.com</t>
  </si>
  <si>
    <t>https://www.ballenasoluciones.com</t>
  </si>
  <si>
    <t>Stela de la Fuente González</t>
  </si>
  <si>
    <t>Ballet Media</t>
  </si>
  <si>
    <t>maria@balletmedia.com</t>
  </si>
  <si>
    <t>Maria Vallès</t>
  </si>
  <si>
    <t>Bambú Distribución</t>
  </si>
  <si>
    <t>bambu.distribucion@gmail.com</t>
  </si>
  <si>
    <t>Lara Poto de la Cámara</t>
  </si>
  <si>
    <t>Bapo Bapo Produkzioak</t>
  </si>
  <si>
    <t>bapobapoprod@gmail.com</t>
  </si>
  <si>
    <t>Aitor Narbaiza</t>
  </si>
  <si>
    <t>BARAKA CIRC</t>
  </si>
  <si>
    <t>barakacirc@barakacirc.com</t>
  </si>
  <si>
    <t>https://barakacirc.com/es/</t>
  </si>
  <si>
    <t>JORGE PASTOR</t>
  </si>
  <si>
    <t>BARCELONA ANIMACIO</t>
  </si>
  <si>
    <t>http://www.bcnanimacio.com</t>
  </si>
  <si>
    <t>JAUME ESTRUCH</t>
  </si>
  <si>
    <t>BE MOVED AGENCY</t>
  </si>
  <si>
    <t>rodolfo.ibanez@bemovedagency.com</t>
  </si>
  <si>
    <t>http://www.bemovedagency.com</t>
  </si>
  <si>
    <t>Rodolfo Ibañez Mercado</t>
  </si>
  <si>
    <t>BEATRIZ ORTEGA AGENCIA</t>
  </si>
  <si>
    <t>direccion@beatrizortegap.com</t>
  </si>
  <si>
    <t>https://beatrizortegap.com</t>
  </si>
  <si>
    <t>Beatriz Ortega</t>
  </si>
  <si>
    <t>Belén</t>
  </si>
  <si>
    <t>tilostylo@hotmail.com</t>
  </si>
  <si>
    <t>Belén Herrero</t>
  </si>
  <si>
    <t>interludio@portalatino.net</t>
  </si>
  <si>
    <t>Belén Lopez-Escobar</t>
  </si>
  <si>
    <t>belenescobar24@hotmail.com</t>
  </si>
  <si>
    <t>BELIA MARTIN</t>
  </si>
  <si>
    <t>martin3tellado@gmail.com</t>
  </si>
  <si>
    <t>Benito Ramón</t>
  </si>
  <si>
    <t>ntamedea@iespana.es</t>
  </si>
  <si>
    <t>976 236088 y 657 113232</t>
  </si>
  <si>
    <t>Ana María Pavía</t>
  </si>
  <si>
    <t>Berini (Érase una vez cultura)</t>
  </si>
  <si>
    <t>eraseunavez.cultura@gmail.com</t>
  </si>
  <si>
    <t>Bianchini Producciones</t>
  </si>
  <si>
    <t>info@bianchiniproducciones.com</t>
  </si>
  <si>
    <t>610 64 65 76 - 627 57 67 36</t>
  </si>
  <si>
    <t>https://www.bianchiniproducciones.com</t>
  </si>
  <si>
    <t>Big Story Productions</t>
  </si>
  <si>
    <t>nicolas@bigstoryprod.com</t>
  </si>
  <si>
    <t>http://www.bigstoryprod.com</t>
  </si>
  <si>
    <t>SANT JOAN DESPI</t>
  </si>
  <si>
    <t>Nicolas Ricchini</t>
  </si>
  <si>
    <t>Big Time Music, SL</t>
  </si>
  <si>
    <t>info@welcomesdr.com</t>
  </si>
  <si>
    <t>Oficina : 942 052 669 Movil : 619 749 341</t>
  </si>
  <si>
    <t>https://www.welcomesdr.com</t>
  </si>
  <si>
    <t>Alfonso Sánchez</t>
  </si>
  <si>
    <t>BLACK IZAR booking &amp; management</t>
  </si>
  <si>
    <t>blackizar@gmail.com</t>
  </si>
  <si>
    <t>http://www.blackizar.com</t>
  </si>
  <si>
    <t>LUIS GOMEZ</t>
  </si>
  <si>
    <t>Blanca Portillo Martínez de Velasco</t>
  </si>
  <si>
    <t>dogar@avance-pt.com</t>
  </si>
  <si>
    <t>915229855/915235863</t>
  </si>
  <si>
    <t>https://www.avance-pt.com</t>
  </si>
  <si>
    <t>Víctor Manuel Dogar</t>
  </si>
  <si>
    <t>Blumusic Produccions</t>
  </si>
  <si>
    <t>info@blumusic.es</t>
  </si>
  <si>
    <t>646 922 582</t>
  </si>
  <si>
    <t>https://blumusic.cat/es/</t>
  </si>
  <si>
    <t>Fede Serrat</t>
  </si>
  <si>
    <t>Bonito Sound</t>
  </si>
  <si>
    <t>bonito@bonitosound.com</t>
  </si>
  <si>
    <t>https://www.bonitosound.com</t>
  </si>
  <si>
    <t>Dani Boada</t>
  </si>
  <si>
    <t>Producciones Lastra S.L.</t>
  </si>
  <si>
    <t>info@produccioneslastra.com</t>
  </si>
  <si>
    <t>91 545 89 55 - 676 929 479</t>
  </si>
  <si>
    <t>http://www.produccioneslastra.com</t>
  </si>
  <si>
    <t>Agustín Lastra</t>
  </si>
  <si>
    <t>Producciones Level23</t>
  </si>
  <si>
    <t>patricia@produccioneslevel23.com</t>
  </si>
  <si>
    <t>https://www.produccioneslevel23.com</t>
  </si>
  <si>
    <t>Producciones Magicas Merlin</t>
  </si>
  <si>
    <t>produccionesmagicasmerlin@gmail.com</t>
  </si>
  <si>
    <t>Pedro Luis Vázquez</t>
  </si>
  <si>
    <t>Producciones Obsesivas</t>
  </si>
  <si>
    <t>deriamusica@gmail.com</t>
  </si>
  <si>
    <t>Molins de Rei</t>
  </si>
  <si>
    <t>Producciones SiBemol</t>
  </si>
  <si>
    <t>eventos@produccionessibemol.es</t>
  </si>
  <si>
    <t>https://www.produccionessibemol.es/</t>
  </si>
  <si>
    <t>Talavera de la Reina</t>
  </si>
  <si>
    <t>Pablo Marcos Perez Gutierrez</t>
  </si>
  <si>
    <t>Producciones Teatrales Contemporáneas S.L.</t>
  </si>
  <si>
    <t>distribucion@ptcteatro.com</t>
  </si>
  <si>
    <t>91-4456808</t>
  </si>
  <si>
    <t>http://www.ptcteatro.com</t>
  </si>
  <si>
    <t>Lola Graiño y Olvido Orovio</t>
  </si>
  <si>
    <t>Produccions Grau-Peiró, S.L.</t>
  </si>
  <si>
    <t>nuria@graupeiro.net</t>
  </si>
  <si>
    <t>https://www.graupeiro.net</t>
  </si>
  <si>
    <t>Núria Peiró</t>
  </si>
  <si>
    <t>Producirk</t>
  </si>
  <si>
    <t>info@producirk.com</t>
  </si>
  <si>
    <t>660771317 / 678252561</t>
  </si>
  <si>
    <t>http://www.producirk.com</t>
  </si>
  <si>
    <t>Jon Sádaba San Martín</t>
  </si>
  <si>
    <t>Promise Jazz Management</t>
  </si>
  <si>
    <t>promisejazzmanagement@gmail.com</t>
  </si>
  <si>
    <t>https://promisejazz.com/</t>
  </si>
  <si>
    <t>Elena Rodríguez Merlo</t>
  </si>
  <si>
    <t>Promo Arts Music</t>
  </si>
  <si>
    <t>coordinacio@promoartsmusic.com</t>
  </si>
  <si>
    <t>972 67 60 11</t>
  </si>
  <si>
    <t>Xavier Pascual Bellosta</t>
  </si>
  <si>
    <t>Propaganda pel Fet!</t>
  </si>
  <si>
    <t>xavi@ppf.cat</t>
  </si>
  <si>
    <t>938787488 + 619008574</t>
  </si>
  <si>
    <t>https://www.propaganda-pel-fet.cat</t>
  </si>
  <si>
    <t>Xavier Angulo</t>
  </si>
  <si>
    <t>606608168 / 915064344</t>
  </si>
  <si>
    <t>http://www.proversus.com</t>
  </si>
  <si>
    <t>ISIS ABELLÁN</t>
  </si>
  <si>
    <t>PROYECTO CULTURA</t>
  </si>
  <si>
    <t>marta@proyectocultura.com</t>
  </si>
  <si>
    <t>924 95 42 00 - 657 752 813</t>
  </si>
  <si>
    <t>http://www.proyectocultura.com</t>
  </si>
  <si>
    <t>Mérida</t>
  </si>
  <si>
    <t>Marta Moreno Santo-Rosa</t>
  </si>
  <si>
    <t>QUEJÍO BLUES</t>
  </si>
  <si>
    <t>quejioblues@gmail.com</t>
  </si>
  <si>
    <t>601 235 976</t>
  </si>
  <si>
    <t>El Puerto de Santa María</t>
  </si>
  <si>
    <t>Irene Ramón</t>
  </si>
  <si>
    <t>Quiero Teatro</t>
  </si>
  <si>
    <t>b.alvarez@quieroteatro.com</t>
  </si>
  <si>
    <t>http://www.quieroteatro.com</t>
  </si>
  <si>
    <t>Belén Alvarez</t>
  </si>
  <si>
    <t>RAQUEL MARTOS MAROTO</t>
  </si>
  <si>
    <t>rmartosmaroto@icloud.com</t>
  </si>
  <si>
    <t>Raquel Palma</t>
  </si>
  <si>
    <t>gpextremusicsl@raquelpalma.com</t>
  </si>
  <si>
    <t>https://www.raquelpalma.com</t>
  </si>
  <si>
    <t>Retiro Management</t>
  </si>
  <si>
    <t>gonzalobenavide@gmail.com</t>
  </si>
  <si>
    <t>630 06 88 06</t>
  </si>
  <si>
    <t>BUNYOLA</t>
  </si>
  <si>
    <t>Gonzalo Benavides</t>
  </si>
  <si>
    <t>ritaclara@ritaclara.com</t>
  </si>
  <si>
    <t>983611841 - 678477383</t>
  </si>
  <si>
    <t>https://www.ritaclara.com</t>
  </si>
  <si>
    <t>Jesús Ángel Rodríguez Vivar</t>
  </si>
  <si>
    <t>Rochi Music</t>
  </si>
  <si>
    <t>info@rochiproductions.com</t>
  </si>
  <si>
    <t>ROCIO SOLIS DISTRIBUCION</t>
  </si>
  <si>
    <t>rocio.solis.distribucion@gmail.com</t>
  </si>
  <si>
    <t>TORREJON DE ARDOZ</t>
  </si>
  <si>
    <t>ROCIO SOLIS</t>
  </si>
  <si>
    <t>Candela Azul Producciones</t>
  </si>
  <si>
    <t>mlopezheredero@yahoo.es</t>
  </si>
  <si>
    <t>983 217066 / 652 916114</t>
  </si>
  <si>
    <t>https://www.candelaazul.com</t>
  </si>
  <si>
    <t>Manuel López Heredero</t>
  </si>
  <si>
    <t>Caracartón</t>
  </si>
  <si>
    <t>madacaracarton@auna.com</t>
  </si>
  <si>
    <t>666458989-917596825</t>
  </si>
  <si>
    <t>Magdalena Pina</t>
  </si>
  <si>
    <t>Caravansar. Gestión y Producción Cultural</t>
  </si>
  <si>
    <t>enrique.caravansar@gmail.com</t>
  </si>
  <si>
    <t>https://www.caravansar.es</t>
  </si>
  <si>
    <t>Enrique Fernández Escalona</t>
  </si>
  <si>
    <t>Carlos Herrero</t>
  </si>
  <si>
    <t>herrerocarlos@telefonica.net</t>
  </si>
  <si>
    <t>607974613--915528100</t>
  </si>
  <si>
    <t>Carlos Laso</t>
  </si>
  <si>
    <t>claso@telefonica.net</t>
  </si>
  <si>
    <t>Carlota Guivernau</t>
  </si>
  <si>
    <t>carlotaguivernau@gmail.com</t>
  </si>
  <si>
    <t>00 34 653850875</t>
  </si>
  <si>
    <t>https://www.carlotaguivernau.com</t>
  </si>
  <si>
    <t>Carmen Alonso Alvarez</t>
  </si>
  <si>
    <t>emailcar@terra.es</t>
  </si>
  <si>
    <t>91 6141516 / 629015384</t>
  </si>
  <si>
    <t>https://www.arstango.com</t>
  </si>
  <si>
    <t>CARMEN ÁVILA DISTRIBUCIÓN Y PRODUCCIÓN TEATRAL</t>
  </si>
  <si>
    <t>carmen@carmenavila.es</t>
  </si>
  <si>
    <t>https://carmenavila.es/</t>
  </si>
  <si>
    <t>Carmen Ávila Núñez</t>
  </si>
  <si>
    <t>CARMEN PARÍS</t>
  </si>
  <si>
    <t>mayte@produccionesparisinas.com</t>
  </si>
  <si>
    <t>http://www.carmenparis.net</t>
  </si>
  <si>
    <t>Mayte Espina</t>
  </si>
  <si>
    <t>Carmen Reiné</t>
  </si>
  <si>
    <t>contratarte@outlook.es</t>
  </si>
  <si>
    <t>CAROLINA BELLVER MANAGEMENT</t>
  </si>
  <si>
    <t>carolina@carolinabellver.com</t>
  </si>
  <si>
    <t>https://carolinabellver.es/</t>
  </si>
  <si>
    <t>CAROLINA BELLVER</t>
  </si>
  <si>
    <t>Caroline Giffard</t>
  </si>
  <si>
    <t>carolinegiffard@gmail.com</t>
  </si>
  <si>
    <t>Cartel Teatro</t>
  </si>
  <si>
    <t>varanda@cartelteatro.com</t>
  </si>
  <si>
    <t>https://www.cartel-sa.es</t>
  </si>
  <si>
    <t>Víctor Aranda / Carlota Ojea</t>
  </si>
  <si>
    <t>Caterina Producciones</t>
  </si>
  <si>
    <t>info@caterinaproducciones.com</t>
  </si>
  <si>
    <t>https://www.caterinaproducciones.com</t>
  </si>
  <si>
    <t>Caterina Muñoz Luceño</t>
  </si>
  <si>
    <t>CC Meraki</t>
  </si>
  <si>
    <t>carmen@ccmeraki.com</t>
  </si>
  <si>
    <t>María del Carmen Calvo</t>
  </si>
  <si>
    <t>CELIA NEGRETE- Gestion Cultural</t>
  </si>
  <si>
    <t>info@celianegrete.com</t>
  </si>
  <si>
    <t>676 461 997</t>
  </si>
  <si>
    <t>http://www.celianegrete.com</t>
  </si>
  <si>
    <t>Torre del Mar</t>
  </si>
  <si>
    <t>Celia Negrete</t>
  </si>
  <si>
    <t>Cenicienta Producciones Granada</t>
  </si>
  <si>
    <t>cenicientadiscos@gmail.com</t>
  </si>
  <si>
    <t>Mario Ojeda Alfonso</t>
  </si>
  <si>
    <t>Centro de Arte Flamenco y Danza Española Amor de Dios</t>
  </si>
  <si>
    <t>jsanjuan@amordedios.com</t>
  </si>
  <si>
    <t>https://www.amordedios.com</t>
  </si>
  <si>
    <t>Centro Escénico Infantil y Juvenil Pupaclown</t>
  </si>
  <si>
    <t>jefasala@pupaclown.org</t>
  </si>
  <si>
    <t>676 856 252</t>
  </si>
  <si>
    <t>https://www.pupaclown.org</t>
  </si>
  <si>
    <t>César Arias</t>
  </si>
  <si>
    <t>https://www.samarkandateatro.com</t>
  </si>
  <si>
    <t>Sergi Calleja Martínez</t>
  </si>
  <si>
    <t>germinalproducciones@telefonica.net</t>
  </si>
  <si>
    <t>http://www.germinalproducciones.com</t>
  </si>
  <si>
    <t>Grao de Castellón</t>
  </si>
  <si>
    <t>Pascual M. Rodríguez, Sergi Calleja, Philip Rogers</t>
  </si>
  <si>
    <t>Sergio Rubio Bethancourt - SBETHANCOURT</t>
  </si>
  <si>
    <t>https://sbethancourt.com/distribucion/</t>
  </si>
  <si>
    <t>Sergio Rubio Bethancourt</t>
  </si>
  <si>
    <t>SERVICIOS ARTISTICOS INSULARES SLU</t>
  </si>
  <si>
    <t>cris@serviciosartisticosinsulares.com</t>
  </si>
  <si>
    <t>https://serviciosartisticosinsulares.es/</t>
  </si>
  <si>
    <t>CRISTINA HERNANDEZ AMADOR</t>
  </si>
  <si>
    <t>Showercultura</t>
  </si>
  <si>
    <t>naomi@showercultura.com</t>
  </si>
  <si>
    <t>Naomi H. Santos</t>
  </si>
  <si>
    <t>SIDERAL MUSIC</t>
  </si>
  <si>
    <t>contacto@sideralmusic.com</t>
  </si>
  <si>
    <t>https://www.sideralmusic.com</t>
  </si>
  <si>
    <t>ALFONSO LÓPEZ</t>
  </si>
  <si>
    <t>Sierra Contratación Artística</t>
  </si>
  <si>
    <t>sierracontratacionartistica@gmail.com</t>
  </si>
  <si>
    <t>BELMONTE</t>
  </si>
  <si>
    <t>David Sierra González</t>
  </si>
  <si>
    <t>miguelangel@sketcheventos.net</t>
  </si>
  <si>
    <t>914946903/659503747</t>
  </si>
  <si>
    <t>https://www.sketcheventos.com/</t>
  </si>
  <si>
    <t>Miguel Angel García Bernaldez</t>
  </si>
  <si>
    <t>Smile Factory Producciones</t>
  </si>
  <si>
    <t>info@smilefactoryproducciones.com</t>
  </si>
  <si>
    <t>620618020/626104639</t>
  </si>
  <si>
    <t>https://www.smilefactoryproducciones.com</t>
  </si>
  <si>
    <t>Sofía Aguilar Producciones de Arte</t>
  </si>
  <si>
    <t>sofiaproduccionesdearte@gmail.com</t>
  </si>
  <si>
    <t>669 258 456</t>
  </si>
  <si>
    <t>Sofía Aguilar</t>
  </si>
  <si>
    <t>SOLOBE ART</t>
  </si>
  <si>
    <t>info@solobeart.com</t>
  </si>
  <si>
    <t>http://www.solobeart.com</t>
  </si>
  <si>
    <t>Dinora Mega Mannocci</t>
  </si>
  <si>
    <t>SONDE 3</t>
  </si>
  <si>
    <t>910 145 480</t>
  </si>
  <si>
    <t>https://www.sonde3.com/</t>
  </si>
  <si>
    <t>Isabel Sánchez</t>
  </si>
  <si>
    <t>Soundline Producciones S. L.</t>
  </si>
  <si>
    <t>mazafrilla@soundline.es</t>
  </si>
  <si>
    <t>967/508984 600585891</t>
  </si>
  <si>
    <t>https://www.soundline.es</t>
  </si>
  <si>
    <t>Miguel Angel Zafrilla</t>
  </si>
  <si>
    <t>Soundpak sl</t>
  </si>
  <si>
    <t>felipe@toompak.com</t>
  </si>
  <si>
    <t>http://www.toompak.com</t>
  </si>
  <si>
    <t>Meco</t>
  </si>
  <si>
    <t>Felipe Dueñas</t>
  </si>
  <si>
    <t>SoWhat Management</t>
  </si>
  <si>
    <t>booking@sowhat-management.com</t>
  </si>
  <si>
    <t>https://sowhat-management.com/</t>
  </si>
  <si>
    <t>Christian Boguslawski</t>
  </si>
  <si>
    <t>Spanish Bombs SL</t>
  </si>
  <si>
    <t>spanishbombs@spanishbombs.com</t>
  </si>
  <si>
    <t>http://www.spanishbombs.com/es/index.php</t>
  </si>
  <si>
    <t>Carlos Mariño</t>
  </si>
  <si>
    <t>STAGE SUPPORT</t>
  </si>
  <si>
    <t>gerard@stagesupport.com</t>
  </si>
  <si>
    <t>http://www.stagesupport.com</t>
  </si>
  <si>
    <t>Sant Joanet</t>
  </si>
  <si>
    <t>Gerard González</t>
  </si>
  <si>
    <t>Stein Producciones</t>
  </si>
  <si>
    <t>stein@infonegocio.com</t>
  </si>
  <si>
    <t>914 043 505 / 914 036 225 / 649 409 921</t>
  </si>
  <si>
    <t>noemi@summummusic.com</t>
  </si>
  <si>
    <t>http://www.summummusic.com</t>
  </si>
  <si>
    <t>Noemí García</t>
  </si>
  <si>
    <t>Summum Music (Atlantic Music entertainment S.L)</t>
  </si>
  <si>
    <t>gestion@summummusic.com</t>
  </si>
  <si>
    <t>Luis Hoyos</t>
  </si>
  <si>
    <t>Sur La Touche Promociones</t>
  </si>
  <si>
    <t>promocionesSLT@gmail.com</t>
  </si>
  <si>
    <t>Iris López</t>
  </si>
  <si>
    <t>CF Eventos</t>
  </si>
  <si>
    <t>sara@cfeventos.com</t>
  </si>
  <si>
    <t>https://www.cfeventos.com</t>
  </si>
  <si>
    <t>Leioa</t>
  </si>
  <si>
    <t>Chao Management</t>
  </si>
  <si>
    <t>chao@chaomanagement.com</t>
  </si>
  <si>
    <t>91 521 69 05 / 91 521 69 87</t>
  </si>
  <si>
    <t>https://www.chaomanagement.com/</t>
  </si>
  <si>
    <t>CHARLATANA</t>
  </si>
  <si>
    <t>charlatanascg@gmail.com</t>
  </si>
  <si>
    <t>https://www.charlatana.org</t>
  </si>
  <si>
    <t>Eva Triñanes</t>
  </si>
  <si>
    <t>Charo Avila</t>
  </si>
  <si>
    <t>charoavila@racomunicacion.com</t>
  </si>
  <si>
    <t>Check-in Producciones</t>
  </si>
  <si>
    <t>produccion@animalario.eu</t>
  </si>
  <si>
    <t>Joseba Gil</t>
  </si>
  <si>
    <t>CHICHA PROYECTOS</t>
  </si>
  <si>
    <t>virginia.fernandezgabriel@gmail.com</t>
  </si>
  <si>
    <t>https://www.chichaproyectos.org/</t>
  </si>
  <si>
    <t>Virginia Fernández Gabriel</t>
  </si>
  <si>
    <t>Cia. Passabarret</t>
  </si>
  <si>
    <t>info@passabarret.com</t>
  </si>
  <si>
    <t>http://www.passabarret.com</t>
  </si>
  <si>
    <t>David Sancho</t>
  </si>
  <si>
    <t>Ciencia Escenica</t>
  </si>
  <si>
    <t>distribucion@cienciaescenica.com</t>
  </si>
  <si>
    <t>https://cienciaescenica.com/</t>
  </si>
  <si>
    <t>Ilion Trebicka</t>
  </si>
  <si>
    <t>Cityzen Music</t>
  </si>
  <si>
    <t>juan@cityzenmusic.com</t>
  </si>
  <si>
    <t>639 639 438</t>
  </si>
  <si>
    <t>https://www.cityzenmusic.com</t>
  </si>
  <si>
    <t>JUAN PONCE</t>
  </si>
  <si>
    <t>ClapEscena</t>
  </si>
  <si>
    <t>info@clapescena.es</t>
  </si>
  <si>
    <t>647866040/967273393</t>
  </si>
  <si>
    <t>https://www.clapescena.es</t>
  </si>
  <si>
    <t>Aguas Nuevas</t>
  </si>
  <si>
    <t>Susana Vila</t>
  </si>
  <si>
    <t>svila@flamencotalent.com</t>
  </si>
  <si>
    <t>https://www.flamencotalent.com</t>
  </si>
  <si>
    <t>Syntorama</t>
  </si>
  <si>
    <t>cruzgorostegi@syntorama.com</t>
  </si>
  <si>
    <t>http://www.syntorama.com</t>
  </si>
  <si>
    <t>Cruz Gorostegi</t>
  </si>
  <si>
    <t>TALENTS ON STAGE</t>
  </si>
  <si>
    <t>p.vivenot@talentsonstage.com</t>
  </si>
  <si>
    <t>https://www.talentsonstage.org</t>
  </si>
  <si>
    <t>Paris</t>
  </si>
  <si>
    <t>philippe Vivenot</t>
  </si>
  <si>
    <t>Tatiana Solovieva Producciones, S.L.</t>
  </si>
  <si>
    <t>tatiana@tatianasolovievaproducciones.com</t>
  </si>
  <si>
    <t>918414858 - 629197398</t>
  </si>
  <si>
    <t>https://www.tatianasolovievaproducciones.com</t>
  </si>
  <si>
    <t>San Agustín del Guadalix</t>
  </si>
  <si>
    <t>Tatiana Solovieva</t>
  </si>
  <si>
    <t>Tdiferencia</t>
  </si>
  <si>
    <t>info@tdiferencia.com</t>
  </si>
  <si>
    <t>http://www.tdiferencia.com</t>
  </si>
  <si>
    <t>Tdiferencia S.Coop</t>
  </si>
  <si>
    <t>maiteredin@tdiferencia.com</t>
  </si>
  <si>
    <t>https://www.tdiferencia.com/</t>
  </si>
  <si>
    <t>pamplona</t>
  </si>
  <si>
    <t>Maite Redin</t>
  </si>
  <si>
    <t>Teatro Accesible</t>
  </si>
  <si>
    <t>distribucion@aptent.es</t>
  </si>
  <si>
    <t>https://www.teatroaccesible.com</t>
  </si>
  <si>
    <t>Javier Jiménez Dorado</t>
  </si>
  <si>
    <t>Teatro de lo Inestable</t>
  </si>
  <si>
    <t>prensaycomunicacion@espacioinestable.com</t>
  </si>
  <si>
    <t>https://www.espacioinestable.com</t>
  </si>
  <si>
    <t>Esther Melo Escrihuela</t>
  </si>
  <si>
    <t>teatro imaginario de titeres</t>
  </si>
  <si>
    <t>titeres@pequesduendes.com</t>
  </si>
  <si>
    <t>691833802 655839433</t>
  </si>
  <si>
    <t>https://www.pequesduendes.com</t>
  </si>
  <si>
    <t>rota</t>
  </si>
  <si>
    <t>yolanda de santos fernandez</t>
  </si>
  <si>
    <t>Telón Producciones</t>
  </si>
  <si>
    <t>marialuisa@telonproducciones.com</t>
  </si>
  <si>
    <t>91 630 23 30 / 690 74 05 77</t>
  </si>
  <si>
    <t>https://www.telonproducciones.com</t>
  </si>
  <si>
    <t>Clara Pérez - Pérez y Goldstein S.L.</t>
  </si>
  <si>
    <t>clarape90@hotmail.com</t>
  </si>
  <si>
    <t>http://www.claraperezdistribucion.com</t>
  </si>
  <si>
    <t>COLMENAREJO</t>
  </si>
  <si>
    <t>Clara Pérez</t>
  </si>
  <si>
    <t>Claudio Castillo</t>
  </si>
  <si>
    <t>info@claudiocastillo.es</t>
  </si>
  <si>
    <t>https://claudiocastillo.es/</t>
  </si>
  <si>
    <t>Reocín</t>
  </si>
  <si>
    <t>Claudio Castillo Díaz</t>
  </si>
  <si>
    <t>Clave de 2</t>
  </si>
  <si>
    <t>contratacion@clavede2.com</t>
  </si>
  <si>
    <t>https://www.clavede2.com</t>
  </si>
  <si>
    <t>Bedlicena</t>
  </si>
  <si>
    <t>Eva Jiménez</t>
  </si>
  <si>
    <t>Clever Events</t>
  </si>
  <si>
    <t>jose@cleverevents.es</t>
  </si>
  <si>
    <t>https://www.cleverevents.info</t>
  </si>
  <si>
    <t>Getafe</t>
  </si>
  <si>
    <t>José Manuel Martínez Fernández</t>
  </si>
  <si>
    <t>Comart Culture Management</t>
  </si>
  <si>
    <t>comartculturemanagement@gmail.com</t>
  </si>
  <si>
    <t>http://www.comartculturemanagement.com</t>
  </si>
  <si>
    <t>Alaquàs</t>
  </si>
  <si>
    <t>Claudia Alós</t>
  </si>
  <si>
    <t>COMEDYPLAN</t>
  </si>
  <si>
    <t>info@comedyplan.com</t>
  </si>
  <si>
    <t>675 637 103 / 669 357 923</t>
  </si>
  <si>
    <t>http://www.comedyplan.com</t>
  </si>
  <si>
    <t>RAFA ALARCÓN</t>
  </si>
  <si>
    <t>Compañia Entre Patas</t>
  </si>
  <si>
    <t>Laurybellog@gmail.com</t>
  </si>
  <si>
    <t>http://www.entrepatasteatro.com</t>
  </si>
  <si>
    <t>Laura Bello García</t>
  </si>
  <si>
    <t>Compañía Guindalera</t>
  </si>
  <si>
    <t>info@guindalera.com</t>
  </si>
  <si>
    <t>https://www.guindalera.com</t>
  </si>
  <si>
    <t>Concerlírica</t>
  </si>
  <si>
    <t>operainternacional@telefonica.net</t>
  </si>
  <si>
    <t>https://www.concerlirica.com</t>
  </si>
  <si>
    <t>Mortera</t>
  </si>
  <si>
    <t>Leonor Gago</t>
  </si>
  <si>
    <t>conSentidos. Arantxa Martín</t>
  </si>
  <si>
    <t>arantxadistribucion@gmail.com</t>
  </si>
  <si>
    <t>625 11 26 60</t>
  </si>
  <si>
    <t>Villares de la Reina</t>
  </si>
  <si>
    <t>Arantxa Martín</t>
  </si>
  <si>
    <t>Consultoria de Artes Escénicas</t>
  </si>
  <si>
    <t>gina@conartes.es</t>
  </si>
  <si>
    <t>https://conartes.es/</t>
  </si>
  <si>
    <t>Gina Tous</t>
  </si>
  <si>
    <t>Coolturearte</t>
  </si>
  <si>
    <t>adrian.espada@coolturearte.com</t>
  </si>
  <si>
    <t>https://www.coolturearte.com/</t>
  </si>
  <si>
    <t>Adrian Espada</t>
  </si>
  <si>
    <t>COR DE TERRA</t>
  </si>
  <si>
    <t>hola@cordeterra.org</t>
  </si>
  <si>
    <t>https://www.cordeterra.org</t>
  </si>
  <si>
    <t>PEP GINER</t>
  </si>
  <si>
    <t>CPF.Cultural Projects Factory</t>
  </si>
  <si>
    <t>cpf@cpfspain.com</t>
  </si>
  <si>
    <t>https://www.cpfspain.com</t>
  </si>
  <si>
    <t>IRMA GARCÍA y SILVIA MARTÍNEZ</t>
  </si>
  <si>
    <t>CREATICS ARTES APLICADAS</t>
  </si>
  <si>
    <t>pau.tules@creatics.es</t>
  </si>
  <si>
    <t>https://www.creatics.es</t>
  </si>
  <si>
    <t>VILASECA</t>
  </si>
  <si>
    <t>PAU TULES</t>
  </si>
  <si>
    <t>anavilla@creatividadsolidaria.es</t>
  </si>
  <si>
    <t>https://www.creatividadsolidaria.es</t>
  </si>
  <si>
    <t>SAN LORENZO DE EL ESCORIAL</t>
  </si>
  <si>
    <t>Ana Villa</t>
  </si>
  <si>
    <t>CRÉMILO, PROYECTOS CULTURALES Y DIST. ESPECTÁCULOS</t>
  </si>
  <si>
    <t>http://cremilo.es</t>
  </si>
  <si>
    <t>Orense / Ourense</t>
  </si>
  <si>
    <t>CARLOS MARTÍNEZ CARBONELL</t>
  </si>
  <si>
    <t>Crescendo Music, S. L.</t>
  </si>
  <si>
    <t>crescendo@crescendomusic.es</t>
  </si>
  <si>
    <t>91.548.93.53</t>
  </si>
  <si>
    <t>https://www.crescendomusic.es</t>
  </si>
  <si>
    <t>J. Luis García Arce</t>
  </si>
  <si>
    <t>CSEConnect</t>
  </si>
  <si>
    <t>admin@cseconnect.es</t>
  </si>
  <si>
    <t>647183655/ 684782759</t>
  </si>
  <si>
    <t>Esther San Emeterio Garciandía</t>
  </si>
  <si>
    <t>TPT Eventos</t>
  </si>
  <si>
    <t>coordinacion@tpteventos.com</t>
  </si>
  <si>
    <t>http://www.tpteventos.com</t>
  </si>
  <si>
    <t>Alessandro</t>
  </si>
  <si>
    <t>Trame Distribution</t>
  </si>
  <si>
    <t>tramedistribution@gmail.com</t>
  </si>
  <si>
    <t>https://tramedistribution.com/</t>
  </si>
  <si>
    <t>Giulia Armanini</t>
  </si>
  <si>
    <t>Trans-Forma Producción Cultural</t>
  </si>
  <si>
    <t>http://www.trans-forma.es</t>
  </si>
  <si>
    <t>Maria González</t>
  </si>
  <si>
    <t>Tranvía Teatro</t>
  </si>
  <si>
    <t>info@teatrodelaestacion.com</t>
  </si>
  <si>
    <t>615839711/976469494</t>
  </si>
  <si>
    <t>https://www.teatrodelaestacion.com</t>
  </si>
  <si>
    <t>Fernando Vallejo</t>
  </si>
  <si>
    <t>Traspasos Kultur</t>
  </si>
  <si>
    <t>info@traspasoskultur.com</t>
  </si>
  <si>
    <t>http://www.traspasoskultur.com</t>
  </si>
  <si>
    <t>Zigoitia</t>
  </si>
  <si>
    <t>Charo Fernandez Insausti</t>
  </si>
  <si>
    <t>Travesías Culturales</t>
  </si>
  <si>
    <t>info@travesiasculturales.es</t>
  </si>
  <si>
    <t>650263756 // 623001296</t>
  </si>
  <si>
    <t>https://www.travesiasculturales.es</t>
  </si>
  <si>
    <t>Iratxe Jiménez</t>
  </si>
  <si>
    <t>Tremendo Audiovisual</t>
  </si>
  <si>
    <t>info@tremendoaudiovisual.com</t>
  </si>
  <si>
    <t>http://www.tremendoaudiovisual.com</t>
  </si>
  <si>
    <t>Sigüeiro - Oroso</t>
  </si>
  <si>
    <t>Manuel Tarrío Cao</t>
  </si>
  <si>
    <t>Trencadís Produccions</t>
  </si>
  <si>
    <t>maria@giragiradis.com</t>
  </si>
  <si>
    <t>https://giragiradis.com/trencadis-produccions/</t>
  </si>
  <si>
    <t>Tavernes de Valldigna</t>
  </si>
  <si>
    <t>Maria Peiró</t>
  </si>
  <si>
    <t>Triapasón</t>
  </si>
  <si>
    <t>info@triapason.com</t>
  </si>
  <si>
    <t>https://triapason.com/</t>
  </si>
  <si>
    <t>Fernando Soler</t>
  </si>
  <si>
    <t>TUNERA PRODUCCIONES</t>
  </si>
  <si>
    <t>contacto@tuneraproducciones.com</t>
  </si>
  <si>
    <t>https://www.grupotsc.es</t>
  </si>
  <si>
    <t>Arrecife</t>
  </si>
  <si>
    <t>Lourdes Santana</t>
  </si>
  <si>
    <t>TUTATIS PRODUCCIONES</t>
  </si>
  <si>
    <t>info@tutatis.es</t>
  </si>
  <si>
    <t>933 778 443</t>
  </si>
  <si>
    <t>http://www.tutatis.es</t>
  </si>
  <si>
    <t>Lluis Rovira Yagüez</t>
  </si>
  <si>
    <t>Txirene Distribución Teatral</t>
  </si>
  <si>
    <t>rosa@laurentzi.com</t>
  </si>
  <si>
    <t>https://laurentzi.com/</t>
  </si>
  <si>
    <t>Rosa Iglesias</t>
  </si>
  <si>
    <t>El Espíritu del Sur</t>
  </si>
  <si>
    <t>luis@espiritudelsur.com</t>
  </si>
  <si>
    <t>http://www.espiritudelsur.com</t>
  </si>
  <si>
    <t>LUIS COSTA</t>
  </si>
  <si>
    <t>EL MANDAITO PRODUCCIONES</t>
  </si>
  <si>
    <t>produccion@elmandaito.com</t>
  </si>
  <si>
    <t>954374103 - 619 049 598</t>
  </si>
  <si>
    <t>http://www.elmandaito.com</t>
  </si>
  <si>
    <t>LOURDES GARCÍA</t>
  </si>
  <si>
    <t>El Tragaluz</t>
  </si>
  <si>
    <t>patricia@eltragaluz.com</t>
  </si>
  <si>
    <t>http://www.eltragaluz.com</t>
  </si>
  <si>
    <t>Patricia Fernández Pedreiro</t>
  </si>
  <si>
    <t>El Volcán Música</t>
  </si>
  <si>
    <t>kiko@elvolcanmusica.com</t>
  </si>
  <si>
    <t>https://www.elvolcanmusica.com/</t>
  </si>
  <si>
    <t>Kiko Sumillera</t>
  </si>
  <si>
    <t>Electric Bulegoa</t>
  </si>
  <si>
    <t>info@electricbulegoa.com</t>
  </si>
  <si>
    <t>946410953/658713572</t>
  </si>
  <si>
    <t>https://www.electricbulegoa.com</t>
  </si>
  <si>
    <t>Oskar</t>
  </si>
  <si>
    <t>Elena Bermudez Producciones</t>
  </si>
  <si>
    <t>elenabermudez@telefonica.net</t>
  </si>
  <si>
    <t>955727712 - 667575868</t>
  </si>
  <si>
    <t>https://www.elenabermudez.com</t>
  </si>
  <si>
    <t>Valencina de la ConcepciónS</t>
  </si>
  <si>
    <t>ELENA CARRASCAL Impulso*Distribución</t>
  </si>
  <si>
    <t>info@elenacarrascal.com</t>
  </si>
  <si>
    <t>610948200 / 652078443</t>
  </si>
  <si>
    <t>Elena Carrascal</t>
  </si>
  <si>
    <t>Udol de Llop Management</t>
  </si>
  <si>
    <t>udoldellopmanagement@gmail.com</t>
  </si>
  <si>
    <t>https://www.udoldellopmanagement.cat</t>
  </si>
  <si>
    <t>Sant Feliu de Llobregat</t>
  </si>
  <si>
    <t>UKALARI MENORCA EVENTS</t>
  </si>
  <si>
    <t>administracion@ukalarimenorca.es</t>
  </si>
  <si>
    <t>https://www.ukalarimenorcaevents.com/</t>
  </si>
  <si>
    <t>CIUTADELLA</t>
  </si>
  <si>
    <t>Última Fila Producciones</t>
  </si>
  <si>
    <t>ultimafilasl@gmail.com</t>
  </si>
  <si>
    <t>607620181 - 916304360</t>
  </si>
  <si>
    <t>https://www.ultimafilaproducciones.com</t>
  </si>
  <si>
    <t>Las Matas</t>
  </si>
  <si>
    <t>ULTIMATE EVENTS</t>
  </si>
  <si>
    <t>multimateevents@gmail.com</t>
  </si>
  <si>
    <t>https://ultimateevents.es</t>
  </si>
  <si>
    <t>Alba Villanueva</t>
  </si>
  <si>
    <t>VACAS MANAGEMENT</t>
  </si>
  <si>
    <t>info@vacasmanagement.com</t>
  </si>
  <si>
    <t>https://www.vacasmanagement.com</t>
  </si>
  <si>
    <t>Navacerrada</t>
  </si>
  <si>
    <t>Javier Vacas</t>
  </si>
  <si>
    <t>Valeria Cosi / Tina Agency</t>
  </si>
  <si>
    <t>gestionvaleria@gmail.com</t>
  </si>
  <si>
    <t>Valeria Cosi</t>
  </si>
  <si>
    <t>Ventilador Music</t>
  </si>
  <si>
    <t>live@ventilador-music.com</t>
  </si>
  <si>
    <t>933 327 658</t>
  </si>
  <si>
    <t>http://www.ventilador-music.com</t>
  </si>
  <si>
    <t>Sara Pi</t>
  </si>
  <si>
    <t>VERTIGO 360 S.L.</t>
  </si>
  <si>
    <t>johnvaro@vertigo360.me</t>
  </si>
  <si>
    <t>671857473 / 609428872</t>
  </si>
  <si>
    <t>John Varo</t>
  </si>
  <si>
    <t>Victor Aranda</t>
  </si>
  <si>
    <t>arandavictor@hotmail.com</t>
  </si>
  <si>
    <t>91.523.82.83</t>
  </si>
  <si>
    <t>Victor Aranda, Mar Vaquero</t>
  </si>
  <si>
    <t>Cuánta Fantasía</t>
  </si>
  <si>
    <t>santtiago@cuantafantasia.com</t>
  </si>
  <si>
    <t>SANTIAGO RUIZ</t>
  </si>
  <si>
    <t>Cuarto Cabal</t>
  </si>
  <si>
    <t>marisa@cuartocabal.com</t>
  </si>
  <si>
    <t>958 48 70 84</t>
  </si>
  <si>
    <t>https://www.cuartocabal.com</t>
  </si>
  <si>
    <t>Cenes de la Vega</t>
  </si>
  <si>
    <t>Cuatro Gatos Management,S.L</t>
  </si>
  <si>
    <t>info@cuatrogatos.com</t>
  </si>
  <si>
    <t>91.354.04.42</t>
  </si>
  <si>
    <t>https://www.cuatrogatos.com</t>
  </si>
  <si>
    <t>Gloria González / Valerie Collingnon</t>
  </si>
  <si>
    <t>Cubde Music</t>
  </si>
  <si>
    <t>pablo@cudbemusic.com</t>
  </si>
  <si>
    <t>629 749 966 / 881897289</t>
  </si>
  <si>
    <t>Cambre</t>
  </si>
  <si>
    <t>Pablo Cubeiro</t>
  </si>
  <si>
    <t>Cucumber Producciones SL</t>
  </si>
  <si>
    <t>javier@6059producciones.es</t>
  </si>
  <si>
    <t>http://www.6059.es</t>
  </si>
  <si>
    <t>Javier Pouso Blanco</t>
  </si>
  <si>
    <t>Cultura de Comunicación</t>
  </si>
  <si>
    <t>cultura@culturadecomunicacion.com</t>
  </si>
  <si>
    <t>https://www.culturadecomunicacion.com</t>
  </si>
  <si>
    <t>Cultura Periferica</t>
  </si>
  <si>
    <t>somosculturaperiferica@gmail.com</t>
  </si>
  <si>
    <t>Adrián Espada</t>
  </si>
  <si>
    <t>CULTURACTIVA</t>
  </si>
  <si>
    <t>info@culturactiva.org</t>
  </si>
  <si>
    <t>http://www.culturactiva.org</t>
  </si>
  <si>
    <t>Nacho Fungueiriño</t>
  </si>
  <si>
    <t>Cultural Promoter</t>
  </si>
  <si>
    <t>cultural.promoter@gmail.com</t>
  </si>
  <si>
    <t>https://www.culturalpromoter.com</t>
  </si>
  <si>
    <t>Becerril de la Sierra</t>
  </si>
  <si>
    <t>África Velasco</t>
  </si>
  <si>
    <t>Cunde</t>
  </si>
  <si>
    <t>cunde@cunde.gal</t>
  </si>
  <si>
    <t>981563764/676865908</t>
  </si>
  <si>
    <t>http://www.cunde.gal</t>
  </si>
  <si>
    <t>San Sadurniño</t>
  </si>
  <si>
    <t>Cecilia Carballido</t>
  </si>
  <si>
    <t>Dámaris</t>
  </si>
  <si>
    <t>info@esenciadevia.com</t>
  </si>
  <si>
    <t>629583780/936753828</t>
  </si>
  <si>
    <t>https://www.esenciadevida.com</t>
  </si>
  <si>
    <t>Sant Cugat del Valles</t>
  </si>
  <si>
    <t>DameDrama</t>
  </si>
  <si>
    <t>distribucion@damedrama.es</t>
  </si>
  <si>
    <t>https://www.damedrama.es</t>
  </si>
  <si>
    <t>Dan Segura</t>
  </si>
  <si>
    <t>dansegura@labikina.org</t>
  </si>
  <si>
    <t>https://www.labikina.org</t>
  </si>
  <si>
    <t>Desvelo Música y Proyectos Culturales</t>
  </si>
  <si>
    <t>zara@desvelo.eu</t>
  </si>
  <si>
    <t>https://www.desvelo.eu</t>
  </si>
  <si>
    <t>Zara Sierra</t>
  </si>
  <si>
    <t>Deunouve Distribución</t>
  </si>
  <si>
    <t>distribucion@deunouve.es</t>
  </si>
  <si>
    <t>https://www.deunouve.es</t>
  </si>
  <si>
    <t>Carla Rozas</t>
  </si>
  <si>
    <t>DGB Producciones</t>
  </si>
  <si>
    <t>diego@dgbproducciones.com</t>
  </si>
  <si>
    <t>http://www.dgbproducciones.com</t>
  </si>
  <si>
    <t>Cuevas del Almanzora</t>
  </si>
  <si>
    <t>Diego González Bravo</t>
  </si>
  <si>
    <t>Dgira</t>
  </si>
  <si>
    <t>dgira@dgira.com</t>
  </si>
  <si>
    <t>https://www.dgira.es</t>
  </si>
  <si>
    <t>Sandra Bonilla</t>
  </si>
  <si>
    <t>ensambles, producción y gestión musical.</t>
  </si>
  <si>
    <t>ensambles@ensambles.es</t>
  </si>
  <si>
    <t>954 674700</t>
  </si>
  <si>
    <t>https://www.ensambles.es</t>
  </si>
  <si>
    <t>sevilla</t>
  </si>
  <si>
    <t>Entre Bambalinas. Gestión Cultural</t>
  </si>
  <si>
    <t>entrebambalinas.g.cultural@gmail.com</t>
  </si>
  <si>
    <t>https://www.entre-bambalinas.com/</t>
  </si>
  <si>
    <t>Cristina Gandarias García</t>
  </si>
  <si>
    <t>EQM Serveis Culturals</t>
  </si>
  <si>
    <t>info@eqmcultura.com</t>
  </si>
  <si>
    <t>934661330 / 619061445</t>
  </si>
  <si>
    <t>https://www.eqmcultura.com</t>
  </si>
  <si>
    <t>Santa Coloma Gramenet</t>
  </si>
  <si>
    <t>Joan Fernández</t>
  </si>
  <si>
    <t>Escena Distribución Granada SL</t>
  </si>
  <si>
    <t>andrea@escenagranada.com</t>
  </si>
  <si>
    <t>https://www.escenadistribuciongranada.com/</t>
  </si>
  <si>
    <t>Andrea Benito Frontiñan</t>
  </si>
  <si>
    <t>ESCENA FLAMENCA</t>
  </si>
  <si>
    <t>info@escenaflamenca.com</t>
  </si>
  <si>
    <t>https://escenaflamenca.com/escena-flamenca/</t>
  </si>
  <si>
    <t>SILVIA CARRILLO</t>
  </si>
  <si>
    <t>Escenapart / Escenamusic</t>
  </si>
  <si>
    <t>info@escenapart.cat</t>
  </si>
  <si>
    <t>http://www.escenapart.cat</t>
  </si>
  <si>
    <t>El Prat de Llobregat</t>
  </si>
  <si>
    <t>Xavier González</t>
  </si>
  <si>
    <t>ESCENICAS CAMPOY</t>
  </si>
  <si>
    <t>INFO@ESCENICASCAMPOY.COM</t>
  </si>
  <si>
    <t>https://WWW.ESCENICASCAMPOY.COM</t>
  </si>
  <si>
    <t>ALHENDIN</t>
  </si>
  <si>
    <t>Laura Campoy</t>
  </si>
  <si>
    <t>Esmanagement</t>
  </si>
  <si>
    <t>esantonjadistribuye@gmail.com</t>
  </si>
  <si>
    <t>949 366053/ 666 20 31 37</t>
  </si>
  <si>
    <t>Chiloeches</t>
  </si>
  <si>
    <t>Elena Santonja</t>
  </si>
  <si>
    <t>Esmerarte Industrias Creativas</t>
  </si>
  <si>
    <t>daniela@esmerarte.com</t>
  </si>
  <si>
    <t>https://esmerarte.com/</t>
  </si>
  <si>
    <t>info@esmerarte.com</t>
  </si>
  <si>
    <t>Dgira/Distribución de espectáculos</t>
  </si>
  <si>
    <t>dgira@dgira.es</t>
  </si>
  <si>
    <t>http://www.dgira.es</t>
  </si>
  <si>
    <t>diagoras proyectos culturales</t>
  </si>
  <si>
    <t>diagoras@diagorasproducciones.com</t>
  </si>
  <si>
    <t>91 665 76 68 / 600 46 11 49</t>
  </si>
  <si>
    <t>http://www.diagorasproducciones.com</t>
  </si>
  <si>
    <t>daniel acebes</t>
  </si>
  <si>
    <t>Diantre</t>
  </si>
  <si>
    <t>contacto@diantre.es</t>
  </si>
  <si>
    <t>955827443, 656610367, 615973569</t>
  </si>
  <si>
    <t>https://www.diantre.es</t>
  </si>
  <si>
    <t>Dietsch International Associates</t>
  </si>
  <si>
    <t>clara.criado@dietschartists.com</t>
  </si>
  <si>
    <t>91 770 5330</t>
  </si>
  <si>
    <t>Desiree Halac y Clara Criado</t>
  </si>
  <si>
    <t>Diggers Music</t>
  </si>
  <si>
    <t>booking@diggersmusic.com</t>
  </si>
  <si>
    <t>93 309 15 43 / 618 670 314</t>
  </si>
  <si>
    <t>http://www.diggersmusic.com</t>
  </si>
  <si>
    <t>Roger López / Xènia Tena</t>
  </si>
  <si>
    <t>dilaab</t>
  </si>
  <si>
    <t>distribucion@dilaabteatral.com</t>
  </si>
  <si>
    <t>https://dilaabteatral.com</t>
  </si>
  <si>
    <t>Tomares</t>
  </si>
  <si>
    <t>Marta L. Caro</t>
  </si>
  <si>
    <t>Dislate Producciones</t>
  </si>
  <si>
    <t>dislateproducciones@gmail.com</t>
  </si>
  <si>
    <t>Naroe Valls O´Shanahan</t>
  </si>
  <si>
    <t>Disparatario</t>
  </si>
  <si>
    <t>hola@disparatario.com</t>
  </si>
  <si>
    <t>https://www.disparatario.com</t>
  </si>
  <si>
    <t>Algemesí</t>
  </si>
  <si>
    <t>Lorena Comín</t>
  </si>
  <si>
    <t>DISTRIBUCION JOSE LUIS</t>
  </si>
  <si>
    <t>jlmoreno@distribucionjoseluis.es</t>
  </si>
  <si>
    <t>https://www.distribucionjoseluis.es</t>
  </si>
  <si>
    <t>ESTEPONA</t>
  </si>
  <si>
    <t>JOSE LUIS MORENO LLAMAS</t>
  </si>
  <si>
    <t>Divinas Producciones - Distribuciones Teatrales</t>
  </si>
  <si>
    <t>produccionescelestiales@telefonica.net</t>
  </si>
  <si>
    <t>https://produccionescelestiales.com</t>
  </si>
  <si>
    <t>MANUEL DE GOTOR</t>
  </si>
  <si>
    <t>DOC ART project</t>
  </si>
  <si>
    <t>angels@docartproject.com</t>
  </si>
  <si>
    <t>https://www.docartproject.com/</t>
  </si>
  <si>
    <t>Àngels Queralt</t>
  </si>
  <si>
    <t>Dos Hermanas Catorce</t>
  </si>
  <si>
    <t>910263985 / 657507200 / 600555001</t>
  </si>
  <si>
    <t>https://www.doshermanascatorce.com</t>
  </si>
  <si>
    <t>Guillermo Delgado / Sergio Bethancourt</t>
  </si>
  <si>
    <t>Drac Management</t>
  </si>
  <si>
    <t>drac@dracmanagement.com</t>
  </si>
  <si>
    <t>https://www.dracmanagement.com</t>
  </si>
  <si>
    <t>Drom - Carmina Escardó</t>
  </si>
  <si>
    <t>info@dromcultura.com</t>
  </si>
  <si>
    <t>972 529265 / 629722998</t>
  </si>
  <si>
    <t>https://www.dromcultura.com</t>
  </si>
  <si>
    <t>Pont de Molins</t>
  </si>
  <si>
    <t>Carmina Escardó</t>
  </si>
  <si>
    <t>Dubarry - Creación y gestión de espectáculos</t>
  </si>
  <si>
    <t>info@jorgedubarry.com</t>
  </si>
  <si>
    <t>Jorge Dubarry</t>
  </si>
  <si>
    <t>Dulcimer Songs</t>
  </si>
  <si>
    <t>chachipe@gmail.com</t>
  </si>
  <si>
    <t>914649057 629411226</t>
  </si>
  <si>
    <t>https://www.dulcimersongs.com</t>
  </si>
  <si>
    <t>Espectacles Dr. Bombolla</t>
  </si>
  <si>
    <t>dr.bombolla@gmail.com</t>
  </si>
  <si>
    <t>https://espectaclesdrbombolla.com/</t>
  </si>
  <si>
    <t>Roger Freixas Aris</t>
  </si>
  <si>
    <t>EspectacleSpectacular</t>
  </si>
  <si>
    <t>espectaclespectacular@gmail.com</t>
  </si>
  <si>
    <t>https://www.espectaclespectacular.com/</t>
  </si>
  <si>
    <t>Ribes de Freser</t>
  </si>
  <si>
    <t>Sandra Alfaro</t>
  </si>
  <si>
    <t>Espectaculos de la Osa</t>
  </si>
  <si>
    <t>info@espectaculosdelaosa.com</t>
  </si>
  <si>
    <t>https://espectaculosdelaosa.com/</t>
  </si>
  <si>
    <t>Sergio Albir de la Osa</t>
  </si>
  <si>
    <t>Espectáculos La Noche</t>
  </si>
  <si>
    <t>elanoche@gmail.com</t>
  </si>
  <si>
    <t>958379002 / 647999329</t>
  </si>
  <si>
    <t>Enrique Acosta Pargas</t>
  </si>
  <si>
    <t>ESPECTACULOS LA UNIÓN</t>
  </si>
  <si>
    <t>contratacion@espectaculoslaunion.com</t>
  </si>
  <si>
    <t>https://espectaculoslaunion.com</t>
  </si>
  <si>
    <t>MARK ALVIR PINA</t>
  </si>
  <si>
    <t>Espectáculos Tauro Producciones (Somos Compañía)</t>
  </si>
  <si>
    <t>espectaculostauro@hotmail.com</t>
  </si>
  <si>
    <t>671792374 976024592</t>
  </si>
  <si>
    <t>Jesús Sesma</t>
  </si>
  <si>
    <t>EssentiArts</t>
  </si>
  <si>
    <t>info@essenti-arts.com</t>
  </si>
  <si>
    <t>https://www.essenti-arts.com/</t>
  </si>
  <si>
    <t>Salvador tarazona</t>
  </si>
  <si>
    <t>Esteban García Ballesteros</t>
  </si>
  <si>
    <t>produccion@lassietesillas.com</t>
  </si>
  <si>
    <t>630 980 008</t>
  </si>
  <si>
    <t>Fernando Ramos Mena</t>
  </si>
  <si>
    <t>Ester Carrasco</t>
  </si>
  <si>
    <t>mail@dancem.net</t>
  </si>
  <si>
    <t>646 59 55 72</t>
  </si>
  <si>
    <t>https://www.dancem.net</t>
  </si>
  <si>
    <t>Esther Nogué</t>
  </si>
  <si>
    <t>management@arsvocalis.com</t>
  </si>
  <si>
    <t>934548105 / 617089129</t>
  </si>
  <si>
    <t>https://www.arsvocalis.com</t>
  </si>
  <si>
    <t>Santa Eulàlia de Ronçana</t>
  </si>
  <si>
    <t>ESZENIKA NORTE</t>
  </si>
  <si>
    <t>eszenikanorte@gmail.com</t>
  </si>
  <si>
    <t>ALGORTA</t>
  </si>
  <si>
    <t>ASIER CALAHORRO</t>
  </si>
  <si>
    <t>ETIKeTéS Productora</t>
  </si>
  <si>
    <t>cultura@etiketes.gal</t>
  </si>
  <si>
    <t>658956991/630893184/600769147</t>
  </si>
  <si>
    <t>http://www.etiketes.gal</t>
  </si>
  <si>
    <t>CUNTIS</t>
  </si>
  <si>
    <t>NOELA TORRES TREVIÑO</t>
  </si>
  <si>
    <t>EUROMUSIC</t>
  </si>
  <si>
    <t>euromusic@webeuromusic.com</t>
  </si>
  <si>
    <t>676 494 564</t>
  </si>
  <si>
    <t>http://www.webeuromusic.com</t>
  </si>
  <si>
    <t>Pablo Verdeguer White</t>
  </si>
  <si>
    <t>EUROSCENA</t>
  </si>
  <si>
    <t>produccion@euroscena.es</t>
  </si>
  <si>
    <t>925254391 /606977680</t>
  </si>
  <si>
    <t>http://www.euroscena.es</t>
  </si>
  <si>
    <t>Salvador Collado</t>
  </si>
  <si>
    <t>EXHODOS MUSIC</t>
  </si>
  <si>
    <t>exhodosmanaging@gmail.com</t>
  </si>
  <si>
    <t>ALMUDENA TOMAS</t>
  </si>
  <si>
    <t>EXITO ENTERTAINMENT &amp; MANAGEMENT</t>
  </si>
  <si>
    <t>contratacion@damasocaminero.com</t>
  </si>
  <si>
    <t>http://www.damasocaminero.com</t>
  </si>
  <si>
    <t>DAMASO CAMINERO</t>
  </si>
  <si>
    <t>Faccino Producciones</t>
  </si>
  <si>
    <t>comunicacion@faccino.com</t>
  </si>
  <si>
    <t>954678638-600429624</t>
  </si>
  <si>
    <t>https://www.flamencofaccino.com</t>
  </si>
  <si>
    <t>San Juan de Aznalfarache</t>
  </si>
  <si>
    <t>FACTORIA DE TEATRO MUSICAL DISCOVERYMUSIC</t>
  </si>
  <si>
    <t>espi@discoverymusic.es</t>
  </si>
  <si>
    <t>https://www.discoverymusic.es</t>
  </si>
  <si>
    <t>ENRIQUE ESPINOSA</t>
  </si>
  <si>
    <t>Fina Estampa</t>
  </si>
  <si>
    <t>prod@finaestampa.es</t>
  </si>
  <si>
    <t>https://www.finaestampa.es</t>
  </si>
  <si>
    <t>Guillem Planagumà</t>
  </si>
  <si>
    <t>Flamenco de La Isla</t>
  </si>
  <si>
    <t>carlos@flamencodelaisla.com</t>
  </si>
  <si>
    <t>https://www.flamencodelaisla.es</t>
  </si>
  <si>
    <t>San Fernando</t>
  </si>
  <si>
    <t>Carlos Rey Mier</t>
  </si>
  <si>
    <t>Flamenco, Reservas y Eventos en Directo, SL</t>
  </si>
  <si>
    <t>tonirivera@flamenconau.com</t>
  </si>
  <si>
    <t>https://www.flamenconau.com</t>
  </si>
  <si>
    <t>Toni Rivera Gavilan</t>
  </si>
  <si>
    <t>Flamencum Experience</t>
  </si>
  <si>
    <t>flamencumexperience@gmail.com</t>
  </si>
  <si>
    <t>https://www.flamencumexperience.es</t>
  </si>
  <si>
    <t>Rubén Calderón Vidal</t>
  </si>
  <si>
    <t>FM Espectacles Girona, S.L.</t>
  </si>
  <si>
    <t>info@fmespectacles.com</t>
  </si>
  <si>
    <t>https://www.fmespectacles.com</t>
  </si>
  <si>
    <t>ALBERT MAS BOSCH</t>
  </si>
  <si>
    <t>Folelé Producciones</t>
  </si>
  <si>
    <t>javier@foleleproducciones.es</t>
  </si>
  <si>
    <t>696 291 374</t>
  </si>
  <si>
    <t>http://www.foleleproducciones.es</t>
  </si>
  <si>
    <t>Javier Jiménez</t>
  </si>
  <si>
    <t>FRAN AVILA</t>
  </si>
  <si>
    <t>659.46.20.80</t>
  </si>
  <si>
    <t>http://www.franavila.com</t>
  </si>
  <si>
    <t>Fran Avila</t>
  </si>
  <si>
    <t>FRESCULTURA S.L.</t>
  </si>
  <si>
    <t>espectaculos@frescultura.es</t>
  </si>
  <si>
    <t>675637100 - 675637105</t>
  </si>
  <si>
    <t>http://www.frescultura.es</t>
  </si>
  <si>
    <t>L'Eliana</t>
  </si>
  <si>
    <t>María Minaya</t>
  </si>
  <si>
    <t>FUNDACION ABRACADABRA DE MAGOS SOLIDARIOS</t>
  </si>
  <si>
    <t>info@magossolidarios.org</t>
  </si>
  <si>
    <t>https://www.fundacionabracadabra.org</t>
  </si>
  <si>
    <t>JUAN JOSE GARCIA GARCIA</t>
  </si>
  <si>
    <t>GAAC</t>
  </si>
  <si>
    <t>gaac@gaac.info</t>
  </si>
  <si>
    <t>http://www.gaac.info</t>
  </si>
  <si>
    <t>Ricard Torrens Aguado</t>
  </si>
  <si>
    <t>Gestión De Ocio GDO</t>
  </si>
  <si>
    <t>jorge@gestiondeocio.net</t>
  </si>
  <si>
    <t>https://www.gestiondeocio.net</t>
  </si>
  <si>
    <t>Gesto Producciones</t>
  </si>
  <si>
    <t>mgutierrez@gestoproducciones.com</t>
  </si>
  <si>
    <t>91 360 46 29 / 639 89 40 48</t>
  </si>
  <si>
    <t>https://www.gestoproduciones.com</t>
  </si>
  <si>
    <t>Manuel Gutiérrez</t>
  </si>
  <si>
    <t>Gestora de Nuevos Proyectos Culturales SL</t>
  </si>
  <si>
    <t>rociosanchez@nuevosproyectos.es</t>
  </si>
  <si>
    <t>667489594/686597443</t>
  </si>
  <si>
    <t>https://www.gestoradenuevosproyectos.com/</t>
  </si>
  <si>
    <t>Patricia Garzón/Rocío Sánchez</t>
  </si>
  <si>
    <t>GG Producción Escénica</t>
  </si>
  <si>
    <t>graciela@ggdistribucion.com</t>
  </si>
  <si>
    <t>http://www.ggdistribucion.com</t>
  </si>
  <si>
    <t>Graciela Huesca</t>
  </si>
  <si>
    <t>Gin Musica</t>
  </si>
  <si>
    <t>sergio@ginmusica.com</t>
  </si>
  <si>
    <t>http://www.ginmusica.com</t>
  </si>
  <si>
    <t>Gina García de los Salmones</t>
  </si>
  <si>
    <t>contacto@keatonandkeaton.com</t>
  </si>
  <si>
    <t>https://www.keatonandkeaton.com</t>
  </si>
  <si>
    <t>Ciutat Vella</t>
  </si>
  <si>
    <t>Gina Galardi y Pablo Silberschmidt</t>
  </si>
  <si>
    <t>Glam Exotic Eventos sl</t>
  </si>
  <si>
    <t>hola@glamevento.com</t>
  </si>
  <si>
    <t>https://www.glamevento.com</t>
  </si>
  <si>
    <t>Loja</t>
  </si>
  <si>
    <t>Noemi Sanchez</t>
  </si>
  <si>
    <t>Global Showtime Services</t>
  </si>
  <si>
    <t>padedespain@padedespain.com</t>
  </si>
  <si>
    <t>606 006 949</t>
  </si>
  <si>
    <t>https://www.padedespain.com/</t>
  </si>
  <si>
    <t>José Manuel Tajada</t>
  </si>
  <si>
    <t>DZPro</t>
  </si>
  <si>
    <t>ivan@dzpro.gal</t>
  </si>
  <si>
    <t>https://dzpro.gal/</t>
  </si>
  <si>
    <t>Iván Sanjurjo García</t>
  </si>
  <si>
    <t>edenika</t>
  </si>
  <si>
    <t>felix@edenika.eus</t>
  </si>
  <si>
    <t>http://www.edenika.eus</t>
  </si>
  <si>
    <t>Urduliz</t>
  </si>
  <si>
    <t>Félix Bartolomé</t>
  </si>
  <si>
    <t>EJE PRODUCCIONES CULTURALES S.L.</t>
  </si>
  <si>
    <t>info@ejeproducciones.com</t>
  </si>
  <si>
    <t>https://www.ejeproducciones.com</t>
  </si>
  <si>
    <t>ENRIQUE LÓPEZ</t>
  </si>
  <si>
    <t>EL CABARET DE LOS HOMBRES PERDIDOS</t>
  </si>
  <si>
    <t>ecdlhp@gmail.com</t>
  </si>
  <si>
    <t>928232433 - 676998945</t>
  </si>
  <si>
    <t>ISRAEL REYES TEJERA</t>
  </si>
  <si>
    <t>EL CAMINITO PRODUCCIONS</t>
  </si>
  <si>
    <t>info@elcaminito.cat</t>
  </si>
  <si>
    <t>https://www.elcaminito.cat/</t>
  </si>
  <si>
    <t>M Isabel Martín</t>
  </si>
  <si>
    <t>El Cohete Internacional</t>
  </si>
  <si>
    <t>cb@elcohete.com</t>
  </si>
  <si>
    <t>http://www.elcohete.com</t>
  </si>
  <si>
    <t>Carlos Barral Álvarez</t>
  </si>
  <si>
    <t>El cor de la Costera</t>
  </si>
  <si>
    <t>elcordelacostera@gmail.com</t>
  </si>
  <si>
    <t>Nàquera</t>
  </si>
  <si>
    <t>Josep Miquel Arroyo Cavaller</t>
  </si>
  <si>
    <t>EL CUARTO AZUL</t>
  </si>
  <si>
    <t>info@elcuartoazul.es</t>
  </si>
  <si>
    <t>https://elcuartoazul.es/</t>
  </si>
  <si>
    <t>GUILLERMINA PAULA CALICCHIO</t>
  </si>
  <si>
    <t>Fani Benages Mas</t>
  </si>
  <si>
    <t>http://www.fanibenages.com</t>
  </si>
  <si>
    <t>Albió -Llorac</t>
  </si>
  <si>
    <t>marisa@farashaproducciones.net</t>
  </si>
  <si>
    <t>https://www.farashaproducciones.net</t>
  </si>
  <si>
    <t>Marisa Asensio</t>
  </si>
  <si>
    <t>Fernando González-Novelles Montesinos</t>
  </si>
  <si>
    <t>fgnovelles@gmail.com</t>
  </si>
  <si>
    <t>FG Events Pro</t>
  </si>
  <si>
    <t>hola@radioke.es</t>
  </si>
  <si>
    <t>Madrigueras</t>
  </si>
  <si>
    <t>Fran García</t>
  </si>
  <si>
    <t>Fila 2 Distribució</t>
  </si>
  <si>
    <t>fila2distribucio@gmail.com</t>
  </si>
  <si>
    <t>Íngrid Bolaño Guivernau</t>
  </si>
  <si>
    <t>FREEBIRDS ENTERTAIMENT &amp; EVENTS</t>
  </si>
  <si>
    <t>diana@freebirds.es</t>
  </si>
  <si>
    <t>Villoria de Órbigo</t>
  </si>
  <si>
    <t>Diana de Paz Calvo</t>
  </si>
  <si>
    <t>Franjo Parejo</t>
  </si>
  <si>
    <t>cultural@cultural.ws</t>
  </si>
  <si>
    <t>https://www.cultural.ws</t>
  </si>
  <si>
    <t>Gonzalo Fernández López</t>
  </si>
  <si>
    <t>rayuela19@gmail.com</t>
  </si>
  <si>
    <t>651334907 - 966743845</t>
  </si>
  <si>
    <t>Santa Pola</t>
  </si>
  <si>
    <t>Gonzalo Fernández</t>
  </si>
  <si>
    <t>Gramophone Records SL</t>
  </si>
  <si>
    <t>info@gramophonerecords.es</t>
  </si>
  <si>
    <t>https://www.gramophonerecords.es</t>
  </si>
  <si>
    <t>Ground Control</t>
  </si>
  <si>
    <t>carlos@ground-control.es</t>
  </si>
  <si>
    <t>-</t>
  </si>
  <si>
    <t>https://www.ground-control.es</t>
  </si>
  <si>
    <t>Carlos Sevilla</t>
  </si>
  <si>
    <t>IBÁÑEZ &amp; PAYÁ PRODUCCIONES</t>
  </si>
  <si>
    <t>direccion@ibanezypaya.com</t>
  </si>
  <si>
    <t>Burriana</t>
  </si>
  <si>
    <t>ANA IBÁÑEZ</t>
  </si>
  <si>
    <t>IBERKONZERT</t>
  </si>
  <si>
    <t>raquel@iberkonzert.com</t>
  </si>
  <si>
    <t>944104746 - 615711992 - 608186751</t>
  </si>
  <si>
    <t>https://www.iberkonzert.com</t>
  </si>
  <si>
    <t>Raquel Urquijo</t>
  </si>
  <si>
    <t>IF Producciones</t>
  </si>
  <si>
    <t>i.bengoa@infproducciones.com</t>
  </si>
  <si>
    <t>https://ifproducciones.com/</t>
  </si>
  <si>
    <t>Intxizu</t>
  </si>
  <si>
    <t>IG2M Iván Gallego Music Management</t>
  </si>
  <si>
    <t>info@ig2m.es</t>
  </si>
  <si>
    <t>La Rinconada</t>
  </si>
  <si>
    <t>Iván</t>
  </si>
  <si>
    <t>Ikebanah Artes Escénicas</t>
  </si>
  <si>
    <t>anasala@ikebanah.es</t>
  </si>
  <si>
    <t>http://www.ikebanah.es</t>
  </si>
  <si>
    <t>Ana Sala Montoro</t>
  </si>
  <si>
    <t>Imaginart</t>
  </si>
  <si>
    <t>distribucio@imaginart.cat</t>
  </si>
  <si>
    <t>http://www.imaginart.cat</t>
  </si>
  <si>
    <t>Jaume Nieto</t>
  </si>
  <si>
    <t>impulsARTS</t>
  </si>
  <si>
    <t>http://www.impulsarts.com</t>
  </si>
  <si>
    <t>Inés Gutiérrez Arciniega</t>
  </si>
  <si>
    <t>Indeleble Comunidad Artística</t>
  </si>
  <si>
    <t>https://www.indeleble.es</t>
  </si>
  <si>
    <t>Mariano Rabadán</t>
  </si>
  <si>
    <t>INFARTO PRODUCCIONES</t>
  </si>
  <si>
    <t>lucas.aragones@infartoproducciones.es</t>
  </si>
  <si>
    <t>https://infartoproducciones.es/</t>
  </si>
  <si>
    <t>Tres Cantos</t>
  </si>
  <si>
    <t>Lucas Aragones</t>
  </si>
  <si>
    <t>Inma Barrionuevo Porras</t>
  </si>
  <si>
    <t>marsopasmoon@wanadoo.es</t>
  </si>
  <si>
    <t>922415188 - 677754837</t>
  </si>
  <si>
    <t>https://www.marsopasmoon.com</t>
  </si>
  <si>
    <t>Santa Cruz de La Palma</t>
  </si>
  <si>
    <t>Javier Orduna &amp; Inma Barrionuevo</t>
  </si>
  <si>
    <t>Gachi Pisani</t>
  </si>
  <si>
    <t>gachipisani@gachipisaniprods.com</t>
  </si>
  <si>
    <t>655 55 52 52</t>
  </si>
  <si>
    <t>http://www.gachipisaniprods.com</t>
  </si>
  <si>
    <t>Gala Producciones</t>
  </si>
  <si>
    <t>info@gala-producciones.com</t>
  </si>
  <si>
    <t>https://www.gala-producciones.com</t>
  </si>
  <si>
    <t>Premià de mar</t>
  </si>
  <si>
    <t>Avelina Amigó</t>
  </si>
  <si>
    <t>Gambini Producciones</t>
  </si>
  <si>
    <t>producciones@gambini.es</t>
  </si>
  <si>
    <t>http://www.gambiniproducciones.es</t>
  </si>
  <si>
    <t>Rosemary Cocchiglia</t>
  </si>
  <si>
    <t>GARDYN STUDIO</t>
  </si>
  <si>
    <t>https://www.gardynstudio.com</t>
  </si>
  <si>
    <t>Virginia Cortés</t>
  </si>
  <si>
    <t>Gazpatxo FestCultura</t>
  </si>
  <si>
    <t>info@gazpatxofestcultura.com</t>
  </si>
  <si>
    <t>605 67 99 36</t>
  </si>
  <si>
    <t>https://www.gazpatxofestcultura.com/</t>
  </si>
  <si>
    <t>valència</t>
  </si>
  <si>
    <t>Jesús Calvo</t>
  </si>
  <si>
    <t>GAZTELUPEKO HOTSAK</t>
  </si>
  <si>
    <t>ubane@hotsak.com</t>
  </si>
  <si>
    <t>https://www.hotsak.com</t>
  </si>
  <si>
    <t>Soraluze</t>
  </si>
  <si>
    <t>Ubane Uzin</t>
  </si>
  <si>
    <t>Gemma Ros</t>
  </si>
  <si>
    <t>gemma@gemmaros.com</t>
  </si>
  <si>
    <t>https://www.gemmaros.com/</t>
  </si>
  <si>
    <t>Gen. Comunicación a escena</t>
  </si>
  <si>
    <t>genescena@gmail.com</t>
  </si>
  <si>
    <t>https://www.genescena.es</t>
  </si>
  <si>
    <t>JUMILLA</t>
  </si>
  <si>
    <t>Juan P. Abellán</t>
  </si>
  <si>
    <t>GUSPIRA MANAGEMENT</t>
  </si>
  <si>
    <t>info@guspira.net</t>
  </si>
  <si>
    <t>http://www.guspira.net</t>
  </si>
  <si>
    <t>ROC TEBE CORDOMI</t>
  </si>
  <si>
    <t>Harakiri Management</t>
  </si>
  <si>
    <t>harakirimgmt@gmail.com</t>
  </si>
  <si>
    <t>http://www.harakirimanagement.com</t>
  </si>
  <si>
    <t>Selu Baños</t>
  </si>
  <si>
    <t>Hidden Track Records</t>
  </si>
  <si>
    <t>booking@hiddentrackrecords.com</t>
  </si>
  <si>
    <t>https://www.hiddentrackrecords.com/</t>
  </si>
  <si>
    <t>Collbató</t>
  </si>
  <si>
    <t>Louise Joanne Sansom</t>
  </si>
  <si>
    <t>HIKA ANTZERKI TALDEA (HIKA TEATROA)</t>
  </si>
  <si>
    <t>hika@hikateatroa.eus</t>
  </si>
  <si>
    <t>http://www.hikateatroa.eus</t>
  </si>
  <si>
    <t>AGURTZANE INXAURRAGA</t>
  </si>
  <si>
    <t>Horizonte Musical</t>
  </si>
  <si>
    <t>juan@horizonte-musical.com</t>
  </si>
  <si>
    <t>https://www.horizonte-musical.com</t>
  </si>
  <si>
    <t>Hugo Pérez Sánchez</t>
  </si>
  <si>
    <t>enflamenco.contratacion@gmail.com</t>
  </si>
  <si>
    <t>IamSo Art Management</t>
  </si>
  <si>
    <t>iamso@gmail.com</t>
  </si>
  <si>
    <t>https://www.iamso.eu</t>
  </si>
  <si>
    <t>Ino Kollektiv</t>
  </si>
  <si>
    <t>alba@inokollektiv.com</t>
  </si>
  <si>
    <t>Brunoy</t>
  </si>
  <si>
    <t>ALBA RAMIÓ I GÜELL</t>
  </si>
  <si>
    <t>International BPM</t>
  </si>
  <si>
    <t>internationalbpm@gmail.com</t>
  </si>
  <si>
    <t>https://www.internationalbpm.com</t>
  </si>
  <si>
    <t>barcelona</t>
  </si>
  <si>
    <t>Judea Vivancos</t>
  </si>
  <si>
    <t>info@intxizu.com</t>
  </si>
  <si>
    <t>https://intxizu.com/</t>
  </si>
  <si>
    <t>Intxizu B.</t>
  </si>
  <si>
    <t>IÑAKI DÍEZ</t>
  </si>
  <si>
    <t>inakidiezdistribucion@gmail.com</t>
  </si>
  <si>
    <t>Iñaki Martí / Nuria Peiró</t>
  </si>
  <si>
    <t>imarti@the-proyect.net</t>
  </si>
  <si>
    <t>https://www.the-proyect.net</t>
  </si>
  <si>
    <t>Iñigo Argomaniz Bengoetxea</t>
  </si>
  <si>
    <t>vir@getinproducciones.com</t>
  </si>
  <si>
    <t>https://www.getin.es</t>
  </si>
  <si>
    <t>Isabel Boix Angelats</t>
  </si>
  <si>
    <t>la.rita@telefonica.net</t>
  </si>
  <si>
    <t>972576587 677616862</t>
  </si>
  <si>
    <t>Porqueres</t>
  </si>
  <si>
    <t>Isifuera, S.L.</t>
  </si>
  <si>
    <t>isifuera@isifuera.com</t>
  </si>
  <si>
    <t>669627419-646241961</t>
  </si>
  <si>
    <t>https://www.isifuera.com</t>
  </si>
  <si>
    <t>Miren de Miguel</t>
  </si>
  <si>
    <t>Isla y Ritmo</t>
  </si>
  <si>
    <t>islayritmo@gmail.com</t>
  </si>
  <si>
    <t>http://www.islayritmo.com</t>
  </si>
  <si>
    <t>Incós Domínguez</t>
  </si>
  <si>
    <t>ontour@elmespetitdetots.cat</t>
  </si>
  <si>
    <t>Javier Tomás</t>
  </si>
  <si>
    <t>https://www.darlalata.net</t>
  </si>
  <si>
    <t>Javier Zurita Chao</t>
  </si>
  <si>
    <t>tbqproducciones@yahoo.es</t>
  </si>
  <si>
    <t>958598493 - 676812089 - 665676710</t>
  </si>
  <si>
    <t>Javier Zurita Chao - Jacinto Santiago Sanz</t>
  </si>
  <si>
    <t>JavierCultural</t>
  </si>
  <si>
    <t>javiercultural@gmail.com</t>
  </si>
  <si>
    <t>Madrd</t>
  </si>
  <si>
    <t>Javier Rodríguez Sanz</t>
  </si>
  <si>
    <t>Jazzazza Producciones</t>
  </si>
  <si>
    <t>jota@jazzazza.com</t>
  </si>
  <si>
    <t>https://jazzazza.com/representaciones/</t>
  </si>
  <si>
    <t>Jota (Jazzazza)</t>
  </si>
  <si>
    <t>Jeito</t>
  </si>
  <si>
    <t>info@jeito.es</t>
  </si>
  <si>
    <t>http://www.jeito.es</t>
  </si>
  <si>
    <t>Alberto Hernández Sicilia</t>
  </si>
  <si>
    <t>JET ENTERTAINMENT</t>
  </si>
  <si>
    <t>contratacion@jetmanagement.es</t>
  </si>
  <si>
    <t>https://www.jetentertainment.es</t>
  </si>
  <si>
    <t>BLANCA RIOJA JEREZ</t>
  </si>
  <si>
    <t>JM Gestión Teatral</t>
  </si>
  <si>
    <t>juanfran@jmgestionteatral.com</t>
  </si>
  <si>
    <t>96-2034425 // 654698535</t>
  </si>
  <si>
    <t>http://www.jmgestionteatral.com</t>
  </si>
  <si>
    <t>JUANFRAN SÀEZ</t>
  </si>
  <si>
    <t>Kewal Artist Agency</t>
  </si>
  <si>
    <t>gpascual@k-aa.com</t>
  </si>
  <si>
    <t>Gema Pascual</t>
  </si>
  <si>
    <t>Kinefon, audiovisuales</t>
  </si>
  <si>
    <t>kinefon@gmail.com</t>
  </si>
  <si>
    <t>https://www.kinefon.eu</t>
  </si>
  <si>
    <t>Juan Homedes Clavero</t>
  </si>
  <si>
    <t>Klemark Espectáculos Teatrales</t>
  </si>
  <si>
    <t>ggilg@klemark.com</t>
  </si>
  <si>
    <t>944158064; 603529951</t>
  </si>
  <si>
    <t>http://www.klemark.com</t>
  </si>
  <si>
    <t>Gloria Gil; Fernando Saiz</t>
  </si>
  <si>
    <t>Klink Producciones</t>
  </si>
  <si>
    <t>info@klink.org</t>
  </si>
  <si>
    <t>918583007, 639177090</t>
  </si>
  <si>
    <t>https://www.klink.org</t>
  </si>
  <si>
    <t>Galapagar</t>
  </si>
  <si>
    <t>Mariano Gutiérrez</t>
  </si>
  <si>
    <t>Kolp Group - Leyla Esteso</t>
  </si>
  <si>
    <t>leyla@kolpgroup.com</t>
  </si>
  <si>
    <t>https://kolpgroup.com</t>
  </si>
  <si>
    <t>Alhaurín el Grande</t>
  </si>
  <si>
    <t>Leyla Esteso Mc. Killop</t>
  </si>
  <si>
    <t>L'ESTIBA CULTURAL</t>
  </si>
  <si>
    <t>info@lestibacultural.com</t>
  </si>
  <si>
    <t>http://www.lestibacultural.com</t>
  </si>
  <si>
    <t>Lola Domingo</t>
  </si>
  <si>
    <t>L'Horta Teatre</t>
  </si>
  <si>
    <t>direccio@lhortateatre.com</t>
  </si>
  <si>
    <t>963759643- 646984678</t>
  </si>
  <si>
    <t>https://www.lhortateatre.com</t>
  </si>
  <si>
    <t>Bea López</t>
  </si>
  <si>
    <t>La Avispa Producciones</t>
  </si>
  <si>
    <t>laavispa@entraenlared.com</t>
  </si>
  <si>
    <t>https://laavispa.com</t>
  </si>
  <si>
    <t>Jose Luis Montón</t>
  </si>
  <si>
    <t>cozytimesl@gmail.com</t>
  </si>
  <si>
    <t>https://www.joseluismonton.com/</t>
  </si>
  <si>
    <t>José Luis Montón Amil</t>
  </si>
  <si>
    <t>Jose Luis Sáiz</t>
  </si>
  <si>
    <t>contratacion@limac.net</t>
  </si>
  <si>
    <t>91 441 60 11</t>
  </si>
  <si>
    <t>https://www.limac.net</t>
  </si>
  <si>
    <t>ANGEL SANCHEZ</t>
  </si>
  <si>
    <t>Juan Ramón Madurga Soto</t>
  </si>
  <si>
    <t>madurgasl@lefonica.net</t>
  </si>
  <si>
    <t>https://www.decanela.net</t>
  </si>
  <si>
    <t>Juanjo Seoane P Y D ,S.L</t>
  </si>
  <si>
    <t>distribucion@juanjoseoane.com</t>
  </si>
  <si>
    <t>91 402 60 58</t>
  </si>
  <si>
    <t>https://www.juanjoseoane.com</t>
  </si>
  <si>
    <t>Angel Sanchez</t>
  </si>
  <si>
    <t>Julio Perugorría Producciones, S.L.</t>
  </si>
  <si>
    <t>jproducciones@jpproducciones.com</t>
  </si>
  <si>
    <t>94 681 67 43 - 609 45 75 75</t>
  </si>
  <si>
    <t>https://www.jpproducciones.com</t>
  </si>
  <si>
    <t>Julio Perugorria Larrinaga</t>
  </si>
  <si>
    <t>Kairos representaciones artísticas s.l.</t>
  </si>
  <si>
    <t>kairosonce@gmail.com</t>
  </si>
  <si>
    <t>Nuria Becerra</t>
  </si>
  <si>
    <t>KANDENGUE ARTS - María Mariño</t>
  </si>
  <si>
    <t>distribucion@kandenguearts.com</t>
  </si>
  <si>
    <t>https://www.kandenguearts.com/</t>
  </si>
  <si>
    <t>Ames</t>
  </si>
  <si>
    <t>María Mariño</t>
  </si>
  <si>
    <t>La Bámbola Producciones</t>
  </si>
  <si>
    <t>info@labambolaproducciones.es</t>
  </si>
  <si>
    <t>https://www.labambolaproducciones.es</t>
  </si>
  <si>
    <t>La Buena Aventura Musical</t>
  </si>
  <si>
    <t>tonimateo@lbam.es</t>
  </si>
  <si>
    <t>https://www.labuenaaventuramusical.es</t>
  </si>
  <si>
    <t>Vallromanes</t>
  </si>
  <si>
    <t>Toni Mateo</t>
  </si>
  <si>
    <t>LA CASA AZUL</t>
  </si>
  <si>
    <t>secretaria@asociacioncasaazul.com</t>
  </si>
  <si>
    <t>http://www.asociacioncasaazul.com</t>
  </si>
  <si>
    <t>Ernesto Hita</t>
  </si>
  <si>
    <t>La escalera de Jacob</t>
  </si>
  <si>
    <t>juan@laescaleradejacob.es</t>
  </si>
  <si>
    <t>https://www.laescaleradejacob.es</t>
  </si>
  <si>
    <t>Juan Jiménez</t>
  </si>
  <si>
    <t>LA ESCALETA PROTEATRO</t>
  </si>
  <si>
    <t>distribucion.proteatro@gmail.com</t>
  </si>
  <si>
    <t>ISABEL JIMENEZ</t>
  </si>
  <si>
    <t>La Farándula Espectáculos</t>
  </si>
  <si>
    <t>creatueventofarandula@gmail.com</t>
  </si>
  <si>
    <t>CERCEDILLA</t>
  </si>
  <si>
    <t>LARA ZALDIVAR FERNÁNDEZ</t>
  </si>
  <si>
    <t>LA GENERAL</t>
  </si>
  <si>
    <t>pep@lageneralsl.com</t>
  </si>
  <si>
    <t>https://www.lageneralsl.com</t>
  </si>
  <si>
    <t>Pep Garcia</t>
  </si>
  <si>
    <t>Yuro Leyva López</t>
  </si>
  <si>
    <t>productor@hummoproducciones.com</t>
  </si>
  <si>
    <t>Bargas</t>
  </si>
  <si>
    <t>YVENTU</t>
  </si>
  <si>
    <t>mase@yventu.com</t>
  </si>
  <si>
    <t>https://yventu.com/</t>
  </si>
  <si>
    <t>Masé Moreno</t>
  </si>
  <si>
    <t>Zeena Gestión de Artes Escénicas</t>
  </si>
  <si>
    <t>distribucion@zeenaproducciones.com</t>
  </si>
  <si>
    <t>http://zeenaproducciones.com</t>
  </si>
  <si>
    <t>Maria Moral</t>
  </si>
  <si>
    <t>Zero Nove Nove</t>
  </si>
  <si>
    <t>099musicaespettacolo@gmail.com</t>
  </si>
  <si>
    <t>http://www.zeronovenove.com</t>
  </si>
  <si>
    <t>San Cesario di Lecce</t>
  </si>
  <si>
    <t>Giuseppe Bortone</t>
  </si>
  <si>
    <t>ZETAEEFE PRODUCCIONES SL</t>
  </si>
  <si>
    <t>zeus.zetaefe@gmail.com</t>
  </si>
  <si>
    <t>https://zetaefe.com/</t>
  </si>
  <si>
    <t>FORMENTERA DEL SEGURA</t>
  </si>
  <si>
    <t>Zeus Quesada</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</si>
</sst>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4.0"/>
      <color rgb="FF1F4E79"/>
      <name val="Arial"/>
    </font>
    <font>
      <sz val="9.0"/>
      <color theme="1"/>
      <name val="Arial"/>
    </font>
    <font>
      <color theme="1"/>
      <name val="Calibri"/>
      <scheme val="minor"/>
    </font>
    <font>
      <b/>
      <sz val="10.0"/>
      <color theme="1"/>
      <name val="Arial"/>
    </font>
    <font>
      <b/>
      <sz val="9.0"/>
      <color rgb="FFFFFFFF"/>
      <name val="Arial"/>
    </font>
    <font>
      <b/>
      <sz val="10.0"/>
      <color rgb="FF1F4E79"/>
      <name val="Arial"/>
    </font>
    <font/>
    <font>
      <b/>
      <sz val="10.0"/>
      <color rgb="FF7F3F00"/>
      <name val="Arial"/>
    </font>
    <font>
      <b/>
      <color rgb="FF1F4E79"/>
      <name val="Arial"/>
    </font>
    <font>
      <b/>
      <color rgb="FF7F3F00"/>
      <name val="Arial"/>
    </font>
    <font>
      <sz val="11.0"/>
      <color theme="1"/>
      <name val="Calibri"/>
    </font>
    <font>
      <u/>
      <sz val="9.0"/>
      <color rgb="FF0000FF"/>
      <name val="Arial"/>
    </font>
    <font>
      <u/>
      <sz val="9.0"/>
      <color rgb="FF0000FF"/>
      <name val="Arial"/>
    </font>
  </fonts>
  <fills count="11">
    <fill>
      <patternFill patternType="none"/>
    </fill>
    <fill>
      <patternFill patternType="lightGray"/>
    </fill>
    <fill>
      <patternFill patternType="solid">
        <fgColor rgb="FFBDD7EE"/>
        <bgColor rgb="FFBDD7EE"/>
      </patternFill>
    </fill>
    <fill>
      <patternFill patternType="solid">
        <fgColor rgb="FF1F4E79"/>
        <bgColor rgb="FF1F4E79"/>
      </patternFill>
    </fill>
    <fill>
      <patternFill patternType="solid">
        <fgColor rgb="FFFCE4D6"/>
        <bgColor rgb="FFFCE4D6"/>
      </patternFill>
    </fill>
    <fill>
      <patternFill patternType="solid">
        <fgColor rgb="FFE2EFDA"/>
        <bgColor rgb="FFE2EFDA"/>
      </patternFill>
    </fill>
    <fill>
      <patternFill patternType="solid">
        <fgColor rgb="FF7F3F00"/>
        <bgColor rgb="FF7F3F00"/>
      </patternFill>
    </fill>
    <fill>
      <patternFill patternType="solid">
        <fgColor rgb="FFEBF3FB"/>
        <bgColor rgb="FFEBF3FB"/>
      </patternFill>
    </fill>
    <fill>
      <patternFill patternType="solid">
        <fgColor rgb="FFFFF2EC"/>
        <bgColor rgb="FFFFF2EC"/>
      </patternFill>
    </fill>
    <fill>
      <patternFill patternType="solid">
        <fgColor rgb="FFFFFFFF"/>
        <bgColor rgb="FFFFFFFF"/>
      </patternFill>
    </fill>
    <fill>
      <patternFill patternType="solid">
        <fgColor rgb="FFD9EAD3"/>
        <bgColor rgb="FFD9EAD3"/>
      </patternFill>
    </fill>
  </fills>
  <borders count="6">
    <border/>
    <border>
      <left/>
      <right/>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Alignment="1" applyFont="1">
      <alignment readingOrder="0"/>
    </xf>
    <xf borderId="0" fillId="0" fontId="2" numFmtId="0" xfId="0" applyFont="1"/>
    <xf borderId="1" fillId="2" fontId="4" numFmtId="0" xfId="0" applyBorder="1" applyFill="1" applyFont="1"/>
    <xf borderId="1" fillId="2" fontId="2" numFmtId="0" xfId="0" applyAlignment="1" applyBorder="1" applyFont="1">
      <alignment shrinkToFit="0" wrapText="1"/>
    </xf>
    <xf borderId="1" fillId="3" fontId="5" numFmtId="0" xfId="0" applyBorder="1" applyFill="1" applyFont="1"/>
    <xf borderId="1" fillId="3" fontId="5" numFmtId="0" xfId="0" applyAlignment="1" applyBorder="1" applyFont="1">
      <alignment shrinkToFit="0" wrapText="1"/>
    </xf>
    <xf borderId="1" fillId="4" fontId="4" numFmtId="0" xfId="0" applyBorder="1" applyFill="1" applyFont="1"/>
    <xf borderId="1" fillId="4" fontId="2" numFmtId="0" xfId="0" applyAlignment="1" applyBorder="1" applyFont="1">
      <alignment shrinkToFit="0" wrapText="1"/>
    </xf>
    <xf borderId="1" fillId="5" fontId="4" numFmtId="0" xfId="0" applyBorder="1" applyFill="1" applyFont="1"/>
    <xf borderId="1" fillId="5" fontId="2" numFmtId="0" xfId="0" applyAlignment="1" applyBorder="1" applyFont="1">
      <alignment shrinkToFit="0" wrapText="1"/>
    </xf>
    <xf borderId="1" fillId="5" fontId="4" numFmtId="0" xfId="0" applyAlignment="1" applyBorder="1" applyFont="1">
      <alignment shrinkToFit="0" wrapText="1"/>
    </xf>
    <xf borderId="2" fillId="2" fontId="6" numFmtId="0" xfId="0" applyAlignment="1" applyBorder="1" applyFont="1">
      <alignment horizontal="center" vertical="center"/>
    </xf>
    <xf borderId="3" fillId="0" fontId="7" numFmtId="0" xfId="0" applyBorder="1" applyFont="1"/>
    <xf borderId="4" fillId="0" fontId="7" numFmtId="0" xfId="0" applyBorder="1" applyFont="1"/>
    <xf borderId="2" fillId="4" fontId="8" numFmtId="0" xfId="0" applyAlignment="1" applyBorder="1" applyFont="1">
      <alignment horizontal="center" vertical="center"/>
    </xf>
    <xf borderId="5" fillId="3" fontId="5" numFmtId="0" xfId="0" applyAlignment="1" applyBorder="1" applyFont="1">
      <alignment horizontal="center" shrinkToFit="0" vertical="center" wrapText="1"/>
    </xf>
    <xf borderId="5" fillId="6" fontId="5" numFmtId="0" xfId="0" applyAlignment="1" applyBorder="1" applyFill="1" applyFont="1">
      <alignment horizontal="center" shrinkToFit="0" vertical="center" wrapText="1"/>
    </xf>
    <xf borderId="5" fillId="7" fontId="2" numFmtId="0" xfId="0" applyAlignment="1" applyBorder="1" applyFill="1" applyFont="1">
      <alignment vertical="top"/>
    </xf>
    <xf borderId="5" fillId="8" fontId="2" numFmtId="0" xfId="0" applyAlignment="1" applyBorder="1" applyFill="1" applyFont="1">
      <alignment vertical="top"/>
    </xf>
    <xf borderId="5" fillId="9" fontId="2" numFmtId="0" xfId="0" applyAlignment="1" applyBorder="1" applyFill="1" applyFont="1">
      <alignment vertical="top"/>
    </xf>
    <xf borderId="5" fillId="10" fontId="2" numFmtId="0" xfId="0" applyAlignment="1" applyBorder="1" applyFill="1" applyFont="1">
      <alignment vertical="top"/>
    </xf>
    <xf borderId="0" fillId="10" fontId="3" numFmtId="0" xfId="0" applyFont="1"/>
    <xf borderId="2" fillId="2" fontId="9" numFmtId="0" xfId="0" applyAlignment="1" applyBorder="1" applyFont="1">
      <alignment horizontal="center"/>
    </xf>
    <xf borderId="2" fillId="4" fontId="10" numFmtId="0" xfId="0" applyAlignment="1" applyBorder="1" applyFont="1">
      <alignment horizontal="center"/>
    </xf>
    <xf borderId="0" fillId="0" fontId="11" numFmtId="0" xfId="0" applyAlignment="1" applyFont="1">
      <alignment vertical="bottom"/>
    </xf>
    <xf borderId="5" fillId="3" fontId="5" numFmtId="0" xfId="0" applyAlignment="1" applyBorder="1" applyFont="1">
      <alignment horizontal="center" shrinkToFit="0" wrapText="1"/>
    </xf>
    <xf borderId="5" fillId="6" fontId="5" numFmtId="0" xfId="0" applyAlignment="1" applyBorder="1" applyFont="1">
      <alignment horizontal="center" shrinkToFit="0" wrapText="1"/>
    </xf>
    <xf borderId="5" fillId="7" fontId="2" numFmtId="0" xfId="0" applyAlignment="1" applyBorder="1" applyFont="1">
      <alignment vertical="top"/>
    </xf>
    <xf borderId="5" fillId="7" fontId="11" numFmtId="0" xfId="0" applyAlignment="1" applyBorder="1" applyFont="1">
      <alignment vertical="top"/>
    </xf>
    <xf borderId="5" fillId="8" fontId="2" numFmtId="0" xfId="0" applyAlignment="1" applyBorder="1" applyFont="1">
      <alignment vertical="top"/>
    </xf>
    <xf borderId="5" fillId="9" fontId="2" numFmtId="0" xfId="0" applyAlignment="1" applyBorder="1" applyFont="1">
      <alignment vertical="top"/>
    </xf>
    <xf borderId="5" fillId="9" fontId="11" numFmtId="0" xfId="0" applyAlignment="1" applyBorder="1" applyFont="1">
      <alignment vertical="top"/>
    </xf>
    <xf borderId="5" fillId="8" fontId="11" numFmtId="0" xfId="0" applyAlignment="1" applyBorder="1" applyFont="1">
      <alignment vertical="top"/>
    </xf>
    <xf borderId="0" fillId="2" fontId="9" numFmtId="0" xfId="0" applyAlignment="1" applyFont="1">
      <alignment horizontal="center" readingOrder="0" shrinkToFit="0" wrapText="0"/>
    </xf>
    <xf borderId="0" fillId="4" fontId="10" numFmtId="0" xfId="0" applyAlignment="1" applyFont="1">
      <alignment horizontal="center" readingOrder="0" shrinkToFit="0" wrapText="0"/>
    </xf>
    <xf borderId="0" fillId="3" fontId="5" numFmtId="0" xfId="0" applyAlignment="1" applyFont="1">
      <alignment horizontal="center" readingOrder="0"/>
    </xf>
    <xf borderId="0" fillId="6" fontId="5" numFmtId="0" xfId="0" applyAlignment="1" applyFont="1">
      <alignment horizontal="center" readingOrder="0"/>
    </xf>
    <xf borderId="0" fillId="7" fontId="2" numFmtId="0" xfId="0" applyAlignment="1" applyFont="1">
      <alignment shrinkToFit="0" vertical="top" wrapText="0"/>
    </xf>
    <xf borderId="0" fillId="7" fontId="2" numFmtId="0" xfId="0" applyAlignment="1" applyFont="1">
      <alignment readingOrder="0" shrinkToFit="0" vertical="top" wrapText="0"/>
    </xf>
    <xf borderId="0" fillId="7" fontId="12" numFmtId="0" xfId="0" applyAlignment="1" applyFont="1">
      <alignment readingOrder="0" shrinkToFit="0" vertical="top" wrapText="0"/>
    </xf>
    <xf borderId="0" fillId="8" fontId="2" numFmtId="0" xfId="0" applyAlignment="1" applyFont="1">
      <alignment shrinkToFit="0" vertical="top" wrapText="0"/>
    </xf>
    <xf borderId="0" fillId="9" fontId="2" numFmtId="0" xfId="0" applyAlignment="1" applyFont="1">
      <alignment readingOrder="0" shrinkToFit="0" vertical="top" wrapText="0"/>
    </xf>
    <xf borderId="0" fillId="9" fontId="2" numFmtId="0" xfId="0" applyAlignment="1" applyFont="1">
      <alignment shrinkToFit="0" vertical="top" wrapText="0"/>
    </xf>
    <xf borderId="0" fillId="9" fontId="13" numFmtId="0" xfId="0" applyAlignment="1" applyFont="1">
      <alignment readingOrder="0" shrinkToFit="0" vertical="top" wrapText="0"/>
    </xf>
    <xf borderId="0" fillId="7" fontId="2" numFmtId="3" xfId="0" applyAlignment="1" applyFont="1" applyNumberFormat="1">
      <alignment readingOrder="0" shrinkToFit="0" vertical="top" wrapText="0"/>
    </xf>
    <xf borderId="0" fillId="9" fontId="2" numFmtId="3" xfId="0" applyAlignment="1" applyFont="1" applyNumberForma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90" Type="http://schemas.openxmlformats.org/officeDocument/2006/relationships/hyperlink" Target="http://www.spanishbombs.com/es/index.php" TargetMode="External"/><Relationship Id="rId194" Type="http://schemas.openxmlformats.org/officeDocument/2006/relationships/hyperlink" Target="https://www.cfeventos.com" TargetMode="External"/><Relationship Id="rId193" Type="http://schemas.openxmlformats.org/officeDocument/2006/relationships/hyperlink" Target="http://www.summummusic.com" TargetMode="External"/><Relationship Id="rId192" Type="http://schemas.openxmlformats.org/officeDocument/2006/relationships/hyperlink" Target="http://www.summummusic.com" TargetMode="External"/><Relationship Id="rId191" Type="http://schemas.openxmlformats.org/officeDocument/2006/relationships/hyperlink" Target="http://www.stagesupport.com" TargetMode="External"/><Relationship Id="rId187" Type="http://schemas.openxmlformats.org/officeDocument/2006/relationships/hyperlink" Target="https://www.soundline.es" TargetMode="External"/><Relationship Id="rId186" Type="http://schemas.openxmlformats.org/officeDocument/2006/relationships/hyperlink" Target="https://www.sonde3.com/" TargetMode="External"/><Relationship Id="rId185" Type="http://schemas.openxmlformats.org/officeDocument/2006/relationships/hyperlink" Target="http://www.solobeart.com" TargetMode="External"/><Relationship Id="rId184" Type="http://schemas.openxmlformats.org/officeDocument/2006/relationships/hyperlink" Target="https://www.smilefactoryproducciones.com" TargetMode="External"/><Relationship Id="rId189" Type="http://schemas.openxmlformats.org/officeDocument/2006/relationships/hyperlink" Target="https://sowhat-management.com/" TargetMode="External"/><Relationship Id="rId188" Type="http://schemas.openxmlformats.org/officeDocument/2006/relationships/hyperlink" Target="http://www.toompak.com" TargetMode="External"/><Relationship Id="rId183" Type="http://schemas.openxmlformats.org/officeDocument/2006/relationships/hyperlink" Target="https://www.sketcheventos.com/" TargetMode="External"/><Relationship Id="rId182" Type="http://schemas.openxmlformats.org/officeDocument/2006/relationships/hyperlink" Target="https://www.sideralmusic.com" TargetMode="External"/><Relationship Id="rId181" Type="http://schemas.openxmlformats.org/officeDocument/2006/relationships/hyperlink" Target="https://serviciosartisticosinsulares.es/" TargetMode="External"/><Relationship Id="rId180" Type="http://schemas.openxmlformats.org/officeDocument/2006/relationships/hyperlink" Target="https://sbethancourt.com/distribucion/" TargetMode="External"/><Relationship Id="rId176" Type="http://schemas.openxmlformats.org/officeDocument/2006/relationships/hyperlink" Target="https://www.amordedios.com" TargetMode="External"/><Relationship Id="rId297" Type="http://schemas.openxmlformats.org/officeDocument/2006/relationships/hyperlink" Target="http://www.webeuromusic.com" TargetMode="External"/><Relationship Id="rId175" Type="http://schemas.openxmlformats.org/officeDocument/2006/relationships/hyperlink" Target="http://www.celianegrete.com" TargetMode="External"/><Relationship Id="rId296" Type="http://schemas.openxmlformats.org/officeDocument/2006/relationships/hyperlink" Target="http://www.etiketes.gal" TargetMode="External"/><Relationship Id="rId174" Type="http://schemas.openxmlformats.org/officeDocument/2006/relationships/hyperlink" Target="https://www.caterinaproducciones.com" TargetMode="External"/><Relationship Id="rId295" Type="http://schemas.openxmlformats.org/officeDocument/2006/relationships/hyperlink" Target="https://www.arsvocalis.com" TargetMode="External"/><Relationship Id="rId173" Type="http://schemas.openxmlformats.org/officeDocument/2006/relationships/hyperlink" Target="https://www.cartel-sa.es" TargetMode="External"/><Relationship Id="rId294" Type="http://schemas.openxmlformats.org/officeDocument/2006/relationships/hyperlink" Target="https://www.dancem.net" TargetMode="External"/><Relationship Id="rId179" Type="http://schemas.openxmlformats.org/officeDocument/2006/relationships/hyperlink" Target="http://www.germinalproducciones.com" TargetMode="External"/><Relationship Id="rId178" Type="http://schemas.openxmlformats.org/officeDocument/2006/relationships/hyperlink" Target="https://www.samarkandateatro.com" TargetMode="External"/><Relationship Id="rId299" Type="http://schemas.openxmlformats.org/officeDocument/2006/relationships/hyperlink" Target="http://www.damasocaminero.com" TargetMode="External"/><Relationship Id="rId177" Type="http://schemas.openxmlformats.org/officeDocument/2006/relationships/hyperlink" Target="https://www.pupaclown.org" TargetMode="External"/><Relationship Id="rId298" Type="http://schemas.openxmlformats.org/officeDocument/2006/relationships/hyperlink" Target="http://www.euroscena.es" TargetMode="External"/><Relationship Id="rId198" Type="http://schemas.openxmlformats.org/officeDocument/2006/relationships/hyperlink" Target="http://www.passabarret.com" TargetMode="External"/><Relationship Id="rId197" Type="http://schemas.openxmlformats.org/officeDocument/2006/relationships/hyperlink" Target="https://www.chichaproyectos.org/" TargetMode="External"/><Relationship Id="rId196" Type="http://schemas.openxmlformats.org/officeDocument/2006/relationships/hyperlink" Target="https://www.charlatana.org" TargetMode="External"/><Relationship Id="rId195" Type="http://schemas.openxmlformats.org/officeDocument/2006/relationships/hyperlink" Target="https://www.chaomanagement.com/" TargetMode="External"/><Relationship Id="rId199" Type="http://schemas.openxmlformats.org/officeDocument/2006/relationships/hyperlink" Target="https://cienciaescenica.com/" TargetMode="External"/><Relationship Id="rId150" Type="http://schemas.openxmlformats.org/officeDocument/2006/relationships/hyperlink" Target="https://www.avance-pt.com" TargetMode="External"/><Relationship Id="rId271" Type="http://schemas.openxmlformats.org/officeDocument/2006/relationships/hyperlink" Target="https://escenaflamenca.com/escena-flamenca/" TargetMode="External"/><Relationship Id="rId270" Type="http://schemas.openxmlformats.org/officeDocument/2006/relationships/hyperlink" Target="https://www.escenadistribuciongranada.com/" TargetMode="External"/><Relationship Id="rId1" Type="http://schemas.openxmlformats.org/officeDocument/2006/relationships/hyperlink" Target="https://www.maskmusica.es" TargetMode="External"/><Relationship Id="rId2" Type="http://schemas.openxmlformats.org/officeDocument/2006/relationships/hyperlink" Target="http://www.23arts.com" TargetMode="External"/><Relationship Id="rId3" Type="http://schemas.openxmlformats.org/officeDocument/2006/relationships/hyperlink" Target="https://251productions.org/" TargetMode="External"/><Relationship Id="rId149" Type="http://schemas.openxmlformats.org/officeDocument/2006/relationships/hyperlink" Target="http://www.blackizar.com" TargetMode="External"/><Relationship Id="rId4" Type="http://schemas.openxmlformats.org/officeDocument/2006/relationships/hyperlink" Target="https://www.2giras.com" TargetMode="External"/><Relationship Id="rId148" Type="http://schemas.openxmlformats.org/officeDocument/2006/relationships/hyperlink" Target="https://www.welcomesdr.com" TargetMode="External"/><Relationship Id="rId269" Type="http://schemas.openxmlformats.org/officeDocument/2006/relationships/hyperlink" Target="https://www.eqmcultura.com" TargetMode="External"/><Relationship Id="rId9" Type="http://schemas.openxmlformats.org/officeDocument/2006/relationships/hyperlink" Target="http://www.altascapacidadesarca.org" TargetMode="External"/><Relationship Id="rId143" Type="http://schemas.openxmlformats.org/officeDocument/2006/relationships/hyperlink" Target="http://www.bcnanimacio.com" TargetMode="External"/><Relationship Id="rId264" Type="http://schemas.openxmlformats.org/officeDocument/2006/relationships/hyperlink" Target="https://www.deunouve.es" TargetMode="External"/><Relationship Id="rId385" Type="http://schemas.openxmlformats.org/officeDocument/2006/relationships/hyperlink" Target="https://zetaefe.com/" TargetMode="External"/><Relationship Id="rId142" Type="http://schemas.openxmlformats.org/officeDocument/2006/relationships/hyperlink" Target="https://barakacirc.com/es/" TargetMode="External"/><Relationship Id="rId263" Type="http://schemas.openxmlformats.org/officeDocument/2006/relationships/hyperlink" Target="https://www.desvelo.eu" TargetMode="External"/><Relationship Id="rId384" Type="http://schemas.openxmlformats.org/officeDocument/2006/relationships/hyperlink" Target="http://www.zeronovenove.com" TargetMode="External"/><Relationship Id="rId141" Type="http://schemas.openxmlformats.org/officeDocument/2006/relationships/hyperlink" Target="https://www.ballenasoluciones.com" TargetMode="External"/><Relationship Id="rId262" Type="http://schemas.openxmlformats.org/officeDocument/2006/relationships/hyperlink" Target="https://www.labikina.org" TargetMode="External"/><Relationship Id="rId383" Type="http://schemas.openxmlformats.org/officeDocument/2006/relationships/hyperlink" Target="http://zeenaproducciones.com" TargetMode="External"/><Relationship Id="rId140" Type="http://schemas.openxmlformats.org/officeDocument/2006/relationships/hyperlink" Target="https://www.ballem.es" TargetMode="External"/><Relationship Id="rId261" Type="http://schemas.openxmlformats.org/officeDocument/2006/relationships/hyperlink" Target="https://www.damedrama.es" TargetMode="External"/><Relationship Id="rId382" Type="http://schemas.openxmlformats.org/officeDocument/2006/relationships/hyperlink" Target="https://yventu.com/" TargetMode="External"/><Relationship Id="rId5" Type="http://schemas.openxmlformats.org/officeDocument/2006/relationships/hyperlink" Target="https://www.2giras.com" TargetMode="External"/><Relationship Id="rId147" Type="http://schemas.openxmlformats.org/officeDocument/2006/relationships/hyperlink" Target="http://www.bigstoryprod.com" TargetMode="External"/><Relationship Id="rId268" Type="http://schemas.openxmlformats.org/officeDocument/2006/relationships/hyperlink" Target="https://www.entre-bambalinas.com/" TargetMode="External"/><Relationship Id="rId6" Type="http://schemas.openxmlformats.org/officeDocument/2006/relationships/hyperlink" Target="https://www.3mujeres.com" TargetMode="External"/><Relationship Id="rId146" Type="http://schemas.openxmlformats.org/officeDocument/2006/relationships/hyperlink" Target="https://www.bianchiniproducciones.com" TargetMode="External"/><Relationship Id="rId267" Type="http://schemas.openxmlformats.org/officeDocument/2006/relationships/hyperlink" Target="https://www.ensambles.es" TargetMode="External"/><Relationship Id="rId7" Type="http://schemas.openxmlformats.org/officeDocument/2006/relationships/hyperlink" Target="http://www.apriorigt.com" TargetMode="External"/><Relationship Id="rId145" Type="http://schemas.openxmlformats.org/officeDocument/2006/relationships/hyperlink" Target="https://beatrizortegap.com" TargetMode="External"/><Relationship Id="rId266" Type="http://schemas.openxmlformats.org/officeDocument/2006/relationships/hyperlink" Target="https://www.dgira.es" TargetMode="External"/><Relationship Id="rId8" Type="http://schemas.openxmlformats.org/officeDocument/2006/relationships/hyperlink" Target="http://www.a-mas.net" TargetMode="External"/><Relationship Id="rId144" Type="http://schemas.openxmlformats.org/officeDocument/2006/relationships/hyperlink" Target="http://www.bemovedagency.com" TargetMode="External"/><Relationship Id="rId265" Type="http://schemas.openxmlformats.org/officeDocument/2006/relationships/hyperlink" Target="http://www.dgbproducciones.com" TargetMode="External"/><Relationship Id="rId386" Type="http://schemas.openxmlformats.org/officeDocument/2006/relationships/drawing" Target="../drawings/drawing7.xml"/><Relationship Id="rId260" Type="http://schemas.openxmlformats.org/officeDocument/2006/relationships/hyperlink" Target="https://www.esenciadevida.com" TargetMode="External"/><Relationship Id="rId381" Type="http://schemas.openxmlformats.org/officeDocument/2006/relationships/hyperlink" Target="https://www.lageneralsl.com" TargetMode="External"/><Relationship Id="rId380" Type="http://schemas.openxmlformats.org/officeDocument/2006/relationships/hyperlink" Target="https://www.laescaleradejacob.es" TargetMode="External"/><Relationship Id="rId139" Type="http://schemas.openxmlformats.org/officeDocument/2006/relationships/hyperlink" Target="https://www.aamalcoy.com" TargetMode="External"/><Relationship Id="rId138" Type="http://schemas.openxmlformats.org/officeDocument/2006/relationships/hyperlink" Target="https://asdeguia.cat" TargetMode="External"/><Relationship Id="rId259" Type="http://schemas.openxmlformats.org/officeDocument/2006/relationships/hyperlink" Target="http://www.cunde.gal" TargetMode="External"/><Relationship Id="rId137" Type="http://schemas.openxmlformats.org/officeDocument/2006/relationships/hyperlink" Target="https://artyc.es/" TargetMode="External"/><Relationship Id="rId258" Type="http://schemas.openxmlformats.org/officeDocument/2006/relationships/hyperlink" Target="https://www.culturalpromoter.com" TargetMode="External"/><Relationship Id="rId379" Type="http://schemas.openxmlformats.org/officeDocument/2006/relationships/hyperlink" Target="http://www.asociacioncasaazul.com" TargetMode="External"/><Relationship Id="rId132" Type="http://schemas.openxmlformats.org/officeDocument/2006/relationships/hyperlink" Target="http://www.artestudioxestioncultural.com/" TargetMode="External"/><Relationship Id="rId253" Type="http://schemas.openxmlformats.org/officeDocument/2006/relationships/hyperlink" Target="https://www.cuartocabal.com" TargetMode="External"/><Relationship Id="rId374" Type="http://schemas.openxmlformats.org/officeDocument/2006/relationships/hyperlink" Target="https://www.juanjoseoane.com" TargetMode="External"/><Relationship Id="rId131" Type="http://schemas.openxmlformats.org/officeDocument/2006/relationships/hyperlink" Target="https://www.produccionesenlaarena.com" TargetMode="External"/><Relationship Id="rId252" Type="http://schemas.openxmlformats.org/officeDocument/2006/relationships/hyperlink" Target="http://www.ventilador-music.com" TargetMode="External"/><Relationship Id="rId373" Type="http://schemas.openxmlformats.org/officeDocument/2006/relationships/hyperlink" Target="https://www.decanela.net" TargetMode="External"/><Relationship Id="rId130" Type="http://schemas.openxmlformats.org/officeDocument/2006/relationships/hyperlink" Target="https://www.delunares.com" TargetMode="External"/><Relationship Id="rId251" Type="http://schemas.openxmlformats.org/officeDocument/2006/relationships/hyperlink" Target="https://www.vacasmanagement.com" TargetMode="External"/><Relationship Id="rId372" Type="http://schemas.openxmlformats.org/officeDocument/2006/relationships/hyperlink" Target="https://www.limac.net" TargetMode="External"/><Relationship Id="rId250" Type="http://schemas.openxmlformats.org/officeDocument/2006/relationships/hyperlink" Target="https://ultimateevents.es" TargetMode="External"/><Relationship Id="rId371" Type="http://schemas.openxmlformats.org/officeDocument/2006/relationships/hyperlink" Target="https://www.joseluismonton.com/" TargetMode="External"/><Relationship Id="rId136" Type="http://schemas.openxmlformats.org/officeDocument/2006/relationships/hyperlink" Target="http://www.omegaproducciones.com" TargetMode="External"/><Relationship Id="rId257" Type="http://schemas.openxmlformats.org/officeDocument/2006/relationships/hyperlink" Target="http://www.culturactiva.org" TargetMode="External"/><Relationship Id="rId378" Type="http://schemas.openxmlformats.org/officeDocument/2006/relationships/hyperlink" Target="https://www.labuenaaventuramusical.es" TargetMode="External"/><Relationship Id="rId135" Type="http://schemas.openxmlformats.org/officeDocument/2006/relationships/hyperlink" Target="https://www.exitsweb.com" TargetMode="External"/><Relationship Id="rId256" Type="http://schemas.openxmlformats.org/officeDocument/2006/relationships/hyperlink" Target="https://www.culturadecomunicacion.com" TargetMode="External"/><Relationship Id="rId377" Type="http://schemas.openxmlformats.org/officeDocument/2006/relationships/hyperlink" Target="https://www.labambolaproducciones.es" TargetMode="External"/><Relationship Id="rId134" Type="http://schemas.openxmlformats.org/officeDocument/2006/relationships/hyperlink" Target="https://www.artistalia.es" TargetMode="External"/><Relationship Id="rId255" Type="http://schemas.openxmlformats.org/officeDocument/2006/relationships/hyperlink" Target="http://www.6059.es" TargetMode="External"/><Relationship Id="rId376" Type="http://schemas.openxmlformats.org/officeDocument/2006/relationships/hyperlink" Target="https://www.kandenguearts.com/" TargetMode="External"/><Relationship Id="rId133" Type="http://schemas.openxmlformats.org/officeDocument/2006/relationships/hyperlink" Target="https://www.artibus.es" TargetMode="External"/><Relationship Id="rId254" Type="http://schemas.openxmlformats.org/officeDocument/2006/relationships/hyperlink" Target="https://www.cuatrogatos.com" TargetMode="External"/><Relationship Id="rId375" Type="http://schemas.openxmlformats.org/officeDocument/2006/relationships/hyperlink" Target="https://www.jpproducciones.com" TargetMode="External"/><Relationship Id="rId172" Type="http://schemas.openxmlformats.org/officeDocument/2006/relationships/hyperlink" Target="https://carolinabellver.es/" TargetMode="External"/><Relationship Id="rId293" Type="http://schemas.openxmlformats.org/officeDocument/2006/relationships/hyperlink" Target="https://www.essenti-arts.com/" TargetMode="External"/><Relationship Id="rId171" Type="http://schemas.openxmlformats.org/officeDocument/2006/relationships/hyperlink" Target="http://www.carmenparis.net" TargetMode="External"/><Relationship Id="rId292" Type="http://schemas.openxmlformats.org/officeDocument/2006/relationships/hyperlink" Target="https://espectaculoslaunion.com" TargetMode="External"/><Relationship Id="rId170" Type="http://schemas.openxmlformats.org/officeDocument/2006/relationships/hyperlink" Target="https://carmenavila.es/" TargetMode="External"/><Relationship Id="rId291" Type="http://schemas.openxmlformats.org/officeDocument/2006/relationships/hyperlink" Target="https://espectaculosdelaosa.com/" TargetMode="External"/><Relationship Id="rId290" Type="http://schemas.openxmlformats.org/officeDocument/2006/relationships/hyperlink" Target="https://www.espectaclespectacular.com/" TargetMode="External"/><Relationship Id="rId165" Type="http://schemas.openxmlformats.org/officeDocument/2006/relationships/hyperlink" Target="https://www.ritaclara.com" TargetMode="External"/><Relationship Id="rId286" Type="http://schemas.openxmlformats.org/officeDocument/2006/relationships/hyperlink" Target="https://www.dracmanagement.com" TargetMode="External"/><Relationship Id="rId164" Type="http://schemas.openxmlformats.org/officeDocument/2006/relationships/hyperlink" Target="https://www.raquelpalma.com" TargetMode="External"/><Relationship Id="rId285" Type="http://schemas.openxmlformats.org/officeDocument/2006/relationships/hyperlink" Target="https://www.doshermanascatorce.com" TargetMode="External"/><Relationship Id="rId163" Type="http://schemas.openxmlformats.org/officeDocument/2006/relationships/hyperlink" Target="http://www.quieroteatro.com" TargetMode="External"/><Relationship Id="rId284" Type="http://schemas.openxmlformats.org/officeDocument/2006/relationships/hyperlink" Target="https://www.docartproject.com/" TargetMode="External"/><Relationship Id="rId162" Type="http://schemas.openxmlformats.org/officeDocument/2006/relationships/hyperlink" Target="http://www.proyectocultura.com" TargetMode="External"/><Relationship Id="rId283" Type="http://schemas.openxmlformats.org/officeDocument/2006/relationships/hyperlink" Target="https://produccionescelestiales.com" TargetMode="External"/><Relationship Id="rId169" Type="http://schemas.openxmlformats.org/officeDocument/2006/relationships/hyperlink" Target="https://www.arstango.com" TargetMode="External"/><Relationship Id="rId168" Type="http://schemas.openxmlformats.org/officeDocument/2006/relationships/hyperlink" Target="https://www.carlotaguivernau.com" TargetMode="External"/><Relationship Id="rId289" Type="http://schemas.openxmlformats.org/officeDocument/2006/relationships/hyperlink" Target="https://espectaclesdrbombolla.com/" TargetMode="External"/><Relationship Id="rId167" Type="http://schemas.openxmlformats.org/officeDocument/2006/relationships/hyperlink" Target="https://www.caravansar.es" TargetMode="External"/><Relationship Id="rId288" Type="http://schemas.openxmlformats.org/officeDocument/2006/relationships/hyperlink" Target="https://www.dulcimersongs.com" TargetMode="External"/><Relationship Id="rId166" Type="http://schemas.openxmlformats.org/officeDocument/2006/relationships/hyperlink" Target="https://www.candelaazul.com" TargetMode="External"/><Relationship Id="rId287" Type="http://schemas.openxmlformats.org/officeDocument/2006/relationships/hyperlink" Target="https://www.dromcultura.com" TargetMode="External"/><Relationship Id="rId161" Type="http://schemas.openxmlformats.org/officeDocument/2006/relationships/hyperlink" Target="http://www.proversus.com" TargetMode="External"/><Relationship Id="rId282" Type="http://schemas.openxmlformats.org/officeDocument/2006/relationships/hyperlink" Target="https://www.distribucionjoseluis.es" TargetMode="External"/><Relationship Id="rId160" Type="http://schemas.openxmlformats.org/officeDocument/2006/relationships/hyperlink" Target="https://www.propaganda-pel-fet.cat" TargetMode="External"/><Relationship Id="rId281" Type="http://schemas.openxmlformats.org/officeDocument/2006/relationships/hyperlink" Target="https://www.disparatario.com" TargetMode="External"/><Relationship Id="rId280" Type="http://schemas.openxmlformats.org/officeDocument/2006/relationships/hyperlink" Target="https://dilaabteatral.com" TargetMode="External"/><Relationship Id="rId159" Type="http://schemas.openxmlformats.org/officeDocument/2006/relationships/hyperlink" Target="https://promisejazz.com/" TargetMode="External"/><Relationship Id="rId154" Type="http://schemas.openxmlformats.org/officeDocument/2006/relationships/hyperlink" Target="https://www.produccioneslevel23.com" TargetMode="External"/><Relationship Id="rId275" Type="http://schemas.openxmlformats.org/officeDocument/2006/relationships/hyperlink" Target="https://esmerarte.com/" TargetMode="External"/><Relationship Id="rId153" Type="http://schemas.openxmlformats.org/officeDocument/2006/relationships/hyperlink" Target="http://www.produccioneslastra.com" TargetMode="External"/><Relationship Id="rId274" Type="http://schemas.openxmlformats.org/officeDocument/2006/relationships/hyperlink" Target="http://www.esmanagement.es" TargetMode="External"/><Relationship Id="rId152" Type="http://schemas.openxmlformats.org/officeDocument/2006/relationships/hyperlink" Target="https://www.bonitosound.com" TargetMode="External"/><Relationship Id="rId273" Type="http://schemas.openxmlformats.org/officeDocument/2006/relationships/hyperlink" Target="https://www.escenicascampoy.com" TargetMode="External"/><Relationship Id="rId151" Type="http://schemas.openxmlformats.org/officeDocument/2006/relationships/hyperlink" Target="https://blumusic.cat/es/" TargetMode="External"/><Relationship Id="rId272" Type="http://schemas.openxmlformats.org/officeDocument/2006/relationships/hyperlink" Target="http://www.escenapart.cat" TargetMode="External"/><Relationship Id="rId158" Type="http://schemas.openxmlformats.org/officeDocument/2006/relationships/hyperlink" Target="http://www.producirk.com" TargetMode="External"/><Relationship Id="rId279" Type="http://schemas.openxmlformats.org/officeDocument/2006/relationships/hyperlink" Target="http://www.diggersmusic.com" TargetMode="External"/><Relationship Id="rId157" Type="http://schemas.openxmlformats.org/officeDocument/2006/relationships/hyperlink" Target="https://www.graupeiro.net" TargetMode="External"/><Relationship Id="rId278" Type="http://schemas.openxmlformats.org/officeDocument/2006/relationships/hyperlink" Target="https://www.diantre.es" TargetMode="External"/><Relationship Id="rId156" Type="http://schemas.openxmlformats.org/officeDocument/2006/relationships/hyperlink" Target="http://www.ptcteatro.com" TargetMode="External"/><Relationship Id="rId277" Type="http://schemas.openxmlformats.org/officeDocument/2006/relationships/hyperlink" Target="http://www.diagorasproducciones.com" TargetMode="External"/><Relationship Id="rId155" Type="http://schemas.openxmlformats.org/officeDocument/2006/relationships/hyperlink" Target="https://www.produccionessibemol.es/" TargetMode="External"/><Relationship Id="rId276" Type="http://schemas.openxmlformats.org/officeDocument/2006/relationships/hyperlink" Target="http://www.dgira.es" TargetMode="External"/><Relationship Id="rId40" Type="http://schemas.openxmlformats.org/officeDocument/2006/relationships/hyperlink" Target="https://www.moviendoteatro.com/" TargetMode="External"/><Relationship Id="rId42" Type="http://schemas.openxmlformats.org/officeDocument/2006/relationships/hyperlink" Target="http://www.geventosmurcia.com" TargetMode="External"/><Relationship Id="rId41" Type="http://schemas.openxmlformats.org/officeDocument/2006/relationships/hyperlink" Target="https://www.munster-tourin.com" TargetMode="External"/><Relationship Id="rId44" Type="http://schemas.openxmlformats.org/officeDocument/2006/relationships/hyperlink" Target="http://www.musicaviva.eu" TargetMode="External"/><Relationship Id="rId43" Type="http://schemas.openxmlformats.org/officeDocument/2006/relationships/hyperlink" Target="https://www.musicmanagementgb.com" TargetMode="External"/><Relationship Id="rId46" Type="http://schemas.openxmlformats.org/officeDocument/2006/relationships/hyperlink" Target="https://www.musicanueva.com" TargetMode="External"/><Relationship Id="rId45" Type="http://schemas.openxmlformats.org/officeDocument/2006/relationships/hyperlink" Target="https://www.musicadhoy.com" TargetMode="External"/><Relationship Id="rId48" Type="http://schemas.openxmlformats.org/officeDocument/2006/relationships/hyperlink" Target="https://www.nacionfunk.com/" TargetMode="External"/><Relationship Id="rId47" Type="http://schemas.openxmlformats.org/officeDocument/2006/relationships/hyperlink" Target="https://www.musiepoca.com" TargetMode="External"/><Relationship Id="rId49" Type="http://schemas.openxmlformats.org/officeDocument/2006/relationships/hyperlink" Target="http://nakado.es" TargetMode="External"/><Relationship Id="rId31" Type="http://schemas.openxmlformats.org/officeDocument/2006/relationships/hyperlink" Target="http://www.almorau.com" TargetMode="External"/><Relationship Id="rId30" Type="http://schemas.openxmlformats.org/officeDocument/2006/relationships/hyperlink" Target="http://allantica.org" TargetMode="External"/><Relationship Id="rId33" Type="http://schemas.openxmlformats.org/officeDocument/2006/relationships/hyperlink" Target="https://www.alnilam.net" TargetMode="External"/><Relationship Id="rId32" Type="http://schemas.openxmlformats.org/officeDocument/2006/relationships/hyperlink" Target="https://www.alnilam.net/espectaculos/" TargetMode="External"/><Relationship Id="rId35" Type="http://schemas.openxmlformats.org/officeDocument/2006/relationships/hyperlink" Target="http://www.alonsoproducciones.es" TargetMode="External"/><Relationship Id="rId34" Type="http://schemas.openxmlformats.org/officeDocument/2006/relationships/hyperlink" Target="https://www.alojan.org" TargetMode="External"/><Relationship Id="rId37" Type="http://schemas.openxmlformats.org/officeDocument/2006/relationships/hyperlink" Target="https://www.amalgamagestionartistica.com" TargetMode="External"/><Relationship Id="rId36" Type="http://schemas.openxmlformats.org/officeDocument/2006/relationships/hyperlink" Target="https://www.alquimiaproduccions.com" TargetMode="External"/><Relationship Id="rId39" Type="http://schemas.openxmlformats.org/officeDocument/2006/relationships/hyperlink" Target="https://www.morfeoteatro.com" TargetMode="External"/><Relationship Id="rId38" Type="http://schemas.openxmlformats.org/officeDocument/2006/relationships/hyperlink" Target="https://moratayasociados.com" TargetMode="External"/><Relationship Id="rId20" Type="http://schemas.openxmlformats.org/officeDocument/2006/relationships/hyperlink" Target="https://www.teatrosdemadrid.com" TargetMode="External"/><Relationship Id="rId22" Type="http://schemas.openxmlformats.org/officeDocument/2006/relationships/hyperlink" Target="http://www.jovencamerata.com" TargetMode="External"/><Relationship Id="rId21" Type="http://schemas.openxmlformats.org/officeDocument/2006/relationships/hyperlink" Target="https://www.york.st" TargetMode="External"/><Relationship Id="rId24" Type="http://schemas.openxmlformats.org/officeDocument/2006/relationships/hyperlink" Target="http://www.allaumanagement.com" TargetMode="External"/><Relationship Id="rId23" Type="http://schemas.openxmlformats.org/officeDocument/2006/relationships/hyperlink" Target="https://www.a2b-company.com" TargetMode="External"/><Relationship Id="rId26" Type="http://schemas.openxmlformats.org/officeDocument/2006/relationships/hyperlink" Target="https://www.airedemusica.com" TargetMode="External"/><Relationship Id="rId25" Type="http://schemas.openxmlformats.org/officeDocument/2006/relationships/hyperlink" Target="https://www.aireaire.com" TargetMode="External"/><Relationship Id="rId28" Type="http://schemas.openxmlformats.org/officeDocument/2006/relationships/hyperlink" Target="http://www.muyoescena.com" TargetMode="External"/><Relationship Id="rId27" Type="http://schemas.openxmlformats.org/officeDocument/2006/relationships/hyperlink" Target="https://alapista.com/es/" TargetMode="External"/><Relationship Id="rId29" Type="http://schemas.openxmlformats.org/officeDocument/2006/relationships/hyperlink" Target="https://www.maximafusion.com" TargetMode="External"/><Relationship Id="rId11" Type="http://schemas.openxmlformats.org/officeDocument/2006/relationships/hyperlink" Target="https://www.actidea.com" TargetMode="External"/><Relationship Id="rId10" Type="http://schemas.openxmlformats.org/officeDocument/2006/relationships/hyperlink" Target="https://achinechproductions.com" TargetMode="External"/><Relationship Id="rId13" Type="http://schemas.openxmlformats.org/officeDocument/2006/relationships/hyperlink" Target="https://www.adiproducciones.com" TargetMode="External"/><Relationship Id="rId12" Type="http://schemas.openxmlformats.org/officeDocument/2006/relationships/hyperlink" Target="https://www.sona.grupouni2.com" TargetMode="External"/><Relationship Id="rId15" Type="http://schemas.openxmlformats.org/officeDocument/2006/relationships/hyperlink" Target="https://www.agadic.info" TargetMode="External"/><Relationship Id="rId14" Type="http://schemas.openxmlformats.org/officeDocument/2006/relationships/hyperlink" Target="http://www.africamoment.org" TargetMode="External"/><Relationship Id="rId17" Type="http://schemas.openxmlformats.org/officeDocument/2006/relationships/hyperlink" Target="http://www.agombola.com/" TargetMode="External"/><Relationship Id="rId16" Type="http://schemas.openxmlformats.org/officeDocument/2006/relationships/hyperlink" Target="https://www.agenceartistique.net" TargetMode="External"/><Relationship Id="rId19" Type="http://schemas.openxmlformats.org/officeDocument/2006/relationships/hyperlink" Target="https://www.york.st" TargetMode="External"/><Relationship Id="rId18" Type="http://schemas.openxmlformats.org/officeDocument/2006/relationships/hyperlink" Target="https://www.facebook.com/dansateatrealexandra.gimenezchiscano" TargetMode="External"/><Relationship Id="rId84" Type="http://schemas.openxmlformats.org/officeDocument/2006/relationships/hyperlink" Target="https://anxest.com/" TargetMode="External"/><Relationship Id="rId83" Type="http://schemas.openxmlformats.org/officeDocument/2006/relationships/hyperlink" Target="https://institutodelacomedia.com" TargetMode="External"/><Relationship Id="rId86" Type="http://schemas.openxmlformats.org/officeDocument/2006/relationships/hyperlink" Target="http://www.planb-music.com" TargetMode="External"/><Relationship Id="rId85" Type="http://schemas.openxmlformats.org/officeDocument/2006/relationships/hyperlink" Target="https://www.aporarte.com/" TargetMode="External"/><Relationship Id="rId88" Type="http://schemas.openxmlformats.org/officeDocument/2006/relationships/hyperlink" Target="http://www.playplan.es" TargetMode="External"/><Relationship Id="rId87" Type="http://schemas.openxmlformats.org/officeDocument/2006/relationships/hyperlink" Target="http://www.planasconcert.com" TargetMode="External"/><Relationship Id="rId89" Type="http://schemas.openxmlformats.org/officeDocument/2006/relationships/hyperlink" Target="https://polaragency.net/" TargetMode="External"/><Relationship Id="rId80" Type="http://schemas.openxmlformats.org/officeDocument/2006/relationships/hyperlink" Target="https://pattoproducciones.com" TargetMode="External"/><Relationship Id="rId82" Type="http://schemas.openxmlformats.org/officeDocument/2006/relationships/hyperlink" Target="https://www.erase.es" TargetMode="External"/><Relationship Id="rId81" Type="http://schemas.openxmlformats.org/officeDocument/2006/relationships/hyperlink" Target="https://www.pedroiturralde.org" TargetMode="External"/><Relationship Id="rId73" Type="http://schemas.openxmlformats.org/officeDocument/2006/relationships/hyperlink" Target="https://www.offbeat-bcn.com" TargetMode="External"/><Relationship Id="rId72" Type="http://schemas.openxmlformats.org/officeDocument/2006/relationships/hyperlink" Target="http://www.obsidiana.cat" TargetMode="External"/><Relationship Id="rId75" Type="http://schemas.openxmlformats.org/officeDocument/2006/relationships/hyperlink" Target="https://www.ooops.es" TargetMode="External"/><Relationship Id="rId74" Type="http://schemas.openxmlformats.org/officeDocument/2006/relationships/hyperlink" Target="https://www.oiedicion.es" TargetMode="External"/><Relationship Id="rId77" Type="http://schemas.openxmlformats.org/officeDocument/2006/relationships/hyperlink" Target="https://www.opsisproducciones.com/" TargetMode="External"/><Relationship Id="rId76" Type="http://schemas.openxmlformats.org/officeDocument/2006/relationships/hyperlink" Target="http://www.opera2001.net" TargetMode="External"/><Relationship Id="rId79" Type="http://schemas.openxmlformats.org/officeDocument/2006/relationships/hyperlink" Target="http://www.outsidersarts.com" TargetMode="External"/><Relationship Id="rId78" Type="http://schemas.openxmlformats.org/officeDocument/2006/relationships/hyperlink" Target="https://www.originalprod.com" TargetMode="External"/><Relationship Id="rId71" Type="http://schemas.openxmlformats.org/officeDocument/2006/relationships/hyperlink" Target="https://cdn.mcu.es" TargetMode="External"/><Relationship Id="rId70" Type="http://schemas.openxmlformats.org/officeDocument/2006/relationships/hyperlink" Target="https://www.otel-lo.com" TargetMode="External"/><Relationship Id="rId62" Type="http://schemas.openxmlformats.org/officeDocument/2006/relationships/hyperlink" Target="https://amoralteatro.es/" TargetMode="External"/><Relationship Id="rId61" Type="http://schemas.openxmlformats.org/officeDocument/2006/relationships/hyperlink" Target="https://www.amilkilometros.com/" TargetMode="External"/><Relationship Id="rId64" Type="http://schemas.openxmlformats.org/officeDocument/2006/relationships/hyperlink" Target="https://www.amuntproduccions.cat" TargetMode="External"/><Relationship Id="rId63" Type="http://schemas.openxmlformats.org/officeDocument/2006/relationships/hyperlink" Target="https://www.rafael-amargo.com" TargetMode="External"/><Relationship Id="rId66" Type="http://schemas.openxmlformats.org/officeDocument/2006/relationships/hyperlink" Target="http://www.anden47.es" TargetMode="External"/><Relationship Id="rId65" Type="http://schemas.openxmlformats.org/officeDocument/2006/relationships/hyperlink" Target="https://andapro.com/" TargetMode="External"/><Relationship Id="rId68" Type="http://schemas.openxmlformats.org/officeDocument/2006/relationships/hyperlink" Target="https://www.grupoangimoreno.com" TargetMode="External"/><Relationship Id="rId67" Type="http://schemas.openxmlformats.org/officeDocument/2006/relationships/hyperlink" Target="https://www.anexa.nu" TargetMode="External"/><Relationship Id="rId60" Type="http://schemas.openxmlformats.org/officeDocument/2006/relationships/hyperlink" Target="https://www.ameztu.net" TargetMode="External"/><Relationship Id="rId69" Type="http://schemas.openxmlformats.org/officeDocument/2006/relationships/hyperlink" Target="https://www.stage.es" TargetMode="External"/><Relationship Id="rId51" Type="http://schemas.openxmlformats.org/officeDocument/2006/relationships/hyperlink" Target="https://natalyartesescenicas.com/" TargetMode="External"/><Relationship Id="rId50" Type="http://schemas.openxmlformats.org/officeDocument/2006/relationships/hyperlink" Target="http://www.nakado.es" TargetMode="External"/><Relationship Id="rId53" Type="http://schemas.openxmlformats.org/officeDocument/2006/relationships/hyperlink" Target="https://www.ngrproducciones.com" TargetMode="External"/><Relationship Id="rId52" Type="http://schemas.openxmlformats.org/officeDocument/2006/relationships/hyperlink" Target="https://www.nelsonmusicspain.com" TargetMode="External"/><Relationship Id="rId55" Type="http://schemas.openxmlformats.org/officeDocument/2006/relationships/hyperlink" Target="https://www.nocturns.net" TargetMode="External"/><Relationship Id="rId54" Type="http://schemas.openxmlformats.org/officeDocument/2006/relationships/hyperlink" Target="https://nosomosnadie.eu/" TargetMode="External"/><Relationship Id="rId57" Type="http://schemas.openxmlformats.org/officeDocument/2006/relationships/hyperlink" Target="https://www.ladamaduende.info" TargetMode="External"/><Relationship Id="rId56" Type="http://schemas.openxmlformats.org/officeDocument/2006/relationships/hyperlink" Target="https://www.norteflamenco.com" TargetMode="External"/><Relationship Id="rId59" Type="http://schemas.openxmlformats.org/officeDocument/2006/relationships/hyperlink" Target="https://www.ambiguproducciones.com" TargetMode="External"/><Relationship Id="rId58" Type="http://schemas.openxmlformats.org/officeDocument/2006/relationships/hyperlink" Target="https://www.amarelo.es/" TargetMode="External"/><Relationship Id="rId107" Type="http://schemas.openxmlformats.org/officeDocument/2006/relationships/hyperlink" Target="http://www.peinetaproducciones.com" TargetMode="External"/><Relationship Id="rId228" Type="http://schemas.openxmlformats.org/officeDocument/2006/relationships/hyperlink" Target="https://www.crescendomusic.es" TargetMode="External"/><Relationship Id="rId349" Type="http://schemas.openxmlformats.org/officeDocument/2006/relationships/hyperlink" Target="https://www.hiddentrackrecords.com/" TargetMode="External"/><Relationship Id="rId106" Type="http://schemas.openxmlformats.org/officeDocument/2006/relationships/hyperlink" Target="https://www.artemusica.com" TargetMode="External"/><Relationship Id="rId227" Type="http://schemas.openxmlformats.org/officeDocument/2006/relationships/hyperlink" Target="http://cremilo.es" TargetMode="External"/><Relationship Id="rId348" Type="http://schemas.openxmlformats.org/officeDocument/2006/relationships/hyperlink" Target="http://www.harakirimanagement.com" TargetMode="External"/><Relationship Id="rId105" Type="http://schemas.openxmlformats.org/officeDocument/2006/relationships/hyperlink" Target="https://www.arteocio.com" TargetMode="External"/><Relationship Id="rId226" Type="http://schemas.openxmlformats.org/officeDocument/2006/relationships/hyperlink" Target="https://www.creatividadsolidaria.es" TargetMode="External"/><Relationship Id="rId347" Type="http://schemas.openxmlformats.org/officeDocument/2006/relationships/hyperlink" Target="http://www.guspira.net" TargetMode="External"/><Relationship Id="rId104" Type="http://schemas.openxmlformats.org/officeDocument/2006/relationships/hyperlink" Target="https://www.arteopera.com" TargetMode="External"/><Relationship Id="rId225" Type="http://schemas.openxmlformats.org/officeDocument/2006/relationships/hyperlink" Target="https://www.creatics.es" TargetMode="External"/><Relationship Id="rId346" Type="http://schemas.openxmlformats.org/officeDocument/2006/relationships/hyperlink" Target="https://www.genescena.es" TargetMode="External"/><Relationship Id="rId109" Type="http://schemas.openxmlformats.org/officeDocument/2006/relationships/hyperlink" Target="https://pertigamusic.com/" TargetMode="External"/><Relationship Id="rId108" Type="http://schemas.openxmlformats.org/officeDocument/2006/relationships/hyperlink" Target="https://www.penelopedistribuye.com" TargetMode="External"/><Relationship Id="rId229" Type="http://schemas.openxmlformats.org/officeDocument/2006/relationships/hyperlink" Target="http://www.tpteventos.com" TargetMode="External"/><Relationship Id="rId220" Type="http://schemas.openxmlformats.org/officeDocument/2006/relationships/hyperlink" Target="https://www.concerlirica.com" TargetMode="External"/><Relationship Id="rId341" Type="http://schemas.openxmlformats.org/officeDocument/2006/relationships/hyperlink" Target="http://www.gambiniproducciones.es" TargetMode="External"/><Relationship Id="rId340" Type="http://schemas.openxmlformats.org/officeDocument/2006/relationships/hyperlink" Target="https://www.gala-producciones.com" TargetMode="External"/><Relationship Id="rId103" Type="http://schemas.openxmlformats.org/officeDocument/2006/relationships/hyperlink" Target="https://www.arte4.es" TargetMode="External"/><Relationship Id="rId224" Type="http://schemas.openxmlformats.org/officeDocument/2006/relationships/hyperlink" Target="https://www.cpfspain.com" TargetMode="External"/><Relationship Id="rId345" Type="http://schemas.openxmlformats.org/officeDocument/2006/relationships/hyperlink" Target="https://www.gemmaros.com/" TargetMode="External"/><Relationship Id="rId102" Type="http://schemas.openxmlformats.org/officeDocument/2006/relationships/hyperlink" Target="http://www.artrepublic.es" TargetMode="External"/><Relationship Id="rId223" Type="http://schemas.openxmlformats.org/officeDocument/2006/relationships/hyperlink" Target="https://www.cordeterra.org" TargetMode="External"/><Relationship Id="rId344" Type="http://schemas.openxmlformats.org/officeDocument/2006/relationships/hyperlink" Target="https://www.hotsak.com" TargetMode="External"/><Relationship Id="rId101" Type="http://schemas.openxmlformats.org/officeDocument/2006/relationships/hyperlink" Target="https://www.artidialeg.es" TargetMode="External"/><Relationship Id="rId222" Type="http://schemas.openxmlformats.org/officeDocument/2006/relationships/hyperlink" Target="https://www.coolturearte.com/" TargetMode="External"/><Relationship Id="rId343" Type="http://schemas.openxmlformats.org/officeDocument/2006/relationships/hyperlink" Target="https://www.gazpatxofestcultura.com/" TargetMode="External"/><Relationship Id="rId100" Type="http://schemas.openxmlformats.org/officeDocument/2006/relationships/hyperlink" Target="http://www.artglobalspain.es" TargetMode="External"/><Relationship Id="rId221" Type="http://schemas.openxmlformats.org/officeDocument/2006/relationships/hyperlink" Target="https://conartes.es/" TargetMode="External"/><Relationship Id="rId342" Type="http://schemas.openxmlformats.org/officeDocument/2006/relationships/hyperlink" Target="https://www.gardynstudio.com" TargetMode="External"/><Relationship Id="rId217" Type="http://schemas.openxmlformats.org/officeDocument/2006/relationships/hyperlink" Target="http://www.comedyplan.com" TargetMode="External"/><Relationship Id="rId338" Type="http://schemas.openxmlformats.org/officeDocument/2006/relationships/hyperlink" Target="https://www.marsopasmoon.com" TargetMode="External"/><Relationship Id="rId216" Type="http://schemas.openxmlformats.org/officeDocument/2006/relationships/hyperlink" Target="http://www.comartculturemanagement.com" TargetMode="External"/><Relationship Id="rId337" Type="http://schemas.openxmlformats.org/officeDocument/2006/relationships/hyperlink" Target="https://infartoproducciones.es/" TargetMode="External"/><Relationship Id="rId215" Type="http://schemas.openxmlformats.org/officeDocument/2006/relationships/hyperlink" Target="https://www.cleverevents.info" TargetMode="External"/><Relationship Id="rId336" Type="http://schemas.openxmlformats.org/officeDocument/2006/relationships/hyperlink" Target="https://www.indeleble.es" TargetMode="External"/><Relationship Id="rId214" Type="http://schemas.openxmlformats.org/officeDocument/2006/relationships/hyperlink" Target="https://www.clavede2.com" TargetMode="External"/><Relationship Id="rId335" Type="http://schemas.openxmlformats.org/officeDocument/2006/relationships/hyperlink" Target="http://www.impulsarts.com" TargetMode="External"/><Relationship Id="rId219" Type="http://schemas.openxmlformats.org/officeDocument/2006/relationships/hyperlink" Target="https://www.guindalera.com" TargetMode="External"/><Relationship Id="rId218" Type="http://schemas.openxmlformats.org/officeDocument/2006/relationships/hyperlink" Target="http://www.entrepatasteatro.com" TargetMode="External"/><Relationship Id="rId339" Type="http://schemas.openxmlformats.org/officeDocument/2006/relationships/hyperlink" Target="http://www.gachipisaniprods.com" TargetMode="External"/><Relationship Id="rId330" Type="http://schemas.openxmlformats.org/officeDocument/2006/relationships/hyperlink" Target="https://www.ground-control.es" TargetMode="External"/><Relationship Id="rId213" Type="http://schemas.openxmlformats.org/officeDocument/2006/relationships/hyperlink" Target="https://claudiocastillo.es/" TargetMode="External"/><Relationship Id="rId334" Type="http://schemas.openxmlformats.org/officeDocument/2006/relationships/hyperlink" Target="http://www.imaginart.cat" TargetMode="External"/><Relationship Id="rId212" Type="http://schemas.openxmlformats.org/officeDocument/2006/relationships/hyperlink" Target="http://www.claraperezdistribucion.com" TargetMode="External"/><Relationship Id="rId333" Type="http://schemas.openxmlformats.org/officeDocument/2006/relationships/hyperlink" Target="http://www.ikebanah.es" TargetMode="External"/><Relationship Id="rId211" Type="http://schemas.openxmlformats.org/officeDocument/2006/relationships/hyperlink" Target="https://www.telonproducciones.com" TargetMode="External"/><Relationship Id="rId332" Type="http://schemas.openxmlformats.org/officeDocument/2006/relationships/hyperlink" Target="https://ifproducciones.com/" TargetMode="External"/><Relationship Id="rId210" Type="http://schemas.openxmlformats.org/officeDocument/2006/relationships/hyperlink" Target="https://www.pequesduendes.com" TargetMode="External"/><Relationship Id="rId331" Type="http://schemas.openxmlformats.org/officeDocument/2006/relationships/hyperlink" Target="https://www.iberkonzert.com" TargetMode="External"/><Relationship Id="rId370" Type="http://schemas.openxmlformats.org/officeDocument/2006/relationships/hyperlink" Target="https://laavispa.com" TargetMode="External"/><Relationship Id="rId129" Type="http://schemas.openxmlformats.org/officeDocument/2006/relationships/hyperlink" Target="https://www.pserrano.com" TargetMode="External"/><Relationship Id="rId128" Type="http://schemas.openxmlformats.org/officeDocument/2006/relationships/hyperlink" Target="https://espectaculosorange.es/" TargetMode="External"/><Relationship Id="rId249" Type="http://schemas.openxmlformats.org/officeDocument/2006/relationships/hyperlink" Target="https://www.ultimafilaproducciones.com" TargetMode="External"/><Relationship Id="rId127" Type="http://schemas.openxmlformats.org/officeDocument/2006/relationships/hyperlink" Target="https://www.produccionesar.com" TargetMode="External"/><Relationship Id="rId248" Type="http://schemas.openxmlformats.org/officeDocument/2006/relationships/hyperlink" Target="https://www.ukalarimenorcaevents.com/" TargetMode="External"/><Relationship Id="rId369" Type="http://schemas.openxmlformats.org/officeDocument/2006/relationships/hyperlink" Target="https://www.lhortateatre.com" TargetMode="External"/><Relationship Id="rId126" Type="http://schemas.openxmlformats.org/officeDocument/2006/relationships/hyperlink" Target="http://www.primaverasound.com" TargetMode="External"/><Relationship Id="rId247" Type="http://schemas.openxmlformats.org/officeDocument/2006/relationships/hyperlink" Target="https://www.udoldellopmanagement.cat" TargetMode="External"/><Relationship Id="rId368" Type="http://schemas.openxmlformats.org/officeDocument/2006/relationships/hyperlink" Target="http://www.lestibacultural.com" TargetMode="External"/><Relationship Id="rId121" Type="http://schemas.openxmlformats.org/officeDocument/2006/relationships/hyperlink" Target="https://www.ausamusic.cat" TargetMode="External"/><Relationship Id="rId242" Type="http://schemas.openxmlformats.org/officeDocument/2006/relationships/hyperlink" Target="http://www.elmandaito.com" TargetMode="External"/><Relationship Id="rId363" Type="http://schemas.openxmlformats.org/officeDocument/2006/relationships/hyperlink" Target="http://www.jmgestionteatral.com" TargetMode="External"/><Relationship Id="rId120" Type="http://schemas.openxmlformats.org/officeDocument/2006/relationships/hyperlink" Target="https://www.aurorartists.com" TargetMode="External"/><Relationship Id="rId241" Type="http://schemas.openxmlformats.org/officeDocument/2006/relationships/hyperlink" Target="http://www.espiritudelsur.com" TargetMode="External"/><Relationship Id="rId362" Type="http://schemas.openxmlformats.org/officeDocument/2006/relationships/hyperlink" Target="https://www.jetentertainment.es" TargetMode="External"/><Relationship Id="rId240" Type="http://schemas.openxmlformats.org/officeDocument/2006/relationships/hyperlink" Target="https://laurentzi.com/" TargetMode="External"/><Relationship Id="rId361" Type="http://schemas.openxmlformats.org/officeDocument/2006/relationships/hyperlink" Target="http://www.jeito.es" TargetMode="External"/><Relationship Id="rId360" Type="http://schemas.openxmlformats.org/officeDocument/2006/relationships/hyperlink" Target="https://jazzazza.com/representaciones/" TargetMode="External"/><Relationship Id="rId125" Type="http://schemas.openxmlformats.org/officeDocument/2006/relationships/hyperlink" Target="https://www.primaverasound.com/es/primavera-labels" TargetMode="External"/><Relationship Id="rId246" Type="http://schemas.openxmlformats.org/officeDocument/2006/relationships/hyperlink" Target="https://www.elenabermudez.com" TargetMode="External"/><Relationship Id="rId367" Type="http://schemas.openxmlformats.org/officeDocument/2006/relationships/hyperlink" Target="https://kolpgroup.com" TargetMode="External"/><Relationship Id="rId124" Type="http://schemas.openxmlformats.org/officeDocument/2006/relationships/hyperlink" Target="http://www.balaioproducciones.com" TargetMode="External"/><Relationship Id="rId245" Type="http://schemas.openxmlformats.org/officeDocument/2006/relationships/hyperlink" Target="https://www.electricbulegoa.com" TargetMode="External"/><Relationship Id="rId366" Type="http://schemas.openxmlformats.org/officeDocument/2006/relationships/hyperlink" Target="https://www.klink.org" TargetMode="External"/><Relationship Id="rId123" Type="http://schemas.openxmlformats.org/officeDocument/2006/relationships/hyperlink" Target="https://www.bailamorena.com" TargetMode="External"/><Relationship Id="rId244" Type="http://schemas.openxmlformats.org/officeDocument/2006/relationships/hyperlink" Target="https://www.elvolcanmusica.com/" TargetMode="External"/><Relationship Id="rId365" Type="http://schemas.openxmlformats.org/officeDocument/2006/relationships/hyperlink" Target="http://www.klemark.com" TargetMode="External"/><Relationship Id="rId122" Type="http://schemas.openxmlformats.org/officeDocument/2006/relationships/hyperlink" Target="https://www.bacum.info" TargetMode="External"/><Relationship Id="rId243" Type="http://schemas.openxmlformats.org/officeDocument/2006/relationships/hyperlink" Target="http://www.eltragaluz.com" TargetMode="External"/><Relationship Id="rId364" Type="http://schemas.openxmlformats.org/officeDocument/2006/relationships/hyperlink" Target="https://www.kinefon.eu" TargetMode="External"/><Relationship Id="rId95" Type="http://schemas.openxmlformats.org/officeDocument/2006/relationships/hyperlink" Target="https://www.argotflamenco.com/" TargetMode="External"/><Relationship Id="rId94" Type="http://schemas.openxmlformats.org/officeDocument/2006/relationships/hyperlink" Target="https://www.primaybordon.com/" TargetMode="External"/><Relationship Id="rId97" Type="http://schemas.openxmlformats.org/officeDocument/2006/relationships/hyperlink" Target="http://www.arlequina.es" TargetMode="External"/><Relationship Id="rId96" Type="http://schemas.openxmlformats.org/officeDocument/2006/relationships/hyperlink" Target="https://www.arkopromocionesculturales.com" TargetMode="External"/><Relationship Id="rId99" Type="http://schemas.openxmlformats.org/officeDocument/2006/relationships/hyperlink" Target="http://www.artdanzaevents.com" TargetMode="External"/><Relationship Id="rId98" Type="http://schemas.openxmlformats.org/officeDocument/2006/relationships/hyperlink" Target="http://www.arrasa.org" TargetMode="External"/><Relationship Id="rId91" Type="http://schemas.openxmlformats.org/officeDocument/2006/relationships/hyperlink" Target="http://www.portal71.com" TargetMode="External"/><Relationship Id="rId90" Type="http://schemas.openxmlformats.org/officeDocument/2006/relationships/hyperlink" Target="https://www.poliedrics.com" TargetMode="External"/><Relationship Id="rId93" Type="http://schemas.openxmlformats.org/officeDocument/2006/relationships/hyperlink" Target="https://praxedescol.com/" TargetMode="External"/><Relationship Id="rId92" Type="http://schemas.openxmlformats.org/officeDocument/2006/relationships/hyperlink" Target="https://www.postonove.com" TargetMode="External"/><Relationship Id="rId118" Type="http://schemas.openxmlformats.org/officeDocument/2006/relationships/hyperlink" Target="http://www.musicstgn.com" TargetMode="External"/><Relationship Id="rId239" Type="http://schemas.openxmlformats.org/officeDocument/2006/relationships/hyperlink" Target="http://www.tutatis.es" TargetMode="External"/><Relationship Id="rId117" Type="http://schemas.openxmlformats.org/officeDocument/2006/relationships/hyperlink" Target="http://www.ditiramboarte.com" TargetMode="External"/><Relationship Id="rId238" Type="http://schemas.openxmlformats.org/officeDocument/2006/relationships/hyperlink" Target="https://www.grupotsc.es" TargetMode="External"/><Relationship Id="rId359" Type="http://schemas.openxmlformats.org/officeDocument/2006/relationships/hyperlink" Target="https://www.darlalata.net" TargetMode="External"/><Relationship Id="rId116" Type="http://schemas.openxmlformats.org/officeDocument/2006/relationships/hyperlink" Target="https://piturda.com/" TargetMode="External"/><Relationship Id="rId237" Type="http://schemas.openxmlformats.org/officeDocument/2006/relationships/hyperlink" Target="https://triapason.com/" TargetMode="External"/><Relationship Id="rId358" Type="http://schemas.openxmlformats.org/officeDocument/2006/relationships/hyperlink" Target="http://www.islayritmo.com" TargetMode="External"/><Relationship Id="rId115" Type="http://schemas.openxmlformats.org/officeDocument/2006/relationships/hyperlink" Target="http://www.pistacatro.com/gl/" TargetMode="External"/><Relationship Id="rId236" Type="http://schemas.openxmlformats.org/officeDocument/2006/relationships/hyperlink" Target="https://giragiradis.com/trencadis-produccions/" TargetMode="External"/><Relationship Id="rId357" Type="http://schemas.openxmlformats.org/officeDocument/2006/relationships/hyperlink" Target="https://www.isifuera.com" TargetMode="External"/><Relationship Id="rId119" Type="http://schemas.openxmlformats.org/officeDocument/2006/relationships/hyperlink" Target="https://www.atipicosutopicos.com" TargetMode="External"/><Relationship Id="rId110" Type="http://schemas.openxmlformats.org/officeDocument/2006/relationships/hyperlink" Target="http://www.pgbooking.pt" TargetMode="External"/><Relationship Id="rId231" Type="http://schemas.openxmlformats.org/officeDocument/2006/relationships/hyperlink" Target="http://www.trans-forma.es" TargetMode="External"/><Relationship Id="rId352" Type="http://schemas.openxmlformats.org/officeDocument/2006/relationships/hyperlink" Target="https://www.iamso.eu" TargetMode="External"/><Relationship Id="rId230" Type="http://schemas.openxmlformats.org/officeDocument/2006/relationships/hyperlink" Target="https://tramedistribution.com/" TargetMode="External"/><Relationship Id="rId351" Type="http://schemas.openxmlformats.org/officeDocument/2006/relationships/hyperlink" Target="https://www.horizonte-musical.com" TargetMode="External"/><Relationship Id="rId350" Type="http://schemas.openxmlformats.org/officeDocument/2006/relationships/hyperlink" Target="http://www.hikateatroa.eus" TargetMode="External"/><Relationship Id="rId114" Type="http://schemas.openxmlformats.org/officeDocument/2006/relationships/hyperlink" Target="http://www.pinkhousemanagement.com" TargetMode="External"/><Relationship Id="rId235" Type="http://schemas.openxmlformats.org/officeDocument/2006/relationships/hyperlink" Target="http://www.tremendoaudiovisual.com" TargetMode="External"/><Relationship Id="rId356" Type="http://schemas.openxmlformats.org/officeDocument/2006/relationships/hyperlink" Target="https://www.getin.es" TargetMode="External"/><Relationship Id="rId113" Type="http://schemas.openxmlformats.org/officeDocument/2006/relationships/hyperlink" Target="http://www.ysarca.com" TargetMode="External"/><Relationship Id="rId234" Type="http://schemas.openxmlformats.org/officeDocument/2006/relationships/hyperlink" Target="https://www.travesiasculturales.es" TargetMode="External"/><Relationship Id="rId355" Type="http://schemas.openxmlformats.org/officeDocument/2006/relationships/hyperlink" Target="https://www.the-proyect.net" TargetMode="External"/><Relationship Id="rId112" Type="http://schemas.openxmlformats.org/officeDocument/2006/relationships/hyperlink" Target="https://www.pikupe.com" TargetMode="External"/><Relationship Id="rId233" Type="http://schemas.openxmlformats.org/officeDocument/2006/relationships/hyperlink" Target="http://www.traspasoskultur.com" TargetMode="External"/><Relationship Id="rId354" Type="http://schemas.openxmlformats.org/officeDocument/2006/relationships/hyperlink" Target="https://intxizu.com/" TargetMode="External"/><Relationship Id="rId111" Type="http://schemas.openxmlformats.org/officeDocument/2006/relationships/hyperlink" Target="http://www.bankrobber.net" TargetMode="External"/><Relationship Id="rId232" Type="http://schemas.openxmlformats.org/officeDocument/2006/relationships/hyperlink" Target="https://www.teatrodelaestacion.com" TargetMode="External"/><Relationship Id="rId353" Type="http://schemas.openxmlformats.org/officeDocument/2006/relationships/hyperlink" Target="https://www.internationalbpm.com" TargetMode="External"/><Relationship Id="rId305" Type="http://schemas.openxmlformats.org/officeDocument/2006/relationships/hyperlink" Target="https://www.flamencumexperience.es" TargetMode="External"/><Relationship Id="rId304" Type="http://schemas.openxmlformats.org/officeDocument/2006/relationships/hyperlink" Target="https://www.flamenconau.com" TargetMode="External"/><Relationship Id="rId303" Type="http://schemas.openxmlformats.org/officeDocument/2006/relationships/hyperlink" Target="https://www.flamencodelaisla.es" TargetMode="External"/><Relationship Id="rId302" Type="http://schemas.openxmlformats.org/officeDocument/2006/relationships/hyperlink" Target="https://www.finaestampa.es" TargetMode="External"/><Relationship Id="rId309" Type="http://schemas.openxmlformats.org/officeDocument/2006/relationships/hyperlink" Target="http://www.frescultura.es" TargetMode="External"/><Relationship Id="rId308" Type="http://schemas.openxmlformats.org/officeDocument/2006/relationships/hyperlink" Target="http://www.franavila.com" TargetMode="External"/><Relationship Id="rId307" Type="http://schemas.openxmlformats.org/officeDocument/2006/relationships/hyperlink" Target="http://www.foleleproducciones.es" TargetMode="External"/><Relationship Id="rId306" Type="http://schemas.openxmlformats.org/officeDocument/2006/relationships/hyperlink" Target="https://www.fmespectacles.com" TargetMode="External"/><Relationship Id="rId301" Type="http://schemas.openxmlformats.org/officeDocument/2006/relationships/hyperlink" Target="https://www.discoverymusic.es" TargetMode="External"/><Relationship Id="rId300" Type="http://schemas.openxmlformats.org/officeDocument/2006/relationships/hyperlink" Target="https://www.flamencofaccino.com" TargetMode="External"/><Relationship Id="rId206" Type="http://schemas.openxmlformats.org/officeDocument/2006/relationships/hyperlink" Target="http://www.tdiferencia.com" TargetMode="External"/><Relationship Id="rId327" Type="http://schemas.openxmlformats.org/officeDocument/2006/relationships/hyperlink" Target="https://www.farashaproducciones.net" TargetMode="External"/><Relationship Id="rId205" Type="http://schemas.openxmlformats.org/officeDocument/2006/relationships/hyperlink" Target="https://www.tatianasolovievaproducciones.com" TargetMode="External"/><Relationship Id="rId326" Type="http://schemas.openxmlformats.org/officeDocument/2006/relationships/hyperlink" Target="http://www.fanibenages.com" TargetMode="External"/><Relationship Id="rId204" Type="http://schemas.openxmlformats.org/officeDocument/2006/relationships/hyperlink" Target="https://www.talentsonstage.org" TargetMode="External"/><Relationship Id="rId325" Type="http://schemas.openxmlformats.org/officeDocument/2006/relationships/hyperlink" Target="https://elcuartoazul.es/" TargetMode="External"/><Relationship Id="rId203" Type="http://schemas.openxmlformats.org/officeDocument/2006/relationships/hyperlink" Target="http://www.syntorama.com" TargetMode="External"/><Relationship Id="rId324" Type="http://schemas.openxmlformats.org/officeDocument/2006/relationships/hyperlink" Target="http://www.elcohete.com" TargetMode="External"/><Relationship Id="rId209" Type="http://schemas.openxmlformats.org/officeDocument/2006/relationships/hyperlink" Target="https://www.espacioinestable.com" TargetMode="External"/><Relationship Id="rId208" Type="http://schemas.openxmlformats.org/officeDocument/2006/relationships/hyperlink" Target="https://www.teatroaccesible.com" TargetMode="External"/><Relationship Id="rId329" Type="http://schemas.openxmlformats.org/officeDocument/2006/relationships/hyperlink" Target="https://www.gramophonerecords.es" TargetMode="External"/><Relationship Id="rId207" Type="http://schemas.openxmlformats.org/officeDocument/2006/relationships/hyperlink" Target="https://www.tdiferencia.com/" TargetMode="External"/><Relationship Id="rId328" Type="http://schemas.openxmlformats.org/officeDocument/2006/relationships/hyperlink" Target="https://www.cultural.ws" TargetMode="External"/><Relationship Id="rId202" Type="http://schemas.openxmlformats.org/officeDocument/2006/relationships/hyperlink" Target="https://www.flamencotalent.com" TargetMode="External"/><Relationship Id="rId323" Type="http://schemas.openxmlformats.org/officeDocument/2006/relationships/hyperlink" Target="https://www.elcaminito.cat/" TargetMode="External"/><Relationship Id="rId201" Type="http://schemas.openxmlformats.org/officeDocument/2006/relationships/hyperlink" Target="https://www.clapescena.es" TargetMode="External"/><Relationship Id="rId322" Type="http://schemas.openxmlformats.org/officeDocument/2006/relationships/hyperlink" Target="https://www.ejeproducciones.com" TargetMode="External"/><Relationship Id="rId200" Type="http://schemas.openxmlformats.org/officeDocument/2006/relationships/hyperlink" Target="https://www.cityzenmusic.com" TargetMode="External"/><Relationship Id="rId321" Type="http://schemas.openxmlformats.org/officeDocument/2006/relationships/hyperlink" Target="http://www.edenika.eus" TargetMode="External"/><Relationship Id="rId320" Type="http://schemas.openxmlformats.org/officeDocument/2006/relationships/hyperlink" Target="https://dzpro.gal/" TargetMode="External"/><Relationship Id="rId316" Type="http://schemas.openxmlformats.org/officeDocument/2006/relationships/hyperlink" Target="http://www.ginmusica.com" TargetMode="External"/><Relationship Id="rId315" Type="http://schemas.openxmlformats.org/officeDocument/2006/relationships/hyperlink" Target="http://www.ggdistribucion.com" TargetMode="External"/><Relationship Id="rId314" Type="http://schemas.openxmlformats.org/officeDocument/2006/relationships/hyperlink" Target="https://www.gestoradenuevosproyectos.com/" TargetMode="External"/><Relationship Id="rId313" Type="http://schemas.openxmlformats.org/officeDocument/2006/relationships/hyperlink" Target="https://www.gestoproduciones.com" TargetMode="External"/><Relationship Id="rId319" Type="http://schemas.openxmlformats.org/officeDocument/2006/relationships/hyperlink" Target="https://www.padedespain.com/" TargetMode="External"/><Relationship Id="rId318" Type="http://schemas.openxmlformats.org/officeDocument/2006/relationships/hyperlink" Target="https://www.glamevento.com" TargetMode="External"/><Relationship Id="rId317" Type="http://schemas.openxmlformats.org/officeDocument/2006/relationships/hyperlink" Target="https://www.keatonandkeaton.com" TargetMode="External"/><Relationship Id="rId312" Type="http://schemas.openxmlformats.org/officeDocument/2006/relationships/hyperlink" Target="https://www.gestiondeocio.net" TargetMode="External"/><Relationship Id="rId311" Type="http://schemas.openxmlformats.org/officeDocument/2006/relationships/hyperlink" Target="http://www.gaac.info" TargetMode="External"/><Relationship Id="rId310" Type="http://schemas.openxmlformats.org/officeDocument/2006/relationships/hyperlink" Target="https://www.fundacionabracadabra.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58.0"/>
    <col customWidth="1" min="3" max="26" width="8.71"/>
  </cols>
  <sheetData>
    <row r="1" ht="27.75" customHeight="1">
      <c r="A1" s="1" t="s">
        <v>0</v>
      </c>
      <c r="B1" s="2"/>
      <c r="C1" s="3" t="s">
        <v>1</v>
      </c>
    </row>
    <row r="2">
      <c r="A2" s="4"/>
      <c r="B2" s="2"/>
    </row>
    <row r="3">
      <c r="A3" s="5" t="s">
        <v>2</v>
      </c>
      <c r="B3" s="6" t="s">
        <v>3</v>
      </c>
    </row>
    <row r="4">
      <c r="A4" s="7" t="s">
        <v>4</v>
      </c>
      <c r="B4" s="8" t="s">
        <v>5</v>
      </c>
    </row>
    <row r="5">
      <c r="A5" s="4" t="s">
        <v>6</v>
      </c>
      <c r="B5" s="2" t="s">
        <v>7</v>
      </c>
    </row>
    <row r="6">
      <c r="A6" s="4" t="s">
        <v>8</v>
      </c>
      <c r="B6" s="2" t="s">
        <v>9</v>
      </c>
    </row>
    <row r="7">
      <c r="A7" s="4" t="s">
        <v>10</v>
      </c>
      <c r="B7" s="2" t="s">
        <v>11</v>
      </c>
    </row>
    <row r="8">
      <c r="A8" s="4" t="s">
        <v>12</v>
      </c>
      <c r="B8" s="2" t="s">
        <v>13</v>
      </c>
    </row>
    <row r="9">
      <c r="A9" s="4" t="s">
        <v>14</v>
      </c>
      <c r="B9" s="2" t="s">
        <v>15</v>
      </c>
    </row>
    <row r="10">
      <c r="A10" s="4" t="s">
        <v>16</v>
      </c>
      <c r="B10" s="2" t="s">
        <v>17</v>
      </c>
    </row>
    <row r="11">
      <c r="A11" s="4" t="s">
        <v>18</v>
      </c>
      <c r="B11" s="2" t="s">
        <v>19</v>
      </c>
    </row>
    <row r="12">
      <c r="A12" s="4" t="s">
        <v>20</v>
      </c>
      <c r="B12" s="2" t="s">
        <v>21</v>
      </c>
    </row>
    <row r="13">
      <c r="A13" s="4" t="s">
        <v>22</v>
      </c>
      <c r="B13" s="2" t="s">
        <v>23</v>
      </c>
    </row>
    <row r="14">
      <c r="A14" s="4" t="s">
        <v>24</v>
      </c>
      <c r="B14" s="2" t="s">
        <v>25</v>
      </c>
    </row>
    <row r="15">
      <c r="A15" s="4" t="s">
        <v>26</v>
      </c>
      <c r="B15" s="2" t="s">
        <v>27</v>
      </c>
    </row>
    <row r="16">
      <c r="A16" s="4" t="s">
        <v>28</v>
      </c>
      <c r="B16" s="2" t="s">
        <v>29</v>
      </c>
    </row>
    <row r="17">
      <c r="A17" s="4"/>
      <c r="B17" s="2"/>
    </row>
    <row r="18">
      <c r="A18" s="9" t="s">
        <v>30</v>
      </c>
      <c r="B18" s="10" t="s">
        <v>31</v>
      </c>
    </row>
    <row r="19">
      <c r="A19" s="4"/>
      <c r="B19" s="2"/>
    </row>
    <row r="20">
      <c r="A20" s="11" t="s">
        <v>32</v>
      </c>
      <c r="B20" s="12"/>
    </row>
    <row r="21" ht="15.75" customHeight="1">
      <c r="A21" s="4" t="s">
        <v>33</v>
      </c>
      <c r="B21" s="2" t="s">
        <v>34</v>
      </c>
    </row>
    <row r="22" ht="15.75" customHeight="1">
      <c r="A22" s="4" t="s">
        <v>35</v>
      </c>
      <c r="B22" s="2" t="s">
        <v>36</v>
      </c>
    </row>
    <row r="23" ht="15.75" customHeight="1">
      <c r="A23" s="4" t="s">
        <v>37</v>
      </c>
      <c r="B23" s="2" t="s">
        <v>38</v>
      </c>
    </row>
    <row r="24" ht="15.75" customHeight="1">
      <c r="A24" s="4" t="s">
        <v>39</v>
      </c>
      <c r="B24" s="2" t="s">
        <v>40</v>
      </c>
    </row>
    <row r="25" ht="15.75" customHeight="1">
      <c r="A25" s="11" t="s">
        <v>41</v>
      </c>
      <c r="B25" s="13" t="s">
        <v>42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32.0"/>
    <col customWidth="1" min="3" max="3" width="18.0"/>
    <col customWidth="1" min="4" max="4" width="32.0"/>
    <col customWidth="1" min="5" max="6" width="18.0"/>
    <col customWidth="1" min="7" max="7" width="32.0"/>
    <col customWidth="1" min="8" max="8" width="18.0"/>
    <col customWidth="1" min="9" max="9" width="30.0"/>
    <col customWidth="1" min="10" max="10" width="18.0"/>
    <col customWidth="1" min="11" max="11" width="30.0"/>
    <col customWidth="1" min="12" max="16" width="18.0"/>
    <col customWidth="1" min="17" max="26" width="8.71"/>
  </cols>
  <sheetData>
    <row r="1" ht="21.75" customHeight="1">
      <c r="A1" s="14" t="s">
        <v>2</v>
      </c>
      <c r="B1" s="15"/>
      <c r="C1" s="15"/>
      <c r="D1" s="15"/>
      <c r="E1" s="15"/>
      <c r="F1" s="15"/>
      <c r="G1" s="15"/>
      <c r="H1" s="15"/>
      <c r="I1" s="15"/>
      <c r="J1" s="16"/>
      <c r="K1" s="17" t="s">
        <v>43</v>
      </c>
      <c r="L1" s="15"/>
      <c r="M1" s="15"/>
      <c r="N1" s="15"/>
      <c r="O1" s="15"/>
      <c r="P1" s="16"/>
    </row>
    <row r="2" ht="27.75" customHeight="1">
      <c r="A2" s="18" t="s">
        <v>6</v>
      </c>
      <c r="B2" s="18" t="s">
        <v>12</v>
      </c>
      <c r="C2" s="18" t="s">
        <v>14</v>
      </c>
      <c r="D2" s="18" t="s">
        <v>16</v>
      </c>
      <c r="E2" s="18" t="s">
        <v>18</v>
      </c>
      <c r="F2" s="18" t="s">
        <v>22</v>
      </c>
      <c r="G2" s="18" t="s">
        <v>24</v>
      </c>
      <c r="H2" s="18" t="s">
        <v>26</v>
      </c>
      <c r="I2" s="18" t="s">
        <v>44</v>
      </c>
      <c r="J2" s="18" t="s">
        <v>28</v>
      </c>
      <c r="K2" s="19" t="s">
        <v>45</v>
      </c>
      <c r="L2" s="19" t="s">
        <v>46</v>
      </c>
      <c r="M2" s="19" t="s">
        <v>47</v>
      </c>
      <c r="N2" s="19" t="s">
        <v>48</v>
      </c>
      <c r="O2" s="19" t="s">
        <v>49</v>
      </c>
      <c r="P2" s="19" t="s">
        <v>50</v>
      </c>
    </row>
    <row r="3">
      <c r="A3" s="20" t="s">
        <v>51</v>
      </c>
      <c r="B3" s="20" t="s">
        <v>52</v>
      </c>
      <c r="C3" s="20"/>
      <c r="D3" s="20" t="s">
        <v>53</v>
      </c>
      <c r="E3" s="20" t="s">
        <v>54</v>
      </c>
      <c r="F3" s="20" t="s">
        <v>55</v>
      </c>
      <c r="G3" s="20"/>
      <c r="H3" s="20"/>
      <c r="I3" s="20" t="s">
        <v>56</v>
      </c>
      <c r="J3" s="20" t="s">
        <v>57</v>
      </c>
      <c r="K3" s="21" t="s">
        <v>58</v>
      </c>
      <c r="L3" s="21" t="s">
        <v>59</v>
      </c>
      <c r="M3" s="21" t="s">
        <v>60</v>
      </c>
      <c r="N3" s="21"/>
      <c r="O3" s="21" t="s">
        <v>61</v>
      </c>
      <c r="P3" s="21"/>
    </row>
    <row r="4">
      <c r="A4" s="22" t="s">
        <v>62</v>
      </c>
      <c r="B4" s="22" t="s">
        <v>63</v>
      </c>
      <c r="C4" s="22"/>
      <c r="D4" s="22" t="s">
        <v>64</v>
      </c>
      <c r="E4" s="22" t="s">
        <v>65</v>
      </c>
      <c r="F4" s="22" t="s">
        <v>66</v>
      </c>
      <c r="G4" s="22" t="s">
        <v>67</v>
      </c>
      <c r="H4" s="22" t="s">
        <v>68</v>
      </c>
      <c r="I4" s="22" t="s">
        <v>69</v>
      </c>
      <c r="J4" s="22" t="s">
        <v>57</v>
      </c>
      <c r="K4" s="22" t="s">
        <v>70</v>
      </c>
      <c r="L4" s="22" t="s">
        <v>71</v>
      </c>
      <c r="M4" s="22" t="s">
        <v>72</v>
      </c>
      <c r="N4" s="22"/>
      <c r="O4" s="22" t="s">
        <v>73</v>
      </c>
      <c r="P4" s="22"/>
    </row>
    <row r="5">
      <c r="A5" s="20" t="s">
        <v>74</v>
      </c>
      <c r="B5" s="20" t="s">
        <v>75</v>
      </c>
      <c r="C5" s="20" t="s">
        <v>76</v>
      </c>
      <c r="D5" s="20" t="s">
        <v>77</v>
      </c>
      <c r="E5" s="20" t="s">
        <v>78</v>
      </c>
      <c r="F5" s="20" t="s">
        <v>79</v>
      </c>
      <c r="G5" s="20" t="s">
        <v>80</v>
      </c>
      <c r="H5" s="20" t="s">
        <v>81</v>
      </c>
      <c r="I5" s="20" t="s">
        <v>82</v>
      </c>
      <c r="J5" s="20" t="s">
        <v>57</v>
      </c>
      <c r="K5" s="21" t="s">
        <v>83</v>
      </c>
      <c r="L5" s="21" t="s">
        <v>84</v>
      </c>
      <c r="M5" s="21" t="s">
        <v>85</v>
      </c>
      <c r="N5" s="21"/>
      <c r="O5" s="21" t="s">
        <v>86</v>
      </c>
      <c r="P5" s="21"/>
    </row>
    <row r="6">
      <c r="A6" s="22" t="s">
        <v>87</v>
      </c>
      <c r="B6" s="22" t="s">
        <v>88</v>
      </c>
      <c r="C6" s="22" t="s">
        <v>89</v>
      </c>
      <c r="D6" s="22" t="s">
        <v>90</v>
      </c>
      <c r="E6" s="22" t="s">
        <v>55</v>
      </c>
      <c r="F6" s="22" t="s">
        <v>91</v>
      </c>
      <c r="G6" s="22" t="s">
        <v>92</v>
      </c>
      <c r="H6" s="22" t="s">
        <v>93</v>
      </c>
      <c r="I6" s="22" t="s">
        <v>94</v>
      </c>
      <c r="J6" s="22" t="s">
        <v>57</v>
      </c>
      <c r="K6" s="22"/>
      <c r="L6" s="22" t="s">
        <v>95</v>
      </c>
      <c r="M6" s="22"/>
      <c r="N6" s="22"/>
      <c r="O6" s="22"/>
      <c r="P6" s="22"/>
    </row>
    <row r="7">
      <c r="A7" s="20" t="s">
        <v>96</v>
      </c>
      <c r="B7" s="20" t="s">
        <v>97</v>
      </c>
      <c r="C7" s="20" t="s">
        <v>98</v>
      </c>
      <c r="D7" s="20" t="s">
        <v>99</v>
      </c>
      <c r="E7" s="20" t="s">
        <v>100</v>
      </c>
      <c r="F7" s="20" t="s">
        <v>101</v>
      </c>
      <c r="G7" s="20" t="s">
        <v>102</v>
      </c>
      <c r="H7" s="20" t="s">
        <v>103</v>
      </c>
      <c r="I7" s="20" t="s">
        <v>104</v>
      </c>
      <c r="J7" s="20" t="s">
        <v>57</v>
      </c>
      <c r="K7" s="21" t="s">
        <v>105</v>
      </c>
      <c r="L7" s="21" t="s">
        <v>106</v>
      </c>
      <c r="M7" s="21"/>
      <c r="N7" s="21"/>
      <c r="O7" s="21"/>
      <c r="P7" s="21" t="s">
        <v>107</v>
      </c>
    </row>
    <row r="8">
      <c r="A8" s="22" t="s">
        <v>108</v>
      </c>
      <c r="B8" s="22" t="s">
        <v>109</v>
      </c>
      <c r="C8" s="22"/>
      <c r="D8" s="22" t="s">
        <v>110</v>
      </c>
      <c r="E8" s="22" t="s">
        <v>111</v>
      </c>
      <c r="F8" s="22" t="s">
        <v>112</v>
      </c>
      <c r="G8" s="22" t="s">
        <v>113</v>
      </c>
      <c r="H8" s="22" t="s">
        <v>114</v>
      </c>
      <c r="I8" s="22" t="s">
        <v>115</v>
      </c>
      <c r="J8" s="22" t="s">
        <v>57</v>
      </c>
      <c r="K8" s="22" t="s">
        <v>70</v>
      </c>
      <c r="L8" s="22" t="s">
        <v>116</v>
      </c>
      <c r="M8" s="22"/>
      <c r="N8" s="22"/>
      <c r="O8" s="22" t="s">
        <v>117</v>
      </c>
      <c r="P8" s="22"/>
    </row>
    <row r="9">
      <c r="A9" s="20" t="s">
        <v>118</v>
      </c>
      <c r="B9" s="20"/>
      <c r="C9" s="20"/>
      <c r="D9" s="20" t="s">
        <v>119</v>
      </c>
      <c r="E9" s="20" t="s">
        <v>120</v>
      </c>
      <c r="F9" s="20" t="s">
        <v>66</v>
      </c>
      <c r="G9" s="20" t="s">
        <v>121</v>
      </c>
      <c r="H9" s="20" t="s">
        <v>122</v>
      </c>
      <c r="I9" s="20" t="s">
        <v>123</v>
      </c>
      <c r="J9" s="20" t="s">
        <v>57</v>
      </c>
      <c r="K9" s="21" t="s">
        <v>124</v>
      </c>
      <c r="L9" s="21" t="s">
        <v>125</v>
      </c>
      <c r="M9" s="21"/>
      <c r="N9" s="21"/>
      <c r="O9" s="21"/>
      <c r="P9" s="21"/>
    </row>
    <row r="10">
      <c r="A10" s="22" t="s">
        <v>126</v>
      </c>
      <c r="B10" s="22" t="s">
        <v>127</v>
      </c>
      <c r="C10" s="22"/>
      <c r="D10" s="22" t="s">
        <v>128</v>
      </c>
      <c r="E10" s="22" t="s">
        <v>129</v>
      </c>
      <c r="F10" s="22" t="s">
        <v>130</v>
      </c>
      <c r="G10" s="22" t="s">
        <v>131</v>
      </c>
      <c r="H10" s="22" t="s">
        <v>132</v>
      </c>
      <c r="I10" s="22" t="s">
        <v>133</v>
      </c>
      <c r="J10" s="22" t="s">
        <v>57</v>
      </c>
      <c r="K10" s="22" t="s">
        <v>134</v>
      </c>
      <c r="L10" s="22" t="s">
        <v>135</v>
      </c>
      <c r="M10" s="22" t="s">
        <v>136</v>
      </c>
      <c r="N10" s="22"/>
      <c r="O10" s="22" t="s">
        <v>137</v>
      </c>
      <c r="P10" s="22" t="s">
        <v>107</v>
      </c>
    </row>
    <row r="11">
      <c r="A11" s="20" t="s">
        <v>138</v>
      </c>
      <c r="B11" s="20" t="s">
        <v>139</v>
      </c>
      <c r="C11" s="20" t="s">
        <v>140</v>
      </c>
      <c r="D11" s="20" t="s">
        <v>141</v>
      </c>
      <c r="E11" s="20" t="s">
        <v>55</v>
      </c>
      <c r="F11" s="20" t="s">
        <v>91</v>
      </c>
      <c r="G11" s="20" t="s">
        <v>142</v>
      </c>
      <c r="H11" s="20" t="s">
        <v>143</v>
      </c>
      <c r="I11" s="20" t="s">
        <v>144</v>
      </c>
      <c r="J11" s="20" t="s">
        <v>57</v>
      </c>
      <c r="K11" s="21" t="s">
        <v>145</v>
      </c>
      <c r="L11" s="21" t="s">
        <v>146</v>
      </c>
      <c r="M11" s="21" t="s">
        <v>147</v>
      </c>
      <c r="N11" s="21"/>
      <c r="O11" s="21" t="s">
        <v>148</v>
      </c>
      <c r="P11" s="21"/>
    </row>
    <row r="12">
      <c r="A12" s="22" t="s">
        <v>149</v>
      </c>
      <c r="B12" s="22" t="s">
        <v>150</v>
      </c>
      <c r="C12" s="22" t="s">
        <v>151</v>
      </c>
      <c r="D12" s="22" t="s">
        <v>152</v>
      </c>
      <c r="E12" s="22" t="s">
        <v>153</v>
      </c>
      <c r="F12" s="22" t="s">
        <v>112</v>
      </c>
      <c r="G12" s="22" t="s">
        <v>154</v>
      </c>
      <c r="H12" s="22" t="s">
        <v>155</v>
      </c>
      <c r="I12" s="22" t="s">
        <v>156</v>
      </c>
      <c r="J12" s="22" t="s">
        <v>57</v>
      </c>
      <c r="K12" s="22" t="s">
        <v>157</v>
      </c>
      <c r="L12" s="22" t="s">
        <v>158</v>
      </c>
      <c r="M12" s="22"/>
      <c r="N12" s="22"/>
      <c r="O12" s="22" t="s">
        <v>159</v>
      </c>
      <c r="P12" s="22"/>
    </row>
    <row r="13">
      <c r="A13" s="20" t="s">
        <v>160</v>
      </c>
      <c r="B13" s="20" t="s">
        <v>161</v>
      </c>
      <c r="C13" s="20"/>
      <c r="D13" s="20" t="s">
        <v>162</v>
      </c>
      <c r="E13" s="20" t="s">
        <v>163</v>
      </c>
      <c r="F13" s="20" t="s">
        <v>101</v>
      </c>
      <c r="G13" s="20" t="s">
        <v>164</v>
      </c>
      <c r="H13" s="20" t="s">
        <v>165</v>
      </c>
      <c r="I13" s="20" t="s">
        <v>166</v>
      </c>
      <c r="J13" s="20" t="s">
        <v>57</v>
      </c>
      <c r="K13" s="21" t="s">
        <v>167</v>
      </c>
      <c r="L13" s="21" t="s">
        <v>168</v>
      </c>
      <c r="M13" s="21"/>
      <c r="N13" s="21"/>
      <c r="O13" s="21" t="s">
        <v>73</v>
      </c>
      <c r="P13" s="21"/>
    </row>
    <row r="14">
      <c r="A14" s="22" t="s">
        <v>169</v>
      </c>
      <c r="B14" s="22" t="s">
        <v>170</v>
      </c>
      <c r="C14" s="22"/>
      <c r="D14" s="22" t="s">
        <v>171</v>
      </c>
      <c r="E14" s="22" t="s">
        <v>172</v>
      </c>
      <c r="F14" s="22" t="s">
        <v>112</v>
      </c>
      <c r="G14" s="22"/>
      <c r="H14" s="22"/>
      <c r="I14" s="22"/>
      <c r="J14" s="22" t="s">
        <v>57</v>
      </c>
      <c r="K14" s="22" t="s">
        <v>105</v>
      </c>
      <c r="L14" s="22" t="s">
        <v>173</v>
      </c>
      <c r="M14" s="22"/>
      <c r="N14" s="22"/>
      <c r="O14" s="22"/>
      <c r="P14" s="22"/>
    </row>
    <row r="15">
      <c r="A15" s="20" t="s">
        <v>174</v>
      </c>
      <c r="B15" s="20" t="s">
        <v>175</v>
      </c>
      <c r="C15" s="20" t="s">
        <v>176</v>
      </c>
      <c r="D15" s="20" t="s">
        <v>177</v>
      </c>
      <c r="E15" s="20" t="s">
        <v>178</v>
      </c>
      <c r="F15" s="20" t="s">
        <v>91</v>
      </c>
      <c r="G15" s="20" t="s">
        <v>179</v>
      </c>
      <c r="H15" s="20" t="s">
        <v>180</v>
      </c>
      <c r="I15" s="20" t="s">
        <v>181</v>
      </c>
      <c r="J15" s="20" t="s">
        <v>57</v>
      </c>
      <c r="K15" s="21" t="s">
        <v>182</v>
      </c>
      <c r="L15" s="21" t="s">
        <v>183</v>
      </c>
      <c r="M15" s="21" t="s">
        <v>184</v>
      </c>
      <c r="N15" s="21"/>
      <c r="O15" s="21" t="s">
        <v>185</v>
      </c>
      <c r="P15" s="21"/>
    </row>
    <row r="16">
      <c r="A16" s="22" t="s">
        <v>186</v>
      </c>
      <c r="B16" s="22" t="s">
        <v>187</v>
      </c>
      <c r="C16" s="22"/>
      <c r="D16" s="22" t="s">
        <v>188</v>
      </c>
      <c r="E16" s="22" t="s">
        <v>189</v>
      </c>
      <c r="F16" s="22" t="s">
        <v>101</v>
      </c>
      <c r="G16" s="22" t="s">
        <v>190</v>
      </c>
      <c r="H16" s="22" t="s">
        <v>191</v>
      </c>
      <c r="I16" s="22" t="s">
        <v>192</v>
      </c>
      <c r="J16" s="22" t="s">
        <v>57</v>
      </c>
      <c r="K16" s="22" t="s">
        <v>193</v>
      </c>
      <c r="L16" s="22" t="s">
        <v>194</v>
      </c>
      <c r="M16" s="22" t="s">
        <v>195</v>
      </c>
      <c r="N16" s="22"/>
      <c r="O16" s="22" t="s">
        <v>137</v>
      </c>
      <c r="P16" s="22"/>
    </row>
    <row r="17">
      <c r="A17" s="20" t="s">
        <v>196</v>
      </c>
      <c r="B17" s="20" t="s">
        <v>197</v>
      </c>
      <c r="C17" s="20"/>
      <c r="D17" s="20" t="s">
        <v>198</v>
      </c>
      <c r="E17" s="20" t="s">
        <v>199</v>
      </c>
      <c r="F17" s="20" t="s">
        <v>79</v>
      </c>
      <c r="G17" s="20" t="s">
        <v>200</v>
      </c>
      <c r="H17" s="20" t="s">
        <v>201</v>
      </c>
      <c r="I17" s="20" t="s">
        <v>202</v>
      </c>
      <c r="J17" s="20" t="s">
        <v>57</v>
      </c>
      <c r="K17" s="21" t="s">
        <v>203</v>
      </c>
      <c r="L17" s="21" t="s">
        <v>84</v>
      </c>
      <c r="M17" s="21"/>
      <c r="N17" s="21"/>
      <c r="O17" s="21"/>
      <c r="P17" s="21"/>
    </row>
    <row r="18">
      <c r="A18" s="22" t="s">
        <v>204</v>
      </c>
      <c r="B18" s="22" t="s">
        <v>205</v>
      </c>
      <c r="C18" s="22"/>
      <c r="D18" s="22" t="s">
        <v>206</v>
      </c>
      <c r="E18" s="22" t="s">
        <v>207</v>
      </c>
      <c r="F18" s="22" t="s">
        <v>79</v>
      </c>
      <c r="G18" s="22" t="s">
        <v>208</v>
      </c>
      <c r="H18" s="22" t="s">
        <v>209</v>
      </c>
      <c r="I18" s="22" t="s">
        <v>210</v>
      </c>
      <c r="J18" s="22" t="s">
        <v>57</v>
      </c>
      <c r="K18" s="22" t="s">
        <v>211</v>
      </c>
      <c r="L18" s="22" t="s">
        <v>84</v>
      </c>
      <c r="M18" s="22" t="s">
        <v>212</v>
      </c>
      <c r="N18" s="22"/>
      <c r="O18" s="22" t="s">
        <v>213</v>
      </c>
      <c r="P18" s="22"/>
    </row>
    <row r="19">
      <c r="A19" s="20" t="s">
        <v>214</v>
      </c>
      <c r="B19" s="20" t="s">
        <v>215</v>
      </c>
      <c r="C19" s="20" t="s">
        <v>216</v>
      </c>
      <c r="D19" s="20" t="s">
        <v>217</v>
      </c>
      <c r="E19" s="20" t="s">
        <v>218</v>
      </c>
      <c r="F19" s="20" t="s">
        <v>219</v>
      </c>
      <c r="G19" s="20" t="s">
        <v>220</v>
      </c>
      <c r="H19" s="20" t="s">
        <v>221</v>
      </c>
      <c r="I19" s="20" t="s">
        <v>222</v>
      </c>
      <c r="J19" s="20" t="s">
        <v>57</v>
      </c>
      <c r="K19" s="21" t="s">
        <v>223</v>
      </c>
      <c r="L19" s="21" t="s">
        <v>224</v>
      </c>
      <c r="M19" s="21" t="s">
        <v>225</v>
      </c>
      <c r="N19" s="21"/>
      <c r="O19" s="21" t="s">
        <v>226</v>
      </c>
      <c r="P19" s="21"/>
    </row>
    <row r="20">
      <c r="A20" s="22" t="s">
        <v>227</v>
      </c>
      <c r="B20" s="22" t="s">
        <v>228</v>
      </c>
      <c r="C20" s="22" t="s">
        <v>229</v>
      </c>
      <c r="D20" s="22" t="s">
        <v>230</v>
      </c>
      <c r="E20" s="22" t="s">
        <v>231</v>
      </c>
      <c r="F20" s="22" t="s">
        <v>79</v>
      </c>
      <c r="G20" s="22" t="s">
        <v>232</v>
      </c>
      <c r="H20" s="22"/>
      <c r="I20" s="22"/>
      <c r="J20" s="22" t="s">
        <v>57</v>
      </c>
      <c r="K20" s="22" t="s">
        <v>105</v>
      </c>
      <c r="L20" s="22" t="s">
        <v>84</v>
      </c>
      <c r="M20" s="22"/>
      <c r="N20" s="22"/>
      <c r="O20" s="22"/>
      <c r="P20" s="22"/>
    </row>
    <row r="21" ht="15.75" customHeight="1">
      <c r="A21" s="20" t="s">
        <v>233</v>
      </c>
      <c r="B21" s="20" t="s">
        <v>234</v>
      </c>
      <c r="C21" s="20"/>
      <c r="D21" s="20" t="s">
        <v>235</v>
      </c>
      <c r="E21" s="20"/>
      <c r="F21" s="20" t="s">
        <v>112</v>
      </c>
      <c r="G21" s="20" t="s">
        <v>236</v>
      </c>
      <c r="H21" s="20" t="s">
        <v>237</v>
      </c>
      <c r="I21" s="20" t="s">
        <v>238</v>
      </c>
      <c r="J21" s="20" t="s">
        <v>57</v>
      </c>
      <c r="K21" s="21" t="s">
        <v>239</v>
      </c>
      <c r="L21" s="21" t="s">
        <v>240</v>
      </c>
      <c r="M21" s="21" t="s">
        <v>72</v>
      </c>
      <c r="N21" s="21"/>
      <c r="O21" s="21" t="s">
        <v>137</v>
      </c>
      <c r="P21" s="21" t="s">
        <v>107</v>
      </c>
    </row>
    <row r="22" ht="15.75" customHeight="1">
      <c r="A22" s="22" t="s">
        <v>241</v>
      </c>
      <c r="B22" s="22" t="s">
        <v>242</v>
      </c>
      <c r="C22" s="22" t="s">
        <v>243</v>
      </c>
      <c r="D22" s="22" t="s">
        <v>244</v>
      </c>
      <c r="E22" s="22" t="s">
        <v>55</v>
      </c>
      <c r="F22" s="22" t="s">
        <v>91</v>
      </c>
      <c r="G22" s="22" t="s">
        <v>245</v>
      </c>
      <c r="H22" s="22" t="s">
        <v>246</v>
      </c>
      <c r="I22" s="22" t="s">
        <v>247</v>
      </c>
      <c r="J22" s="22" t="s">
        <v>57</v>
      </c>
      <c r="K22" s="22" t="s">
        <v>248</v>
      </c>
      <c r="L22" s="22" t="s">
        <v>84</v>
      </c>
      <c r="M22" s="22"/>
      <c r="N22" s="22"/>
      <c r="O22" s="22"/>
      <c r="P22" s="22" t="s">
        <v>107</v>
      </c>
    </row>
    <row r="23" ht="15.75" customHeight="1">
      <c r="A23" s="20" t="s">
        <v>249</v>
      </c>
      <c r="B23" s="20" t="s">
        <v>250</v>
      </c>
      <c r="C23" s="20"/>
      <c r="D23" s="20" t="s">
        <v>251</v>
      </c>
      <c r="E23" s="20" t="s">
        <v>252</v>
      </c>
      <c r="F23" s="20" t="s">
        <v>253</v>
      </c>
      <c r="G23" s="20" t="s">
        <v>254</v>
      </c>
      <c r="H23" s="20" t="s">
        <v>255</v>
      </c>
      <c r="I23" s="20" t="s">
        <v>256</v>
      </c>
      <c r="J23" s="20" t="s">
        <v>57</v>
      </c>
      <c r="K23" s="21" t="s">
        <v>257</v>
      </c>
      <c r="L23" s="21" t="s">
        <v>84</v>
      </c>
      <c r="M23" s="21"/>
      <c r="N23" s="21"/>
      <c r="O23" s="21" t="s">
        <v>258</v>
      </c>
      <c r="P23" s="21"/>
    </row>
    <row r="24" ht="15.75" customHeight="1">
      <c r="A24" s="22" t="s">
        <v>259</v>
      </c>
      <c r="B24" s="22" t="s">
        <v>260</v>
      </c>
      <c r="C24" s="22"/>
      <c r="D24" s="22" t="s">
        <v>261</v>
      </c>
      <c r="E24" s="22" t="s">
        <v>262</v>
      </c>
      <c r="F24" s="22" t="s">
        <v>263</v>
      </c>
      <c r="G24" s="22" t="s">
        <v>264</v>
      </c>
      <c r="H24" s="22" t="s">
        <v>265</v>
      </c>
      <c r="I24" s="22"/>
      <c r="J24" s="22" t="s">
        <v>57</v>
      </c>
      <c r="K24" s="22" t="s">
        <v>266</v>
      </c>
      <c r="L24" s="22" t="s">
        <v>267</v>
      </c>
      <c r="M24" s="22" t="s">
        <v>268</v>
      </c>
      <c r="N24" s="22"/>
      <c r="O24" s="22" t="s">
        <v>269</v>
      </c>
      <c r="P24" s="22" t="s">
        <v>107</v>
      </c>
    </row>
    <row r="25" ht="15.75" customHeight="1">
      <c r="A25" s="20" t="s">
        <v>270</v>
      </c>
      <c r="B25" s="20" t="s">
        <v>271</v>
      </c>
      <c r="C25" s="20"/>
      <c r="D25" s="20" t="s">
        <v>272</v>
      </c>
      <c r="E25" s="20" t="s">
        <v>273</v>
      </c>
      <c r="F25" s="20" t="s">
        <v>112</v>
      </c>
      <c r="G25" s="20"/>
      <c r="H25" s="20" t="s">
        <v>274</v>
      </c>
      <c r="I25" s="20" t="s">
        <v>275</v>
      </c>
      <c r="J25" s="20" t="s">
        <v>57</v>
      </c>
      <c r="K25" s="21" t="s">
        <v>276</v>
      </c>
      <c r="L25" s="21" t="s">
        <v>277</v>
      </c>
      <c r="M25" s="21" t="s">
        <v>278</v>
      </c>
      <c r="N25" s="21"/>
      <c r="O25" s="21" t="s">
        <v>137</v>
      </c>
      <c r="P25" s="21"/>
    </row>
    <row r="26" ht="15.75" customHeight="1">
      <c r="A26" s="22" t="s">
        <v>279</v>
      </c>
      <c r="B26" s="22"/>
      <c r="C26" s="22" t="s">
        <v>280</v>
      </c>
      <c r="D26" s="22" t="s">
        <v>281</v>
      </c>
      <c r="E26" s="22" t="s">
        <v>282</v>
      </c>
      <c r="F26" s="22" t="s">
        <v>101</v>
      </c>
      <c r="G26" s="22" t="s">
        <v>283</v>
      </c>
      <c r="H26" s="22"/>
      <c r="I26" s="22" t="s">
        <v>284</v>
      </c>
      <c r="J26" s="22" t="s">
        <v>57</v>
      </c>
      <c r="K26" s="22" t="s">
        <v>248</v>
      </c>
      <c r="L26" s="22" t="s">
        <v>285</v>
      </c>
      <c r="M26" s="22"/>
      <c r="N26" s="22"/>
      <c r="O26" s="22" t="s">
        <v>117</v>
      </c>
      <c r="P26" s="22"/>
    </row>
    <row r="27" ht="15.75" customHeight="1">
      <c r="A27" s="20" t="s">
        <v>286</v>
      </c>
      <c r="B27" s="20" t="s">
        <v>287</v>
      </c>
      <c r="C27" s="20"/>
      <c r="D27" s="20" t="s">
        <v>288</v>
      </c>
      <c r="E27" s="20" t="s">
        <v>289</v>
      </c>
      <c r="F27" s="20" t="s">
        <v>101</v>
      </c>
      <c r="G27" s="20"/>
      <c r="H27" s="20" t="s">
        <v>290</v>
      </c>
      <c r="I27" s="20" t="s">
        <v>291</v>
      </c>
      <c r="J27" s="20" t="s">
        <v>57</v>
      </c>
      <c r="K27" s="21" t="s">
        <v>292</v>
      </c>
      <c r="L27" s="21" t="s">
        <v>293</v>
      </c>
      <c r="M27" s="21" t="s">
        <v>294</v>
      </c>
      <c r="N27" s="21"/>
      <c r="O27" s="21" t="s">
        <v>61</v>
      </c>
      <c r="P27" s="21"/>
    </row>
    <row r="28" ht="15.75" customHeight="1">
      <c r="A28" s="22" t="s">
        <v>295</v>
      </c>
      <c r="B28" s="22" t="s">
        <v>296</v>
      </c>
      <c r="C28" s="22"/>
      <c r="D28" s="22" t="s">
        <v>297</v>
      </c>
      <c r="E28" s="22" t="s">
        <v>298</v>
      </c>
      <c r="F28" s="22" t="s">
        <v>101</v>
      </c>
      <c r="G28" s="22" t="s">
        <v>299</v>
      </c>
      <c r="H28" s="22" t="s">
        <v>300</v>
      </c>
      <c r="I28" s="22" t="s">
        <v>301</v>
      </c>
      <c r="J28" s="22" t="s">
        <v>57</v>
      </c>
      <c r="K28" s="22" t="s">
        <v>302</v>
      </c>
      <c r="L28" s="22" t="s">
        <v>303</v>
      </c>
      <c r="M28" s="22" t="s">
        <v>304</v>
      </c>
      <c r="N28" s="22"/>
      <c r="O28" s="22" t="s">
        <v>137</v>
      </c>
      <c r="P28" s="22"/>
    </row>
    <row r="29" ht="15.75" customHeight="1">
      <c r="A29" s="20" t="s">
        <v>305</v>
      </c>
      <c r="B29" s="20" t="s">
        <v>306</v>
      </c>
      <c r="C29" s="20"/>
      <c r="D29" s="20" t="s">
        <v>307</v>
      </c>
      <c r="E29" s="20" t="s">
        <v>308</v>
      </c>
      <c r="F29" s="20" t="s">
        <v>101</v>
      </c>
      <c r="G29" s="20"/>
      <c r="H29" s="20" t="s">
        <v>309</v>
      </c>
      <c r="I29" s="20" t="s">
        <v>310</v>
      </c>
      <c r="J29" s="20" t="s">
        <v>57</v>
      </c>
      <c r="K29" s="21" t="s">
        <v>311</v>
      </c>
      <c r="L29" s="21" t="s">
        <v>312</v>
      </c>
      <c r="M29" s="21"/>
      <c r="N29" s="21"/>
      <c r="O29" s="21" t="s">
        <v>61</v>
      </c>
      <c r="P29" s="21"/>
    </row>
    <row r="30" ht="15.75" customHeight="1">
      <c r="A30" s="22" t="s">
        <v>313</v>
      </c>
      <c r="B30" s="22" t="s">
        <v>314</v>
      </c>
      <c r="C30" s="22" t="s">
        <v>315</v>
      </c>
      <c r="D30" s="22"/>
      <c r="E30" s="22" t="s">
        <v>316</v>
      </c>
      <c r="F30" s="22" t="s">
        <v>101</v>
      </c>
      <c r="G30" s="22" t="s">
        <v>317</v>
      </c>
      <c r="H30" s="22" t="s">
        <v>318</v>
      </c>
      <c r="I30" s="22" t="s">
        <v>319</v>
      </c>
      <c r="J30" s="22" t="s">
        <v>57</v>
      </c>
      <c r="K30" s="22" t="s">
        <v>320</v>
      </c>
      <c r="L30" s="22" t="s">
        <v>168</v>
      </c>
      <c r="M30" s="22"/>
      <c r="N30" s="22"/>
      <c r="O30" s="22"/>
      <c r="P30" s="22"/>
    </row>
    <row r="31" ht="15.75" customHeight="1">
      <c r="A31" s="20" t="s">
        <v>321</v>
      </c>
      <c r="B31" s="20" t="s">
        <v>322</v>
      </c>
      <c r="C31" s="20" t="s">
        <v>323</v>
      </c>
      <c r="D31" s="20" t="s">
        <v>324</v>
      </c>
      <c r="E31" s="20" t="s">
        <v>325</v>
      </c>
      <c r="F31" s="20" t="s">
        <v>101</v>
      </c>
      <c r="G31" s="20" t="s">
        <v>326</v>
      </c>
      <c r="H31" s="20" t="s">
        <v>327</v>
      </c>
      <c r="I31" s="20" t="s">
        <v>328</v>
      </c>
      <c r="J31" s="20" t="s">
        <v>57</v>
      </c>
      <c r="K31" s="21" t="s">
        <v>329</v>
      </c>
      <c r="L31" s="21" t="s">
        <v>84</v>
      </c>
      <c r="M31" s="21"/>
      <c r="N31" s="21"/>
      <c r="O31" s="21"/>
      <c r="P31" s="21"/>
    </row>
    <row r="32" ht="15.75" customHeight="1">
      <c r="A32" s="22" t="s">
        <v>330</v>
      </c>
      <c r="B32" s="22" t="s">
        <v>331</v>
      </c>
      <c r="C32" s="22"/>
      <c r="D32" s="22" t="s">
        <v>332</v>
      </c>
      <c r="E32" s="22" t="s">
        <v>333</v>
      </c>
      <c r="F32" s="22" t="s">
        <v>79</v>
      </c>
      <c r="G32" s="22"/>
      <c r="H32" s="22" t="s">
        <v>334</v>
      </c>
      <c r="I32" s="22"/>
      <c r="J32" s="22" t="s">
        <v>57</v>
      </c>
      <c r="K32" s="22" t="s">
        <v>335</v>
      </c>
      <c r="L32" s="22" t="s">
        <v>336</v>
      </c>
      <c r="M32" s="22" t="s">
        <v>337</v>
      </c>
      <c r="N32" s="22"/>
      <c r="O32" s="22" t="s">
        <v>258</v>
      </c>
      <c r="P32" s="22"/>
    </row>
    <row r="33" ht="15.75" customHeight="1">
      <c r="A33" s="20" t="s">
        <v>338</v>
      </c>
      <c r="B33" s="20" t="s">
        <v>339</v>
      </c>
      <c r="C33" s="20"/>
      <c r="D33" s="20" t="s">
        <v>340</v>
      </c>
      <c r="E33" s="20" t="s">
        <v>231</v>
      </c>
      <c r="F33" s="20" t="s">
        <v>79</v>
      </c>
      <c r="G33" s="20" t="s">
        <v>341</v>
      </c>
      <c r="H33" s="20" t="s">
        <v>342</v>
      </c>
      <c r="I33" s="20" t="s">
        <v>343</v>
      </c>
      <c r="J33" s="20" t="s">
        <v>57</v>
      </c>
      <c r="K33" s="21" t="s">
        <v>344</v>
      </c>
      <c r="L33" s="21" t="s">
        <v>345</v>
      </c>
      <c r="M33" s="21"/>
      <c r="N33" s="21"/>
      <c r="O33" s="21" t="s">
        <v>346</v>
      </c>
      <c r="P33" s="21"/>
    </row>
    <row r="34" ht="15.75" customHeight="1">
      <c r="A34" s="22" t="s">
        <v>347</v>
      </c>
      <c r="B34" s="22" t="s">
        <v>348</v>
      </c>
      <c r="C34" s="22" t="s">
        <v>349</v>
      </c>
      <c r="D34" s="22" t="s">
        <v>350</v>
      </c>
      <c r="E34" s="22" t="s">
        <v>351</v>
      </c>
      <c r="F34" s="22" t="s">
        <v>352</v>
      </c>
      <c r="G34" s="22" t="s">
        <v>353</v>
      </c>
      <c r="H34" s="22" t="s">
        <v>354</v>
      </c>
      <c r="I34" s="22" t="s">
        <v>355</v>
      </c>
      <c r="J34" s="22" t="s">
        <v>57</v>
      </c>
      <c r="K34" s="22" t="s">
        <v>356</v>
      </c>
      <c r="L34" s="22" t="s">
        <v>357</v>
      </c>
      <c r="M34" s="22" t="s">
        <v>358</v>
      </c>
      <c r="N34" s="22"/>
      <c r="O34" s="22" t="s">
        <v>359</v>
      </c>
      <c r="P34" s="22"/>
    </row>
    <row r="35" ht="15.75" customHeight="1">
      <c r="A35" s="20" t="s">
        <v>360</v>
      </c>
      <c r="B35" s="20"/>
      <c r="C35" s="20"/>
      <c r="D35" s="20" t="s">
        <v>361</v>
      </c>
      <c r="E35" s="20" t="s">
        <v>362</v>
      </c>
      <c r="F35" s="20" t="s">
        <v>363</v>
      </c>
      <c r="G35" s="20" t="s">
        <v>364</v>
      </c>
      <c r="H35" s="20"/>
      <c r="I35" s="20" t="s">
        <v>365</v>
      </c>
      <c r="J35" s="20" t="s">
        <v>57</v>
      </c>
      <c r="K35" s="21" t="s">
        <v>366</v>
      </c>
      <c r="L35" s="21" t="s">
        <v>84</v>
      </c>
      <c r="M35" s="21"/>
      <c r="N35" s="21"/>
      <c r="O35" s="21"/>
      <c r="P35" s="21"/>
    </row>
    <row r="36" ht="15.75" customHeight="1">
      <c r="A36" s="22" t="s">
        <v>367</v>
      </c>
      <c r="B36" s="22" t="s">
        <v>368</v>
      </c>
      <c r="C36" s="22"/>
      <c r="D36" s="22" t="s">
        <v>369</v>
      </c>
      <c r="E36" s="22" t="s">
        <v>231</v>
      </c>
      <c r="F36" s="22" t="s">
        <v>79</v>
      </c>
      <c r="G36" s="22" t="s">
        <v>370</v>
      </c>
      <c r="H36" s="22" t="s">
        <v>371</v>
      </c>
      <c r="I36" s="22" t="s">
        <v>372</v>
      </c>
      <c r="J36" s="22" t="s">
        <v>57</v>
      </c>
      <c r="K36" s="22" t="s">
        <v>248</v>
      </c>
      <c r="L36" s="22" t="s">
        <v>373</v>
      </c>
      <c r="M36" s="22"/>
      <c r="N36" s="22"/>
      <c r="O36" s="22" t="s">
        <v>73</v>
      </c>
      <c r="P36" s="22"/>
    </row>
    <row r="37" ht="15.75" customHeight="1">
      <c r="A37" s="20" t="s">
        <v>374</v>
      </c>
      <c r="B37" s="20" t="s">
        <v>375</v>
      </c>
      <c r="C37" s="20"/>
      <c r="D37" s="20" t="s">
        <v>376</v>
      </c>
      <c r="E37" s="20" t="s">
        <v>377</v>
      </c>
      <c r="F37" s="20" t="s">
        <v>378</v>
      </c>
      <c r="G37" s="20" t="s">
        <v>379</v>
      </c>
      <c r="H37" s="20" t="s">
        <v>380</v>
      </c>
      <c r="I37" s="20" t="s">
        <v>381</v>
      </c>
      <c r="J37" s="20" t="s">
        <v>57</v>
      </c>
      <c r="K37" s="21" t="s">
        <v>248</v>
      </c>
      <c r="L37" s="21" t="s">
        <v>84</v>
      </c>
      <c r="M37" s="21"/>
      <c r="N37" s="21"/>
      <c r="O37" s="21" t="s">
        <v>86</v>
      </c>
      <c r="P37" s="21"/>
    </row>
    <row r="38" ht="15.75" customHeight="1">
      <c r="A38" s="22" t="s">
        <v>382</v>
      </c>
      <c r="B38" s="22" t="s">
        <v>383</v>
      </c>
      <c r="C38" s="22" t="s">
        <v>384</v>
      </c>
      <c r="D38" s="22" t="s">
        <v>385</v>
      </c>
      <c r="E38" s="22" t="s">
        <v>386</v>
      </c>
      <c r="F38" s="22" t="s">
        <v>101</v>
      </c>
      <c r="G38" s="22" t="s">
        <v>387</v>
      </c>
      <c r="H38" s="22" t="s">
        <v>388</v>
      </c>
      <c r="I38" s="22" t="s">
        <v>389</v>
      </c>
      <c r="J38" s="22" t="s">
        <v>57</v>
      </c>
      <c r="K38" s="22" t="s">
        <v>390</v>
      </c>
      <c r="L38" s="22" t="s">
        <v>84</v>
      </c>
      <c r="M38" s="22"/>
      <c r="N38" s="22"/>
      <c r="O38" s="22" t="s">
        <v>258</v>
      </c>
      <c r="P38" s="22"/>
    </row>
    <row r="39" ht="15.75" customHeight="1">
      <c r="A39" s="20" t="s">
        <v>391</v>
      </c>
      <c r="B39" s="20" t="s">
        <v>392</v>
      </c>
      <c r="C39" s="20" t="s">
        <v>393</v>
      </c>
      <c r="D39" s="20" t="s">
        <v>394</v>
      </c>
      <c r="E39" s="20" t="s">
        <v>395</v>
      </c>
      <c r="F39" s="20" t="s">
        <v>66</v>
      </c>
      <c r="G39" s="20" t="s">
        <v>396</v>
      </c>
      <c r="H39" s="20" t="s">
        <v>397</v>
      </c>
      <c r="I39" s="20" t="s">
        <v>398</v>
      </c>
      <c r="J39" s="20" t="s">
        <v>57</v>
      </c>
      <c r="K39" s="21" t="s">
        <v>399</v>
      </c>
      <c r="L39" s="21" t="s">
        <v>400</v>
      </c>
      <c r="M39" s="21" t="s">
        <v>401</v>
      </c>
      <c r="N39" s="21"/>
      <c r="O39" s="21" t="s">
        <v>258</v>
      </c>
      <c r="P39" s="21"/>
    </row>
    <row r="40" ht="15.75" customHeight="1">
      <c r="A40" s="22" t="s">
        <v>402</v>
      </c>
      <c r="B40" s="22" t="s">
        <v>403</v>
      </c>
      <c r="C40" s="22"/>
      <c r="D40" s="22" t="s">
        <v>404</v>
      </c>
      <c r="E40" s="22" t="s">
        <v>405</v>
      </c>
      <c r="F40" s="22" t="s">
        <v>406</v>
      </c>
      <c r="G40" s="22" t="s">
        <v>407</v>
      </c>
      <c r="H40" s="22" t="s">
        <v>408</v>
      </c>
      <c r="I40" s="22" t="s">
        <v>409</v>
      </c>
      <c r="J40" s="22" t="s">
        <v>57</v>
      </c>
      <c r="K40" s="22" t="s">
        <v>410</v>
      </c>
      <c r="L40" s="22" t="s">
        <v>411</v>
      </c>
      <c r="M40" s="22" t="s">
        <v>401</v>
      </c>
      <c r="N40" s="22"/>
      <c r="O40" s="22" t="s">
        <v>412</v>
      </c>
      <c r="P40" s="22"/>
    </row>
    <row r="41" ht="15.75" customHeight="1">
      <c r="A41" s="20" t="s">
        <v>413</v>
      </c>
      <c r="B41" s="20" t="s">
        <v>414</v>
      </c>
      <c r="C41" s="20" t="s">
        <v>415</v>
      </c>
      <c r="D41" s="20" t="s">
        <v>416</v>
      </c>
      <c r="E41" s="20" t="s">
        <v>417</v>
      </c>
      <c r="F41" s="20" t="s">
        <v>418</v>
      </c>
      <c r="G41" s="20" t="s">
        <v>419</v>
      </c>
      <c r="H41" s="20" t="s">
        <v>420</v>
      </c>
      <c r="I41" s="20"/>
      <c r="J41" s="20" t="s">
        <v>57</v>
      </c>
      <c r="K41" s="21" t="s">
        <v>421</v>
      </c>
      <c r="L41" s="21" t="s">
        <v>84</v>
      </c>
      <c r="M41" s="21"/>
      <c r="N41" s="21"/>
      <c r="O41" s="21" t="s">
        <v>137</v>
      </c>
      <c r="P41" s="21"/>
    </row>
    <row r="42" ht="15.75" customHeight="1">
      <c r="A42" s="22" t="s">
        <v>422</v>
      </c>
      <c r="B42" s="22" t="s">
        <v>423</v>
      </c>
      <c r="C42" s="22" t="s">
        <v>424</v>
      </c>
      <c r="D42" s="22" t="s">
        <v>425</v>
      </c>
      <c r="E42" s="22" t="s">
        <v>426</v>
      </c>
      <c r="F42" s="22" t="s">
        <v>427</v>
      </c>
      <c r="G42" s="22"/>
      <c r="H42" s="22" t="s">
        <v>428</v>
      </c>
      <c r="I42" s="22" t="s">
        <v>429</v>
      </c>
      <c r="J42" s="22" t="s">
        <v>57</v>
      </c>
      <c r="K42" s="22" t="s">
        <v>430</v>
      </c>
      <c r="L42" s="22" t="s">
        <v>84</v>
      </c>
      <c r="M42" s="22"/>
      <c r="N42" s="22"/>
      <c r="O42" s="22" t="s">
        <v>61</v>
      </c>
      <c r="P42" s="22" t="s">
        <v>107</v>
      </c>
    </row>
    <row r="43" ht="15.75" customHeight="1">
      <c r="A43" s="20" t="s">
        <v>431</v>
      </c>
      <c r="B43" s="20" t="s">
        <v>432</v>
      </c>
      <c r="C43" s="20"/>
      <c r="D43" s="20" t="s">
        <v>433</v>
      </c>
      <c r="E43" s="20" t="s">
        <v>434</v>
      </c>
      <c r="F43" s="20" t="s">
        <v>112</v>
      </c>
      <c r="G43" s="20" t="s">
        <v>435</v>
      </c>
      <c r="H43" s="20" t="s">
        <v>436</v>
      </c>
      <c r="I43" s="20" t="s">
        <v>437</v>
      </c>
      <c r="J43" s="20" t="s">
        <v>57</v>
      </c>
      <c r="K43" s="21" t="s">
        <v>157</v>
      </c>
      <c r="L43" s="21" t="s">
        <v>438</v>
      </c>
      <c r="M43" s="21" t="s">
        <v>304</v>
      </c>
      <c r="N43" s="21"/>
      <c r="O43" s="21" t="s">
        <v>185</v>
      </c>
      <c r="P43" s="21"/>
    </row>
    <row r="44" ht="15.75" customHeight="1">
      <c r="A44" s="22" t="s">
        <v>439</v>
      </c>
      <c r="B44" s="22" t="s">
        <v>440</v>
      </c>
      <c r="C44" s="22" t="s">
        <v>441</v>
      </c>
      <c r="D44" s="22" t="s">
        <v>442</v>
      </c>
      <c r="E44" s="22" t="s">
        <v>443</v>
      </c>
      <c r="F44" s="22" t="s">
        <v>130</v>
      </c>
      <c r="G44" s="22" t="s">
        <v>444</v>
      </c>
      <c r="H44" s="22" t="s">
        <v>445</v>
      </c>
      <c r="I44" s="22" t="s">
        <v>446</v>
      </c>
      <c r="J44" s="22" t="s">
        <v>57</v>
      </c>
      <c r="K44" s="22" t="s">
        <v>447</v>
      </c>
      <c r="L44" s="22" t="s">
        <v>448</v>
      </c>
      <c r="M44" s="22" t="s">
        <v>449</v>
      </c>
      <c r="N44" s="22"/>
      <c r="O44" s="22" t="s">
        <v>450</v>
      </c>
      <c r="P44" s="22" t="s">
        <v>107</v>
      </c>
    </row>
    <row r="45" ht="15.75" customHeight="1">
      <c r="A45" s="20" t="s">
        <v>451</v>
      </c>
      <c r="B45" s="20" t="s">
        <v>452</v>
      </c>
      <c r="C45" s="20"/>
      <c r="D45" s="20" t="s">
        <v>453</v>
      </c>
      <c r="E45" s="20" t="s">
        <v>454</v>
      </c>
      <c r="F45" s="20" t="s">
        <v>112</v>
      </c>
      <c r="G45" s="20" t="s">
        <v>455</v>
      </c>
      <c r="H45" s="20" t="s">
        <v>456</v>
      </c>
      <c r="I45" s="20" t="s">
        <v>457</v>
      </c>
      <c r="J45" s="20" t="s">
        <v>57</v>
      </c>
      <c r="K45" s="21" t="s">
        <v>157</v>
      </c>
      <c r="L45" s="21" t="s">
        <v>458</v>
      </c>
      <c r="M45" s="21" t="s">
        <v>225</v>
      </c>
      <c r="N45" s="21"/>
      <c r="O45" s="21" t="s">
        <v>459</v>
      </c>
      <c r="P45" s="21"/>
    </row>
    <row r="46" ht="15.75" customHeight="1">
      <c r="A46" s="22" t="s">
        <v>460</v>
      </c>
      <c r="B46" s="22" t="s">
        <v>461</v>
      </c>
      <c r="C46" s="22" t="s">
        <v>462</v>
      </c>
      <c r="D46" s="22" t="s">
        <v>463</v>
      </c>
      <c r="E46" s="22" t="s">
        <v>464</v>
      </c>
      <c r="F46" s="22" t="s">
        <v>378</v>
      </c>
      <c r="G46" s="22" t="s">
        <v>465</v>
      </c>
      <c r="H46" s="22" t="s">
        <v>466</v>
      </c>
      <c r="I46" s="22" t="s">
        <v>467</v>
      </c>
      <c r="J46" s="22" t="s">
        <v>57</v>
      </c>
      <c r="K46" s="22" t="s">
        <v>468</v>
      </c>
      <c r="L46" s="22" t="s">
        <v>84</v>
      </c>
      <c r="M46" s="22" t="s">
        <v>147</v>
      </c>
      <c r="N46" s="22"/>
      <c r="O46" s="22" t="s">
        <v>469</v>
      </c>
      <c r="P46" s="22"/>
    </row>
    <row r="47" ht="15.75" customHeight="1">
      <c r="A47" s="20" t="s">
        <v>470</v>
      </c>
      <c r="B47" s="20" t="s">
        <v>471</v>
      </c>
      <c r="C47" s="20" t="s">
        <v>472</v>
      </c>
      <c r="D47" s="20" t="s">
        <v>473</v>
      </c>
      <c r="E47" s="20" t="s">
        <v>474</v>
      </c>
      <c r="F47" s="20" t="s">
        <v>475</v>
      </c>
      <c r="G47" s="20" t="s">
        <v>476</v>
      </c>
      <c r="H47" s="20"/>
      <c r="I47" s="20" t="s">
        <v>477</v>
      </c>
      <c r="J47" s="20" t="s">
        <v>57</v>
      </c>
      <c r="K47" s="21" t="s">
        <v>124</v>
      </c>
      <c r="L47" s="21" t="s">
        <v>478</v>
      </c>
      <c r="M47" s="21"/>
      <c r="N47" s="21"/>
      <c r="O47" s="21"/>
      <c r="P47" s="21"/>
    </row>
    <row r="48" ht="15.75" customHeight="1">
      <c r="A48" s="22" t="s">
        <v>479</v>
      </c>
      <c r="B48" s="22" t="s">
        <v>480</v>
      </c>
      <c r="C48" s="22"/>
      <c r="D48" s="22" t="s">
        <v>481</v>
      </c>
      <c r="E48" s="22" t="s">
        <v>482</v>
      </c>
      <c r="F48" s="22" t="s">
        <v>363</v>
      </c>
      <c r="G48" s="22"/>
      <c r="H48" s="22" t="s">
        <v>483</v>
      </c>
      <c r="I48" s="22"/>
      <c r="J48" s="22" t="s">
        <v>57</v>
      </c>
      <c r="K48" s="22" t="s">
        <v>484</v>
      </c>
      <c r="L48" s="22" t="s">
        <v>485</v>
      </c>
      <c r="M48" s="22"/>
      <c r="N48" s="22"/>
      <c r="O48" s="22"/>
      <c r="P48" s="22"/>
    </row>
    <row r="49" ht="15.75" customHeight="1">
      <c r="A49" s="20" t="s">
        <v>486</v>
      </c>
      <c r="B49" s="20" t="s">
        <v>487</v>
      </c>
      <c r="C49" s="20"/>
      <c r="D49" s="20" t="s">
        <v>488</v>
      </c>
      <c r="E49" s="20" t="s">
        <v>489</v>
      </c>
      <c r="F49" s="20" t="s">
        <v>475</v>
      </c>
      <c r="G49" s="20" t="s">
        <v>490</v>
      </c>
      <c r="H49" s="20" t="s">
        <v>491</v>
      </c>
      <c r="I49" s="20" t="s">
        <v>492</v>
      </c>
      <c r="J49" s="20" t="s">
        <v>57</v>
      </c>
      <c r="K49" s="21" t="s">
        <v>493</v>
      </c>
      <c r="L49" s="21" t="s">
        <v>494</v>
      </c>
      <c r="M49" s="21" t="s">
        <v>225</v>
      </c>
      <c r="N49" s="21"/>
      <c r="O49" s="21" t="s">
        <v>495</v>
      </c>
      <c r="P49" s="21"/>
    </row>
    <row r="50" ht="15.75" customHeight="1">
      <c r="A50" s="22" t="s">
        <v>496</v>
      </c>
      <c r="B50" s="22" t="s">
        <v>497</v>
      </c>
      <c r="C50" s="22"/>
      <c r="D50" s="22" t="s">
        <v>498</v>
      </c>
      <c r="E50" s="22" t="s">
        <v>499</v>
      </c>
      <c r="F50" s="22" t="s">
        <v>253</v>
      </c>
      <c r="G50" s="22"/>
      <c r="H50" s="22" t="s">
        <v>500</v>
      </c>
      <c r="I50" s="22"/>
      <c r="J50" s="22" t="s">
        <v>57</v>
      </c>
      <c r="K50" s="22" t="s">
        <v>248</v>
      </c>
      <c r="L50" s="22" t="s">
        <v>84</v>
      </c>
      <c r="M50" s="22" t="s">
        <v>225</v>
      </c>
      <c r="N50" s="22"/>
      <c r="O50" s="22" t="s">
        <v>501</v>
      </c>
      <c r="P50" s="22"/>
    </row>
    <row r="51" ht="15.75" customHeight="1">
      <c r="A51" s="20" t="s">
        <v>502</v>
      </c>
      <c r="B51" s="20" t="s">
        <v>503</v>
      </c>
      <c r="C51" s="20" t="s">
        <v>504</v>
      </c>
      <c r="D51" s="20" t="s">
        <v>505</v>
      </c>
      <c r="E51" s="20" t="s">
        <v>506</v>
      </c>
      <c r="F51" s="20" t="s">
        <v>91</v>
      </c>
      <c r="G51" s="20" t="s">
        <v>507</v>
      </c>
      <c r="H51" s="20" t="s">
        <v>508</v>
      </c>
      <c r="I51" s="20" t="s">
        <v>509</v>
      </c>
      <c r="J51" s="20" t="s">
        <v>57</v>
      </c>
      <c r="K51" s="21" t="s">
        <v>248</v>
      </c>
      <c r="L51" s="21" t="s">
        <v>84</v>
      </c>
      <c r="M51" s="21"/>
      <c r="N51" s="21" t="s">
        <v>510</v>
      </c>
      <c r="O51" s="21" t="s">
        <v>137</v>
      </c>
      <c r="P51" s="21" t="s">
        <v>107</v>
      </c>
    </row>
    <row r="52" ht="15.75" customHeight="1">
      <c r="A52" s="22" t="s">
        <v>511</v>
      </c>
      <c r="B52" s="22" t="s">
        <v>512</v>
      </c>
      <c r="C52" s="22"/>
      <c r="D52" s="22" t="s">
        <v>513</v>
      </c>
      <c r="E52" s="22" t="s">
        <v>514</v>
      </c>
      <c r="F52" s="22" t="s">
        <v>112</v>
      </c>
      <c r="G52" s="22" t="s">
        <v>515</v>
      </c>
      <c r="H52" s="22" t="s">
        <v>516</v>
      </c>
      <c r="I52" s="22" t="s">
        <v>517</v>
      </c>
      <c r="J52" s="22" t="s">
        <v>57</v>
      </c>
      <c r="K52" s="22" t="s">
        <v>518</v>
      </c>
      <c r="L52" s="22" t="s">
        <v>519</v>
      </c>
      <c r="M52" s="22" t="s">
        <v>520</v>
      </c>
      <c r="N52" s="22"/>
      <c r="O52" s="22" t="s">
        <v>359</v>
      </c>
      <c r="P52" s="22"/>
    </row>
    <row r="53" ht="15.75" customHeight="1">
      <c r="A53" s="20" t="s">
        <v>521</v>
      </c>
      <c r="B53" s="20" t="s">
        <v>522</v>
      </c>
      <c r="C53" s="20" t="s">
        <v>523</v>
      </c>
      <c r="D53" s="20" t="s">
        <v>524</v>
      </c>
      <c r="E53" s="20" t="s">
        <v>525</v>
      </c>
      <c r="F53" s="20" t="s">
        <v>79</v>
      </c>
      <c r="G53" s="20" t="s">
        <v>526</v>
      </c>
      <c r="H53" s="20" t="s">
        <v>527</v>
      </c>
      <c r="I53" s="20" t="s">
        <v>528</v>
      </c>
      <c r="J53" s="20" t="s">
        <v>57</v>
      </c>
      <c r="K53" s="21" t="s">
        <v>529</v>
      </c>
      <c r="L53" s="21" t="s">
        <v>530</v>
      </c>
      <c r="M53" s="21" t="s">
        <v>531</v>
      </c>
      <c r="N53" s="21"/>
      <c r="O53" s="21" t="s">
        <v>495</v>
      </c>
      <c r="P53" s="21"/>
    </row>
    <row r="54" ht="15.75" customHeight="1">
      <c r="A54" s="22" t="s">
        <v>532</v>
      </c>
      <c r="B54" s="22" t="s">
        <v>533</v>
      </c>
      <c r="C54" s="22" t="s">
        <v>534</v>
      </c>
      <c r="D54" s="22" t="s">
        <v>535</v>
      </c>
      <c r="E54" s="22" t="s">
        <v>536</v>
      </c>
      <c r="F54" s="22" t="s">
        <v>363</v>
      </c>
      <c r="G54" s="22"/>
      <c r="H54" s="22" t="s">
        <v>537</v>
      </c>
      <c r="I54" s="22" t="s">
        <v>538</v>
      </c>
      <c r="J54" s="22" t="s">
        <v>57</v>
      </c>
      <c r="K54" s="22" t="s">
        <v>539</v>
      </c>
      <c r="L54" s="22" t="s">
        <v>540</v>
      </c>
      <c r="M54" s="22" t="s">
        <v>541</v>
      </c>
      <c r="N54" s="22"/>
      <c r="O54" s="22" t="s">
        <v>501</v>
      </c>
      <c r="P54" s="22"/>
    </row>
    <row r="55" ht="15.75" customHeight="1">
      <c r="A55" s="20" t="s">
        <v>542</v>
      </c>
      <c r="B55" s="20" t="s">
        <v>543</v>
      </c>
      <c r="C55" s="20" t="s">
        <v>544</v>
      </c>
      <c r="D55" s="20" t="s">
        <v>545</v>
      </c>
      <c r="E55" s="20" t="s">
        <v>546</v>
      </c>
      <c r="F55" s="20" t="s">
        <v>79</v>
      </c>
      <c r="G55" s="20" t="s">
        <v>547</v>
      </c>
      <c r="H55" s="20" t="s">
        <v>548</v>
      </c>
      <c r="I55" s="20" t="s">
        <v>549</v>
      </c>
      <c r="J55" s="20" t="s">
        <v>57</v>
      </c>
      <c r="K55" s="21" t="s">
        <v>430</v>
      </c>
      <c r="L55" s="21" t="s">
        <v>550</v>
      </c>
      <c r="M55" s="21" t="s">
        <v>551</v>
      </c>
      <c r="N55" s="21"/>
      <c r="O55" s="21" t="s">
        <v>495</v>
      </c>
      <c r="P55" s="21"/>
    </row>
    <row r="56" ht="15.75" customHeight="1">
      <c r="A56" s="22" t="s">
        <v>552</v>
      </c>
      <c r="B56" s="22" t="s">
        <v>553</v>
      </c>
      <c r="C56" s="22"/>
      <c r="D56" s="22" t="s">
        <v>554</v>
      </c>
      <c r="E56" s="22" t="s">
        <v>555</v>
      </c>
      <c r="F56" s="22" t="s">
        <v>130</v>
      </c>
      <c r="G56" s="22" t="s">
        <v>556</v>
      </c>
      <c r="H56" s="22"/>
      <c r="I56" s="22" t="s">
        <v>557</v>
      </c>
      <c r="J56" s="22" t="s">
        <v>57</v>
      </c>
      <c r="K56" s="22" t="s">
        <v>558</v>
      </c>
      <c r="L56" s="22" t="s">
        <v>267</v>
      </c>
      <c r="M56" s="22"/>
      <c r="N56" s="22"/>
      <c r="O56" s="22" t="s">
        <v>501</v>
      </c>
      <c r="P56" s="22"/>
    </row>
    <row r="57" ht="15.75" customHeight="1">
      <c r="A57" s="20" t="s">
        <v>559</v>
      </c>
      <c r="B57" s="20" t="s">
        <v>560</v>
      </c>
      <c r="C57" s="20"/>
      <c r="D57" s="20" t="s">
        <v>561</v>
      </c>
      <c r="E57" s="20" t="s">
        <v>562</v>
      </c>
      <c r="F57" s="20" t="s">
        <v>112</v>
      </c>
      <c r="G57" s="20" t="s">
        <v>563</v>
      </c>
      <c r="H57" s="20" t="s">
        <v>564</v>
      </c>
      <c r="I57" s="20" t="s">
        <v>565</v>
      </c>
      <c r="J57" s="20" t="s">
        <v>57</v>
      </c>
      <c r="K57" s="21" t="s">
        <v>566</v>
      </c>
      <c r="L57" s="21" t="s">
        <v>567</v>
      </c>
      <c r="M57" s="21" t="s">
        <v>337</v>
      </c>
      <c r="N57" s="21"/>
      <c r="O57" s="21" t="s">
        <v>73</v>
      </c>
      <c r="P57" s="21"/>
    </row>
    <row r="58" ht="15.75" customHeight="1">
      <c r="A58" s="22" t="s">
        <v>568</v>
      </c>
      <c r="B58" s="22" t="s">
        <v>569</v>
      </c>
      <c r="C58" s="22" t="s">
        <v>570</v>
      </c>
      <c r="D58" s="22" t="s">
        <v>571</v>
      </c>
      <c r="E58" s="22" t="s">
        <v>55</v>
      </c>
      <c r="F58" s="22" t="s">
        <v>55</v>
      </c>
      <c r="G58" s="22" t="s">
        <v>572</v>
      </c>
      <c r="H58" s="22" t="s">
        <v>573</v>
      </c>
      <c r="I58" s="22" t="s">
        <v>574</v>
      </c>
      <c r="J58" s="22" t="s">
        <v>57</v>
      </c>
      <c r="K58" s="22" t="s">
        <v>575</v>
      </c>
      <c r="L58" s="22" t="s">
        <v>84</v>
      </c>
      <c r="M58" s="22"/>
      <c r="N58" s="22"/>
      <c r="O58" s="22"/>
      <c r="P58" s="22" t="s">
        <v>107</v>
      </c>
    </row>
    <row r="59" ht="15.75" customHeight="1">
      <c r="A59" s="20" t="s">
        <v>576</v>
      </c>
      <c r="B59" s="20" t="s">
        <v>577</v>
      </c>
      <c r="C59" s="20"/>
      <c r="D59" s="20" t="s">
        <v>578</v>
      </c>
      <c r="E59" s="20" t="s">
        <v>579</v>
      </c>
      <c r="F59" s="20" t="s">
        <v>580</v>
      </c>
      <c r="G59" s="20" t="s">
        <v>581</v>
      </c>
      <c r="H59" s="20"/>
      <c r="I59" s="20" t="s">
        <v>582</v>
      </c>
      <c r="J59" s="20" t="s">
        <v>57</v>
      </c>
      <c r="K59" s="21" t="s">
        <v>157</v>
      </c>
      <c r="L59" s="21" t="s">
        <v>583</v>
      </c>
      <c r="M59" s="21" t="s">
        <v>584</v>
      </c>
      <c r="N59" s="21"/>
      <c r="O59" s="21" t="s">
        <v>459</v>
      </c>
      <c r="P59" s="21"/>
    </row>
    <row r="60" ht="15.75" customHeight="1">
      <c r="A60" s="22" t="s">
        <v>585</v>
      </c>
      <c r="B60" s="22" t="s">
        <v>586</v>
      </c>
      <c r="C60" s="22" t="s">
        <v>587</v>
      </c>
      <c r="D60" s="22" t="s">
        <v>588</v>
      </c>
      <c r="E60" s="22" t="s">
        <v>589</v>
      </c>
      <c r="F60" s="22" t="s">
        <v>378</v>
      </c>
      <c r="G60" s="22" t="s">
        <v>590</v>
      </c>
      <c r="H60" s="22" t="s">
        <v>591</v>
      </c>
      <c r="I60" s="22" t="s">
        <v>592</v>
      </c>
      <c r="J60" s="22" t="s">
        <v>57</v>
      </c>
      <c r="K60" s="22" t="s">
        <v>593</v>
      </c>
      <c r="L60" s="22" t="s">
        <v>594</v>
      </c>
      <c r="M60" s="22" t="s">
        <v>595</v>
      </c>
      <c r="N60" s="22"/>
      <c r="O60" s="22" t="s">
        <v>596</v>
      </c>
      <c r="P60" s="22" t="s">
        <v>107</v>
      </c>
    </row>
    <row r="61" ht="15.75" customHeight="1">
      <c r="A61" s="20" t="s">
        <v>597</v>
      </c>
      <c r="B61" s="20" t="s">
        <v>598</v>
      </c>
      <c r="C61" s="20" t="s">
        <v>599</v>
      </c>
      <c r="D61" s="20" t="s">
        <v>600</v>
      </c>
      <c r="E61" s="20" t="s">
        <v>601</v>
      </c>
      <c r="F61" s="20" t="s">
        <v>352</v>
      </c>
      <c r="G61" s="20" t="s">
        <v>602</v>
      </c>
      <c r="H61" s="20"/>
      <c r="I61" s="20" t="s">
        <v>603</v>
      </c>
      <c r="J61" s="20" t="s">
        <v>57</v>
      </c>
      <c r="K61" s="21" t="s">
        <v>604</v>
      </c>
      <c r="L61" s="21" t="s">
        <v>583</v>
      </c>
      <c r="M61" s="21"/>
      <c r="N61" s="21" t="s">
        <v>605</v>
      </c>
      <c r="O61" s="21"/>
      <c r="P61" s="21"/>
    </row>
    <row r="62" ht="15.75" customHeight="1">
      <c r="A62" s="22" t="s">
        <v>606</v>
      </c>
      <c r="B62" s="22" t="s">
        <v>607</v>
      </c>
      <c r="C62" s="22" t="s">
        <v>608</v>
      </c>
      <c r="D62" s="22" t="s">
        <v>609</v>
      </c>
      <c r="E62" s="22" t="s">
        <v>610</v>
      </c>
      <c r="F62" s="22" t="s">
        <v>352</v>
      </c>
      <c r="G62" s="22" t="s">
        <v>611</v>
      </c>
      <c r="H62" s="22" t="s">
        <v>612</v>
      </c>
      <c r="I62" s="22"/>
      <c r="J62" s="22" t="s">
        <v>57</v>
      </c>
      <c r="K62" s="22" t="s">
        <v>613</v>
      </c>
      <c r="L62" s="22" t="s">
        <v>614</v>
      </c>
      <c r="M62" s="22"/>
      <c r="N62" s="22"/>
      <c r="O62" s="22" t="s">
        <v>159</v>
      </c>
      <c r="P62" s="22"/>
    </row>
    <row r="63" ht="15.75" customHeight="1">
      <c r="A63" s="20" t="s">
        <v>615</v>
      </c>
      <c r="B63" s="20" t="s">
        <v>616</v>
      </c>
      <c r="C63" s="20"/>
      <c r="D63" s="20" t="s">
        <v>617</v>
      </c>
      <c r="E63" s="20" t="s">
        <v>618</v>
      </c>
      <c r="F63" s="20" t="s">
        <v>101</v>
      </c>
      <c r="G63" s="20"/>
      <c r="H63" s="20" t="s">
        <v>619</v>
      </c>
      <c r="I63" s="20" t="s">
        <v>620</v>
      </c>
      <c r="J63" s="20" t="s">
        <v>57</v>
      </c>
      <c r="K63" s="21" t="s">
        <v>621</v>
      </c>
      <c r="L63" s="21" t="s">
        <v>622</v>
      </c>
      <c r="M63" s="21" t="s">
        <v>623</v>
      </c>
      <c r="N63" s="21"/>
      <c r="O63" s="21" t="s">
        <v>269</v>
      </c>
      <c r="P63" s="21"/>
    </row>
    <row r="64" ht="15.75" customHeight="1">
      <c r="A64" s="22" t="s">
        <v>624</v>
      </c>
      <c r="B64" s="22" t="s">
        <v>625</v>
      </c>
      <c r="C64" s="22"/>
      <c r="D64" s="22" t="s">
        <v>626</v>
      </c>
      <c r="E64" s="22" t="s">
        <v>627</v>
      </c>
      <c r="F64" s="22" t="s">
        <v>79</v>
      </c>
      <c r="G64" s="22" t="s">
        <v>231</v>
      </c>
      <c r="H64" s="22" t="s">
        <v>628</v>
      </c>
      <c r="I64" s="22" t="s">
        <v>629</v>
      </c>
      <c r="J64" s="22" t="s">
        <v>57</v>
      </c>
      <c r="K64" s="22" t="s">
        <v>630</v>
      </c>
      <c r="L64" s="22" t="s">
        <v>84</v>
      </c>
      <c r="M64" s="22"/>
      <c r="N64" s="22"/>
      <c r="O64" s="22" t="s">
        <v>159</v>
      </c>
      <c r="P64" s="22"/>
    </row>
    <row r="65" ht="15.75" customHeight="1">
      <c r="A65" s="20" t="s">
        <v>631</v>
      </c>
      <c r="B65" s="20" t="s">
        <v>632</v>
      </c>
      <c r="C65" s="20" t="s">
        <v>633</v>
      </c>
      <c r="D65" s="20" t="s">
        <v>634</v>
      </c>
      <c r="E65" s="20" t="s">
        <v>55</v>
      </c>
      <c r="F65" s="20" t="s">
        <v>91</v>
      </c>
      <c r="G65" s="20" t="s">
        <v>635</v>
      </c>
      <c r="H65" s="20" t="s">
        <v>636</v>
      </c>
      <c r="I65" s="20" t="s">
        <v>637</v>
      </c>
      <c r="J65" s="20" t="s">
        <v>57</v>
      </c>
      <c r="K65" s="21" t="s">
        <v>638</v>
      </c>
      <c r="L65" s="21" t="s">
        <v>583</v>
      </c>
      <c r="M65" s="21" t="s">
        <v>639</v>
      </c>
      <c r="N65" s="21" t="s">
        <v>640</v>
      </c>
      <c r="O65" s="21" t="s">
        <v>61</v>
      </c>
      <c r="P65" s="21" t="s">
        <v>107</v>
      </c>
    </row>
    <row r="66" ht="15.75" customHeight="1">
      <c r="A66" s="22" t="s">
        <v>641</v>
      </c>
      <c r="B66" s="22" t="s">
        <v>642</v>
      </c>
      <c r="C66" s="22"/>
      <c r="D66" s="22" t="s">
        <v>643</v>
      </c>
      <c r="E66" s="22" t="s">
        <v>231</v>
      </c>
      <c r="F66" s="22" t="s">
        <v>79</v>
      </c>
      <c r="G66" s="22"/>
      <c r="H66" s="22" t="s">
        <v>644</v>
      </c>
      <c r="I66" s="22" t="s">
        <v>645</v>
      </c>
      <c r="J66" s="22" t="s">
        <v>57</v>
      </c>
      <c r="K66" s="22" t="s">
        <v>646</v>
      </c>
      <c r="L66" s="22" t="s">
        <v>647</v>
      </c>
      <c r="M66" s="22"/>
      <c r="N66" s="22"/>
      <c r="O66" s="22" t="s">
        <v>648</v>
      </c>
      <c r="P66" s="22"/>
    </row>
    <row r="67" ht="15.75" customHeight="1">
      <c r="A67" s="20" t="s">
        <v>649</v>
      </c>
      <c r="B67" s="20" t="s">
        <v>632</v>
      </c>
      <c r="C67" s="20" t="s">
        <v>650</v>
      </c>
      <c r="D67" s="20" t="s">
        <v>651</v>
      </c>
      <c r="E67" s="20" t="s">
        <v>652</v>
      </c>
      <c r="F67" s="20" t="s">
        <v>79</v>
      </c>
      <c r="G67" s="20" t="s">
        <v>653</v>
      </c>
      <c r="H67" s="20" t="s">
        <v>654</v>
      </c>
      <c r="I67" s="20" t="s">
        <v>655</v>
      </c>
      <c r="J67" s="20" t="s">
        <v>57</v>
      </c>
      <c r="K67" s="21" t="s">
        <v>656</v>
      </c>
      <c r="L67" s="21" t="s">
        <v>657</v>
      </c>
      <c r="M67" s="21" t="s">
        <v>658</v>
      </c>
      <c r="N67" s="21" t="s">
        <v>640</v>
      </c>
      <c r="O67" s="21" t="s">
        <v>258</v>
      </c>
      <c r="P67" s="21" t="s">
        <v>107</v>
      </c>
    </row>
    <row r="68" ht="15.75" customHeight="1">
      <c r="A68" s="22" t="s">
        <v>659</v>
      </c>
      <c r="B68" s="22"/>
      <c r="C68" s="22" t="s">
        <v>660</v>
      </c>
      <c r="D68" s="22" t="s">
        <v>661</v>
      </c>
      <c r="E68" s="22" t="s">
        <v>231</v>
      </c>
      <c r="F68" s="22" t="s">
        <v>79</v>
      </c>
      <c r="G68" s="22"/>
      <c r="H68" s="22" t="s">
        <v>662</v>
      </c>
      <c r="I68" s="22"/>
      <c r="J68" s="22" t="s">
        <v>57</v>
      </c>
      <c r="K68" s="22" t="s">
        <v>663</v>
      </c>
      <c r="L68" s="22" t="s">
        <v>664</v>
      </c>
      <c r="M68" s="22"/>
      <c r="N68" s="22"/>
      <c r="O68" s="22"/>
      <c r="P68" s="22" t="s">
        <v>107</v>
      </c>
    </row>
    <row r="69" ht="15.75" customHeight="1">
      <c r="A69" s="20" t="s">
        <v>665</v>
      </c>
      <c r="B69" s="20" t="s">
        <v>666</v>
      </c>
      <c r="C69" s="20"/>
      <c r="D69" s="20" t="s">
        <v>667</v>
      </c>
      <c r="E69" s="20" t="s">
        <v>231</v>
      </c>
      <c r="F69" s="20" t="s">
        <v>79</v>
      </c>
      <c r="G69" s="20" t="s">
        <v>668</v>
      </c>
      <c r="H69" s="20" t="s">
        <v>669</v>
      </c>
      <c r="I69" s="20"/>
      <c r="J69" s="20" t="s">
        <v>57</v>
      </c>
      <c r="K69" s="21" t="s">
        <v>670</v>
      </c>
      <c r="L69" s="21" t="s">
        <v>671</v>
      </c>
      <c r="M69" s="21"/>
      <c r="N69" s="21"/>
      <c r="O69" s="21"/>
      <c r="P69" s="21" t="s">
        <v>107</v>
      </c>
    </row>
    <row r="70" ht="15.75" customHeight="1">
      <c r="A70" s="22" t="s">
        <v>672</v>
      </c>
      <c r="B70" s="22" t="s">
        <v>673</v>
      </c>
      <c r="C70" s="22"/>
      <c r="D70" s="22" t="s">
        <v>674</v>
      </c>
      <c r="E70" s="22" t="s">
        <v>231</v>
      </c>
      <c r="F70" s="22" t="s">
        <v>79</v>
      </c>
      <c r="G70" s="22" t="s">
        <v>675</v>
      </c>
      <c r="H70" s="22"/>
      <c r="I70" s="22" t="s">
        <v>676</v>
      </c>
      <c r="J70" s="22" t="s">
        <v>57</v>
      </c>
      <c r="K70" s="22" t="s">
        <v>677</v>
      </c>
      <c r="L70" s="22" t="s">
        <v>678</v>
      </c>
      <c r="M70" s="22"/>
      <c r="N70" s="22"/>
      <c r="O70" s="22"/>
      <c r="P70" s="22"/>
    </row>
    <row r="71" ht="15.75" customHeight="1">
      <c r="A71" s="20" t="s">
        <v>679</v>
      </c>
      <c r="B71" s="20" t="s">
        <v>680</v>
      </c>
      <c r="C71" s="20" t="s">
        <v>681</v>
      </c>
      <c r="D71" s="20" t="s">
        <v>682</v>
      </c>
      <c r="E71" s="20" t="s">
        <v>683</v>
      </c>
      <c r="F71" s="20" t="s">
        <v>352</v>
      </c>
      <c r="G71" s="20" t="s">
        <v>684</v>
      </c>
      <c r="H71" s="20"/>
      <c r="I71" s="20" t="s">
        <v>685</v>
      </c>
      <c r="J71" s="20" t="s">
        <v>57</v>
      </c>
      <c r="K71" s="21" t="s">
        <v>157</v>
      </c>
      <c r="L71" s="21" t="s">
        <v>686</v>
      </c>
      <c r="M71" s="21"/>
      <c r="N71" s="21"/>
      <c r="O71" s="21" t="s">
        <v>73</v>
      </c>
      <c r="P71" s="21"/>
    </row>
    <row r="72" ht="15.75" customHeight="1">
      <c r="A72" s="22" t="s">
        <v>687</v>
      </c>
      <c r="B72" s="22" t="s">
        <v>688</v>
      </c>
      <c r="C72" s="22" t="s">
        <v>689</v>
      </c>
      <c r="D72" s="22" t="s">
        <v>690</v>
      </c>
      <c r="E72" s="22" t="s">
        <v>231</v>
      </c>
      <c r="F72" s="22" t="s">
        <v>79</v>
      </c>
      <c r="G72" s="22"/>
      <c r="H72" s="22" t="s">
        <v>691</v>
      </c>
      <c r="I72" s="22" t="s">
        <v>692</v>
      </c>
      <c r="J72" s="22" t="s">
        <v>57</v>
      </c>
      <c r="K72" s="22" t="s">
        <v>693</v>
      </c>
      <c r="L72" s="22" t="s">
        <v>694</v>
      </c>
      <c r="M72" s="22"/>
      <c r="N72" s="22"/>
      <c r="O72" s="22"/>
      <c r="P72" s="22" t="s">
        <v>107</v>
      </c>
    </row>
    <row r="73" ht="15.75" customHeight="1">
      <c r="A73" s="20" t="s">
        <v>695</v>
      </c>
      <c r="B73" s="20" t="s">
        <v>696</v>
      </c>
      <c r="C73" s="20"/>
      <c r="D73" s="20" t="s">
        <v>697</v>
      </c>
      <c r="E73" s="20" t="s">
        <v>698</v>
      </c>
      <c r="F73" s="20" t="s">
        <v>378</v>
      </c>
      <c r="G73" s="20" t="s">
        <v>699</v>
      </c>
      <c r="H73" s="20" t="s">
        <v>700</v>
      </c>
      <c r="I73" s="20" t="s">
        <v>701</v>
      </c>
      <c r="J73" s="20" t="s">
        <v>57</v>
      </c>
      <c r="K73" s="21" t="s">
        <v>702</v>
      </c>
      <c r="L73" s="21" t="s">
        <v>703</v>
      </c>
      <c r="M73" s="21"/>
      <c r="N73" s="21"/>
      <c r="O73" s="21" t="s">
        <v>269</v>
      </c>
      <c r="P73" s="21"/>
    </row>
    <row r="74" ht="15.75" customHeight="1">
      <c r="A74" s="22" t="s">
        <v>704</v>
      </c>
      <c r="B74" s="22" t="s">
        <v>705</v>
      </c>
      <c r="C74" s="22" t="s">
        <v>706</v>
      </c>
      <c r="D74" s="22" t="s">
        <v>707</v>
      </c>
      <c r="E74" s="22" t="s">
        <v>55</v>
      </c>
      <c r="F74" s="22" t="s">
        <v>55</v>
      </c>
      <c r="G74" s="22" t="s">
        <v>55</v>
      </c>
      <c r="H74" s="22" t="s">
        <v>704</v>
      </c>
      <c r="I74" s="22" t="s">
        <v>708</v>
      </c>
      <c r="J74" s="22" t="s">
        <v>57</v>
      </c>
      <c r="K74" s="22"/>
      <c r="L74" s="22" t="s">
        <v>709</v>
      </c>
      <c r="M74" s="22" t="s">
        <v>710</v>
      </c>
      <c r="N74" s="22"/>
      <c r="O74" s="22" t="s">
        <v>73</v>
      </c>
      <c r="P74" s="22"/>
    </row>
    <row r="75" ht="15.75" customHeight="1">
      <c r="A75" s="20" t="s">
        <v>711</v>
      </c>
      <c r="B75" s="20" t="s">
        <v>712</v>
      </c>
      <c r="C75" s="20"/>
      <c r="D75" s="20" t="s">
        <v>713</v>
      </c>
      <c r="E75" s="20" t="s">
        <v>698</v>
      </c>
      <c r="F75" s="20" t="s">
        <v>378</v>
      </c>
      <c r="G75" s="20" t="s">
        <v>714</v>
      </c>
      <c r="H75" s="20" t="s">
        <v>715</v>
      </c>
      <c r="I75" s="20" t="s">
        <v>716</v>
      </c>
      <c r="J75" s="20" t="s">
        <v>57</v>
      </c>
      <c r="K75" s="21" t="s">
        <v>717</v>
      </c>
      <c r="L75" s="21" t="s">
        <v>718</v>
      </c>
      <c r="M75" s="21" t="s">
        <v>719</v>
      </c>
      <c r="N75" s="21"/>
      <c r="O75" s="21" t="s">
        <v>185</v>
      </c>
      <c r="P75" s="21"/>
    </row>
    <row r="76" ht="15.75" customHeight="1">
      <c r="A76" s="22" t="s">
        <v>720</v>
      </c>
      <c r="B76" s="22" t="s">
        <v>721</v>
      </c>
      <c r="C76" s="22"/>
      <c r="D76" s="22" t="s">
        <v>722</v>
      </c>
      <c r="E76" s="22" t="s">
        <v>723</v>
      </c>
      <c r="F76" s="22" t="s">
        <v>406</v>
      </c>
      <c r="G76" s="22" t="s">
        <v>724</v>
      </c>
      <c r="H76" s="22" t="s">
        <v>725</v>
      </c>
      <c r="I76" s="22" t="s">
        <v>726</v>
      </c>
      <c r="J76" s="22" t="s">
        <v>57</v>
      </c>
      <c r="K76" s="22" t="s">
        <v>727</v>
      </c>
      <c r="L76" s="22" t="s">
        <v>84</v>
      </c>
      <c r="M76" s="22"/>
      <c r="N76" s="22"/>
      <c r="O76" s="22" t="s">
        <v>269</v>
      </c>
      <c r="P76" s="22"/>
    </row>
    <row r="77" ht="15.75" customHeight="1">
      <c r="A77" s="20" t="s">
        <v>728</v>
      </c>
      <c r="B77" s="20" t="s">
        <v>729</v>
      </c>
      <c r="C77" s="20"/>
      <c r="D77" s="20" t="s">
        <v>730</v>
      </c>
      <c r="E77" s="20" t="s">
        <v>731</v>
      </c>
      <c r="F77" s="20" t="s">
        <v>378</v>
      </c>
      <c r="G77" s="20" t="s">
        <v>732</v>
      </c>
      <c r="H77" s="20" t="s">
        <v>733</v>
      </c>
      <c r="I77" s="20" t="s">
        <v>734</v>
      </c>
      <c r="J77" s="20" t="s">
        <v>57</v>
      </c>
      <c r="K77" s="21" t="s">
        <v>735</v>
      </c>
      <c r="L77" s="21" t="s">
        <v>84</v>
      </c>
      <c r="M77" s="21" t="s">
        <v>147</v>
      </c>
      <c r="N77" s="21"/>
      <c r="O77" s="21" t="s">
        <v>73</v>
      </c>
      <c r="P77" s="21"/>
    </row>
    <row r="78" ht="15.75" customHeight="1">
      <c r="A78" s="22" t="s">
        <v>736</v>
      </c>
      <c r="B78" s="22"/>
      <c r="C78" s="22"/>
      <c r="D78" s="22" t="s">
        <v>737</v>
      </c>
      <c r="E78" s="22" t="s">
        <v>231</v>
      </c>
      <c r="F78" s="22" t="s">
        <v>79</v>
      </c>
      <c r="G78" s="22" t="s">
        <v>738</v>
      </c>
      <c r="H78" s="22" t="s">
        <v>739</v>
      </c>
      <c r="I78" s="22"/>
      <c r="J78" s="22" t="s">
        <v>57</v>
      </c>
      <c r="K78" s="22" t="s">
        <v>740</v>
      </c>
      <c r="L78" s="22" t="s">
        <v>741</v>
      </c>
      <c r="M78" s="22"/>
      <c r="N78" s="22"/>
      <c r="O78" s="22"/>
      <c r="P78" s="22" t="s">
        <v>107</v>
      </c>
    </row>
    <row r="79" ht="15.75" customHeight="1">
      <c r="A79" s="20" t="s">
        <v>742</v>
      </c>
      <c r="B79" s="20" t="s">
        <v>743</v>
      </c>
      <c r="C79" s="20" t="s">
        <v>744</v>
      </c>
      <c r="D79" s="20" t="s">
        <v>745</v>
      </c>
      <c r="E79" s="20" t="s">
        <v>55</v>
      </c>
      <c r="F79" s="20" t="s">
        <v>91</v>
      </c>
      <c r="G79" s="20" t="s">
        <v>746</v>
      </c>
      <c r="H79" s="20" t="s">
        <v>747</v>
      </c>
      <c r="I79" s="20" t="s">
        <v>748</v>
      </c>
      <c r="J79" s="20" t="s">
        <v>57</v>
      </c>
      <c r="K79" s="21" t="s">
        <v>749</v>
      </c>
      <c r="L79" s="21" t="s">
        <v>84</v>
      </c>
      <c r="M79" s="21" t="s">
        <v>520</v>
      </c>
      <c r="N79" s="21"/>
      <c r="O79" s="21" t="s">
        <v>258</v>
      </c>
      <c r="P79" s="21"/>
    </row>
    <row r="80" ht="15.75" customHeight="1">
      <c r="A80" s="22" t="s">
        <v>750</v>
      </c>
      <c r="B80" s="22" t="s">
        <v>751</v>
      </c>
      <c r="C80" s="22"/>
      <c r="D80" s="22" t="s">
        <v>752</v>
      </c>
      <c r="E80" s="22" t="s">
        <v>395</v>
      </c>
      <c r="F80" s="22" t="s">
        <v>66</v>
      </c>
      <c r="G80" s="22" t="s">
        <v>55</v>
      </c>
      <c r="H80" s="22" t="s">
        <v>747</v>
      </c>
      <c r="I80" s="22" t="s">
        <v>753</v>
      </c>
      <c r="J80" s="22" t="s">
        <v>57</v>
      </c>
      <c r="K80" s="22" t="s">
        <v>754</v>
      </c>
      <c r="L80" s="22" t="s">
        <v>755</v>
      </c>
      <c r="M80" s="22" t="s">
        <v>531</v>
      </c>
      <c r="N80" s="22"/>
      <c r="O80" s="22" t="s">
        <v>258</v>
      </c>
      <c r="P80" s="22"/>
    </row>
    <row r="81" ht="15.75" customHeight="1">
      <c r="A81" s="20" t="s">
        <v>756</v>
      </c>
      <c r="B81" s="20" t="s">
        <v>757</v>
      </c>
      <c r="C81" s="20"/>
      <c r="D81" s="20" t="s">
        <v>758</v>
      </c>
      <c r="E81" s="20" t="s">
        <v>759</v>
      </c>
      <c r="F81" s="20" t="s">
        <v>101</v>
      </c>
      <c r="G81" s="20"/>
      <c r="H81" s="20"/>
      <c r="I81" s="20" t="s">
        <v>760</v>
      </c>
      <c r="J81" s="20" t="s">
        <v>57</v>
      </c>
      <c r="K81" s="21" t="s">
        <v>761</v>
      </c>
      <c r="L81" s="21" t="s">
        <v>762</v>
      </c>
      <c r="M81" s="21"/>
      <c r="N81" s="21"/>
      <c r="O81" s="21" t="s">
        <v>61</v>
      </c>
      <c r="P81" s="21" t="s">
        <v>107</v>
      </c>
    </row>
    <row r="82" ht="15.75" customHeight="1">
      <c r="A82" s="22" t="s">
        <v>763</v>
      </c>
      <c r="B82" s="22" t="s">
        <v>764</v>
      </c>
      <c r="C82" s="22"/>
      <c r="D82" s="22" t="s">
        <v>765</v>
      </c>
      <c r="E82" s="22" t="s">
        <v>766</v>
      </c>
      <c r="F82" s="22" t="s">
        <v>580</v>
      </c>
      <c r="G82" s="22" t="s">
        <v>767</v>
      </c>
      <c r="H82" s="22" t="s">
        <v>768</v>
      </c>
      <c r="I82" s="22" t="s">
        <v>769</v>
      </c>
      <c r="J82" s="22" t="s">
        <v>57</v>
      </c>
      <c r="K82" s="22" t="s">
        <v>157</v>
      </c>
      <c r="L82" s="22" t="s">
        <v>770</v>
      </c>
      <c r="M82" s="22" t="s">
        <v>72</v>
      </c>
      <c r="N82" s="22"/>
      <c r="O82" s="22" t="s">
        <v>185</v>
      </c>
      <c r="P82" s="22"/>
    </row>
    <row r="83" ht="15.75" customHeight="1">
      <c r="A83" s="20" t="s">
        <v>771</v>
      </c>
      <c r="B83" s="20" t="s">
        <v>772</v>
      </c>
      <c r="C83" s="20" t="s">
        <v>773</v>
      </c>
      <c r="D83" s="20" t="s">
        <v>774</v>
      </c>
      <c r="E83" s="20" t="s">
        <v>775</v>
      </c>
      <c r="F83" s="20" t="s">
        <v>253</v>
      </c>
      <c r="G83" s="20" t="s">
        <v>776</v>
      </c>
      <c r="H83" s="20" t="s">
        <v>777</v>
      </c>
      <c r="I83" s="20" t="s">
        <v>778</v>
      </c>
      <c r="J83" s="20" t="s">
        <v>57</v>
      </c>
      <c r="K83" s="21" t="s">
        <v>779</v>
      </c>
      <c r="L83" s="21" t="s">
        <v>780</v>
      </c>
      <c r="M83" s="21" t="s">
        <v>781</v>
      </c>
      <c r="N83" s="21"/>
      <c r="O83" s="21" t="s">
        <v>159</v>
      </c>
      <c r="P83" s="21"/>
    </row>
    <row r="84" ht="15.75" customHeight="1">
      <c r="A84" s="22" t="s">
        <v>782</v>
      </c>
      <c r="B84" s="22" t="s">
        <v>783</v>
      </c>
      <c r="C84" s="22" t="s">
        <v>784</v>
      </c>
      <c r="D84" s="22" t="s">
        <v>785</v>
      </c>
      <c r="E84" s="22" t="s">
        <v>786</v>
      </c>
      <c r="F84" s="22" t="s">
        <v>101</v>
      </c>
      <c r="G84" s="22" t="s">
        <v>787</v>
      </c>
      <c r="H84" s="22" t="s">
        <v>788</v>
      </c>
      <c r="I84" s="22"/>
      <c r="J84" s="22" t="s">
        <v>57</v>
      </c>
      <c r="K84" s="22" t="s">
        <v>789</v>
      </c>
      <c r="L84" s="22" t="s">
        <v>790</v>
      </c>
      <c r="M84" s="22"/>
      <c r="N84" s="22"/>
      <c r="O84" s="22" t="s">
        <v>137</v>
      </c>
      <c r="P84" s="22"/>
    </row>
    <row r="85" ht="15.75" customHeight="1">
      <c r="A85" s="20" t="s">
        <v>791</v>
      </c>
      <c r="B85" s="20" t="s">
        <v>792</v>
      </c>
      <c r="C85" s="20"/>
      <c r="D85" s="20" t="s">
        <v>793</v>
      </c>
      <c r="E85" s="20" t="s">
        <v>794</v>
      </c>
      <c r="F85" s="20" t="s">
        <v>130</v>
      </c>
      <c r="G85" s="20" t="s">
        <v>795</v>
      </c>
      <c r="H85" s="20" t="s">
        <v>796</v>
      </c>
      <c r="I85" s="20" t="s">
        <v>797</v>
      </c>
      <c r="J85" s="20" t="s">
        <v>57</v>
      </c>
      <c r="K85" s="21" t="s">
        <v>798</v>
      </c>
      <c r="L85" s="21" t="s">
        <v>799</v>
      </c>
      <c r="M85" s="21" t="s">
        <v>710</v>
      </c>
      <c r="N85" s="21"/>
      <c r="O85" s="21" t="s">
        <v>459</v>
      </c>
      <c r="P85" s="21"/>
    </row>
    <row r="86" ht="15.75" customHeight="1">
      <c r="A86" s="22" t="s">
        <v>800</v>
      </c>
      <c r="B86" s="22" t="s">
        <v>801</v>
      </c>
      <c r="C86" s="22" t="s">
        <v>802</v>
      </c>
      <c r="D86" s="22" t="s">
        <v>803</v>
      </c>
      <c r="E86" s="22" t="s">
        <v>804</v>
      </c>
      <c r="F86" s="22" t="s">
        <v>130</v>
      </c>
      <c r="G86" s="22" t="s">
        <v>805</v>
      </c>
      <c r="H86" s="22" t="s">
        <v>806</v>
      </c>
      <c r="I86" s="22" t="s">
        <v>807</v>
      </c>
      <c r="J86" s="22" t="s">
        <v>57</v>
      </c>
      <c r="K86" s="22" t="s">
        <v>410</v>
      </c>
      <c r="L86" s="22" t="s">
        <v>808</v>
      </c>
      <c r="M86" s="22"/>
      <c r="N86" s="22"/>
      <c r="O86" s="22" t="s">
        <v>137</v>
      </c>
      <c r="P86" s="22"/>
    </row>
    <row r="87" ht="15.75" customHeight="1">
      <c r="A87" s="20" t="s">
        <v>809</v>
      </c>
      <c r="B87" s="20" t="s">
        <v>810</v>
      </c>
      <c r="C87" s="20" t="s">
        <v>811</v>
      </c>
      <c r="D87" s="20" t="s">
        <v>812</v>
      </c>
      <c r="E87" s="20" t="s">
        <v>813</v>
      </c>
      <c r="F87" s="20" t="s">
        <v>101</v>
      </c>
      <c r="G87" s="20" t="s">
        <v>814</v>
      </c>
      <c r="H87" s="20"/>
      <c r="I87" s="20" t="s">
        <v>815</v>
      </c>
      <c r="J87" s="20" t="s">
        <v>57</v>
      </c>
      <c r="K87" s="21" t="s">
        <v>816</v>
      </c>
      <c r="L87" s="21" t="s">
        <v>817</v>
      </c>
      <c r="M87" s="21"/>
      <c r="N87" s="21"/>
      <c r="O87" s="21"/>
      <c r="P87" s="21"/>
    </row>
    <row r="88" ht="15.75" customHeight="1">
      <c r="A88" s="22" t="s">
        <v>818</v>
      </c>
      <c r="B88" s="22" t="s">
        <v>819</v>
      </c>
      <c r="C88" s="22" t="s">
        <v>820</v>
      </c>
      <c r="D88" s="22" t="s">
        <v>821</v>
      </c>
      <c r="E88" s="22" t="s">
        <v>489</v>
      </c>
      <c r="F88" s="22" t="s">
        <v>475</v>
      </c>
      <c r="G88" s="22" t="s">
        <v>822</v>
      </c>
      <c r="H88" s="22" t="s">
        <v>823</v>
      </c>
      <c r="I88" s="22" t="s">
        <v>824</v>
      </c>
      <c r="J88" s="22" t="s">
        <v>57</v>
      </c>
      <c r="K88" s="22" t="s">
        <v>825</v>
      </c>
      <c r="L88" s="22" t="s">
        <v>826</v>
      </c>
      <c r="M88" s="22"/>
      <c r="N88" s="22"/>
      <c r="O88" s="22" t="s">
        <v>137</v>
      </c>
      <c r="P88" s="22"/>
    </row>
    <row r="89" ht="15.75" customHeight="1">
      <c r="A89" s="20" t="s">
        <v>827</v>
      </c>
      <c r="B89" s="20" t="s">
        <v>828</v>
      </c>
      <c r="C89" s="20"/>
      <c r="D89" s="20" t="s">
        <v>829</v>
      </c>
      <c r="E89" s="20" t="s">
        <v>129</v>
      </c>
      <c r="F89" s="20" t="s">
        <v>830</v>
      </c>
      <c r="G89" s="20"/>
      <c r="H89" s="20" t="s">
        <v>831</v>
      </c>
      <c r="I89" s="20" t="s">
        <v>832</v>
      </c>
      <c r="J89" s="20" t="s">
        <v>57</v>
      </c>
      <c r="K89" s="21" t="s">
        <v>833</v>
      </c>
      <c r="L89" s="21" t="s">
        <v>834</v>
      </c>
      <c r="M89" s="21"/>
      <c r="N89" s="21"/>
      <c r="O89" s="21" t="s">
        <v>61</v>
      </c>
      <c r="P89" s="21"/>
    </row>
    <row r="90" ht="15.75" customHeight="1">
      <c r="A90" s="22" t="s">
        <v>835</v>
      </c>
      <c r="B90" s="22" t="s">
        <v>836</v>
      </c>
      <c r="C90" s="22"/>
      <c r="D90" s="22" t="s">
        <v>837</v>
      </c>
      <c r="E90" s="22" t="s">
        <v>395</v>
      </c>
      <c r="F90" s="22" t="s">
        <v>66</v>
      </c>
      <c r="G90" s="22" t="s">
        <v>395</v>
      </c>
      <c r="H90" s="22" t="s">
        <v>838</v>
      </c>
      <c r="I90" s="22" t="s">
        <v>839</v>
      </c>
      <c r="J90" s="22" t="s">
        <v>57</v>
      </c>
      <c r="K90" s="22" t="s">
        <v>840</v>
      </c>
      <c r="L90" s="22" t="s">
        <v>841</v>
      </c>
      <c r="M90" s="22" t="s">
        <v>710</v>
      </c>
      <c r="N90" s="22"/>
      <c r="O90" s="22" t="s">
        <v>501</v>
      </c>
      <c r="P90" s="22" t="s">
        <v>107</v>
      </c>
    </row>
    <row r="91" ht="15.75" customHeight="1">
      <c r="A91" s="20" t="s">
        <v>842</v>
      </c>
      <c r="B91" s="20" t="s">
        <v>843</v>
      </c>
      <c r="C91" s="20" t="s">
        <v>587</v>
      </c>
      <c r="D91" s="20" t="s">
        <v>844</v>
      </c>
      <c r="E91" s="20" t="s">
        <v>845</v>
      </c>
      <c r="F91" s="20" t="s">
        <v>378</v>
      </c>
      <c r="G91" s="20" t="s">
        <v>699</v>
      </c>
      <c r="H91" s="20" t="s">
        <v>591</v>
      </c>
      <c r="I91" s="20" t="s">
        <v>846</v>
      </c>
      <c r="J91" s="20" t="s">
        <v>57</v>
      </c>
      <c r="K91" s="21" t="s">
        <v>847</v>
      </c>
      <c r="L91" s="21" t="s">
        <v>848</v>
      </c>
      <c r="M91" s="21" t="s">
        <v>849</v>
      </c>
      <c r="N91" s="21"/>
      <c r="O91" s="21" t="s">
        <v>86</v>
      </c>
      <c r="P91" s="21" t="s">
        <v>107</v>
      </c>
    </row>
    <row r="92" ht="15.75" customHeight="1">
      <c r="A92" s="22" t="s">
        <v>850</v>
      </c>
      <c r="B92" s="22" t="s">
        <v>851</v>
      </c>
      <c r="C92" s="22"/>
      <c r="D92" s="22" t="s">
        <v>852</v>
      </c>
      <c r="E92" s="22" t="s">
        <v>698</v>
      </c>
      <c r="F92" s="22" t="s">
        <v>378</v>
      </c>
      <c r="G92" s="22" t="s">
        <v>699</v>
      </c>
      <c r="H92" s="22" t="s">
        <v>853</v>
      </c>
      <c r="I92" s="22" t="s">
        <v>854</v>
      </c>
      <c r="J92" s="22" t="s">
        <v>57</v>
      </c>
      <c r="K92" s="22" t="s">
        <v>855</v>
      </c>
      <c r="L92" s="22" t="s">
        <v>856</v>
      </c>
      <c r="M92" s="22" t="s">
        <v>294</v>
      </c>
      <c r="N92" s="22"/>
      <c r="O92" s="22" t="s">
        <v>269</v>
      </c>
      <c r="P92" s="22"/>
    </row>
    <row r="93" ht="15.75" customHeight="1">
      <c r="A93" s="20" t="s">
        <v>857</v>
      </c>
      <c r="B93" s="20"/>
      <c r="C93" s="20"/>
      <c r="D93" s="20" t="s">
        <v>858</v>
      </c>
      <c r="E93" s="20" t="s">
        <v>698</v>
      </c>
      <c r="F93" s="20" t="s">
        <v>378</v>
      </c>
      <c r="G93" s="20" t="s">
        <v>859</v>
      </c>
      <c r="H93" s="20" t="s">
        <v>860</v>
      </c>
      <c r="I93" s="20" t="s">
        <v>861</v>
      </c>
      <c r="J93" s="20" t="s">
        <v>57</v>
      </c>
      <c r="K93" s="21" t="s">
        <v>862</v>
      </c>
      <c r="L93" s="21" t="s">
        <v>863</v>
      </c>
      <c r="M93" s="21"/>
      <c r="N93" s="21"/>
      <c r="O93" s="21"/>
      <c r="P93" s="21"/>
    </row>
    <row r="94" ht="15.75" customHeight="1">
      <c r="A94" s="22" t="s">
        <v>864</v>
      </c>
      <c r="B94" s="22" t="s">
        <v>865</v>
      </c>
      <c r="C94" s="22"/>
      <c r="D94" s="22" t="s">
        <v>866</v>
      </c>
      <c r="E94" s="22" t="s">
        <v>698</v>
      </c>
      <c r="F94" s="22" t="s">
        <v>378</v>
      </c>
      <c r="G94" s="22" t="s">
        <v>867</v>
      </c>
      <c r="H94" s="22" t="s">
        <v>868</v>
      </c>
      <c r="I94" s="22" t="s">
        <v>869</v>
      </c>
      <c r="J94" s="22" t="s">
        <v>57</v>
      </c>
      <c r="K94" s="22" t="s">
        <v>870</v>
      </c>
      <c r="L94" s="22" t="s">
        <v>871</v>
      </c>
      <c r="M94" s="22"/>
      <c r="N94" s="22"/>
      <c r="O94" s="22" t="s">
        <v>648</v>
      </c>
      <c r="P94" s="22"/>
    </row>
    <row r="95" ht="15.75" customHeight="1">
      <c r="A95" s="20" t="s">
        <v>872</v>
      </c>
      <c r="B95" s="20" t="s">
        <v>873</v>
      </c>
      <c r="C95" s="20"/>
      <c r="D95" s="20" t="s">
        <v>874</v>
      </c>
      <c r="E95" s="20" t="s">
        <v>698</v>
      </c>
      <c r="F95" s="20" t="s">
        <v>378</v>
      </c>
      <c r="G95" s="20" t="s">
        <v>875</v>
      </c>
      <c r="H95" s="20" t="s">
        <v>876</v>
      </c>
      <c r="I95" s="20" t="s">
        <v>877</v>
      </c>
      <c r="J95" s="20" t="s">
        <v>57</v>
      </c>
      <c r="K95" s="21" t="s">
        <v>430</v>
      </c>
      <c r="L95" s="21" t="s">
        <v>878</v>
      </c>
      <c r="M95" s="21" t="s">
        <v>879</v>
      </c>
      <c r="N95" s="21"/>
      <c r="O95" s="21" t="s">
        <v>258</v>
      </c>
      <c r="P95" s="21" t="s">
        <v>107</v>
      </c>
    </row>
    <row r="96" ht="15.75" customHeight="1">
      <c r="A96" s="22" t="s">
        <v>880</v>
      </c>
      <c r="B96" s="22" t="s">
        <v>881</v>
      </c>
      <c r="C96" s="22" t="s">
        <v>587</v>
      </c>
      <c r="D96" s="22" t="s">
        <v>882</v>
      </c>
      <c r="E96" s="22" t="s">
        <v>883</v>
      </c>
      <c r="F96" s="22" t="s">
        <v>378</v>
      </c>
      <c r="G96" s="22" t="s">
        <v>699</v>
      </c>
      <c r="H96" s="22" t="s">
        <v>884</v>
      </c>
      <c r="I96" s="22" t="s">
        <v>885</v>
      </c>
      <c r="J96" s="22" t="s">
        <v>57</v>
      </c>
      <c r="K96" s="22" t="s">
        <v>886</v>
      </c>
      <c r="L96" s="22" t="s">
        <v>84</v>
      </c>
      <c r="M96" s="22" t="s">
        <v>887</v>
      </c>
      <c r="N96" s="22"/>
      <c r="O96" s="22" t="s">
        <v>185</v>
      </c>
      <c r="P96" s="22" t="s">
        <v>107</v>
      </c>
    </row>
    <row r="97" ht="15.75" customHeight="1">
      <c r="A97" s="20" t="s">
        <v>888</v>
      </c>
      <c r="B97" s="20"/>
      <c r="C97" s="20"/>
      <c r="D97" s="20" t="s">
        <v>889</v>
      </c>
      <c r="E97" s="20" t="s">
        <v>890</v>
      </c>
      <c r="F97" s="20" t="s">
        <v>79</v>
      </c>
      <c r="G97" s="20" t="s">
        <v>891</v>
      </c>
      <c r="H97" s="20" t="s">
        <v>892</v>
      </c>
      <c r="I97" s="20" t="s">
        <v>893</v>
      </c>
      <c r="J97" s="20" t="s">
        <v>57</v>
      </c>
      <c r="K97" s="21" t="s">
        <v>894</v>
      </c>
      <c r="L97" s="21" t="s">
        <v>895</v>
      </c>
      <c r="M97" s="21" t="s">
        <v>195</v>
      </c>
      <c r="N97" s="21"/>
      <c r="O97" s="21" t="s">
        <v>501</v>
      </c>
      <c r="P97" s="21"/>
    </row>
    <row r="98" ht="15.75" customHeight="1">
      <c r="A98" s="22" t="s">
        <v>896</v>
      </c>
      <c r="B98" s="22" t="s">
        <v>897</v>
      </c>
      <c r="C98" s="22"/>
      <c r="D98" s="22" t="s">
        <v>898</v>
      </c>
      <c r="E98" s="22" t="s">
        <v>231</v>
      </c>
      <c r="F98" s="22" t="s">
        <v>79</v>
      </c>
      <c r="G98" s="22" t="s">
        <v>231</v>
      </c>
      <c r="H98" s="22" t="s">
        <v>899</v>
      </c>
      <c r="I98" s="22" t="s">
        <v>900</v>
      </c>
      <c r="J98" s="22" t="s">
        <v>57</v>
      </c>
      <c r="K98" s="22" t="s">
        <v>901</v>
      </c>
      <c r="L98" s="22" t="s">
        <v>84</v>
      </c>
      <c r="M98" s="22" t="s">
        <v>902</v>
      </c>
      <c r="N98" s="22"/>
      <c r="O98" s="22" t="s">
        <v>450</v>
      </c>
      <c r="P98" s="22"/>
    </row>
    <row r="99" ht="15.75" customHeight="1">
      <c r="A99" s="20" t="s">
        <v>903</v>
      </c>
      <c r="B99" s="20" t="s">
        <v>904</v>
      </c>
      <c r="C99" s="20" t="s">
        <v>905</v>
      </c>
      <c r="D99" s="20" t="s">
        <v>906</v>
      </c>
      <c r="E99" s="20" t="s">
        <v>55</v>
      </c>
      <c r="F99" s="20" t="s">
        <v>91</v>
      </c>
      <c r="G99" s="20" t="s">
        <v>907</v>
      </c>
      <c r="H99" s="20" t="s">
        <v>908</v>
      </c>
      <c r="I99" s="20" t="s">
        <v>909</v>
      </c>
      <c r="J99" s="20" t="s">
        <v>57</v>
      </c>
      <c r="K99" s="21" t="s">
        <v>910</v>
      </c>
      <c r="L99" s="21" t="s">
        <v>911</v>
      </c>
      <c r="M99" s="21" t="s">
        <v>710</v>
      </c>
      <c r="N99" s="21"/>
      <c r="O99" s="21" t="s">
        <v>501</v>
      </c>
      <c r="P99" s="21"/>
    </row>
    <row r="100" ht="15.75" customHeight="1">
      <c r="A100" s="22" t="s">
        <v>912</v>
      </c>
      <c r="B100" s="22" t="s">
        <v>913</v>
      </c>
      <c r="C100" s="22" t="s">
        <v>914</v>
      </c>
      <c r="D100" s="22" t="s">
        <v>915</v>
      </c>
      <c r="E100" s="22" t="s">
        <v>916</v>
      </c>
      <c r="F100" s="22" t="s">
        <v>79</v>
      </c>
      <c r="G100" s="22"/>
      <c r="H100" s="22" t="s">
        <v>917</v>
      </c>
      <c r="I100" s="22" t="s">
        <v>918</v>
      </c>
      <c r="J100" s="22" t="s">
        <v>57</v>
      </c>
      <c r="K100" s="22" t="s">
        <v>919</v>
      </c>
      <c r="L100" s="22" t="s">
        <v>920</v>
      </c>
      <c r="M100" s="22" t="s">
        <v>921</v>
      </c>
      <c r="N100" s="22"/>
      <c r="O100" s="22" t="s">
        <v>648</v>
      </c>
      <c r="P100" s="22"/>
    </row>
    <row r="101" ht="15.75" customHeight="1">
      <c r="A101" s="20" t="s">
        <v>922</v>
      </c>
      <c r="B101" s="20" t="s">
        <v>923</v>
      </c>
      <c r="C101" s="20" t="s">
        <v>924</v>
      </c>
      <c r="D101" s="20" t="s">
        <v>925</v>
      </c>
      <c r="E101" s="20" t="s">
        <v>926</v>
      </c>
      <c r="F101" s="20" t="s">
        <v>112</v>
      </c>
      <c r="G101" s="20" t="s">
        <v>927</v>
      </c>
      <c r="H101" s="20" t="s">
        <v>928</v>
      </c>
      <c r="I101" s="20" t="s">
        <v>929</v>
      </c>
      <c r="J101" s="20" t="s">
        <v>57</v>
      </c>
      <c r="K101" s="21" t="s">
        <v>930</v>
      </c>
      <c r="L101" s="21" t="s">
        <v>84</v>
      </c>
      <c r="M101" s="21" t="s">
        <v>531</v>
      </c>
      <c r="N101" s="21"/>
      <c r="O101" s="21" t="s">
        <v>137</v>
      </c>
      <c r="P101" s="21"/>
    </row>
    <row r="102" ht="15.75" customHeight="1">
      <c r="A102" s="22" t="s">
        <v>931</v>
      </c>
      <c r="B102" s="22" t="s">
        <v>932</v>
      </c>
      <c r="C102" s="22" t="s">
        <v>933</v>
      </c>
      <c r="D102" s="22" t="s">
        <v>934</v>
      </c>
      <c r="E102" s="22" t="s">
        <v>935</v>
      </c>
      <c r="F102" s="22" t="s">
        <v>101</v>
      </c>
      <c r="G102" s="22" t="s">
        <v>936</v>
      </c>
      <c r="H102" s="22" t="s">
        <v>937</v>
      </c>
      <c r="I102" s="22" t="s">
        <v>938</v>
      </c>
      <c r="J102" s="22" t="s">
        <v>57</v>
      </c>
      <c r="K102" s="22" t="s">
        <v>939</v>
      </c>
      <c r="L102" s="22" t="s">
        <v>940</v>
      </c>
      <c r="M102" s="22" t="s">
        <v>941</v>
      </c>
      <c r="N102" s="22"/>
      <c r="O102" s="22" t="s">
        <v>213</v>
      </c>
      <c r="P102" s="22"/>
    </row>
    <row r="103" ht="15.75" customHeight="1">
      <c r="A103" s="20" t="s">
        <v>942</v>
      </c>
      <c r="B103" s="20" t="s">
        <v>943</v>
      </c>
      <c r="C103" s="20" t="s">
        <v>944</v>
      </c>
      <c r="D103" s="20" t="s">
        <v>945</v>
      </c>
      <c r="E103" s="20" t="s">
        <v>946</v>
      </c>
      <c r="F103" s="20" t="s">
        <v>101</v>
      </c>
      <c r="G103" s="20" t="s">
        <v>947</v>
      </c>
      <c r="H103" s="20" t="s">
        <v>948</v>
      </c>
      <c r="I103" s="20" t="s">
        <v>949</v>
      </c>
      <c r="J103" s="20" t="s">
        <v>57</v>
      </c>
      <c r="K103" s="21" t="s">
        <v>950</v>
      </c>
      <c r="L103" s="21" t="s">
        <v>834</v>
      </c>
      <c r="M103" s="21"/>
      <c r="N103" s="21"/>
      <c r="O103" s="21" t="s">
        <v>951</v>
      </c>
      <c r="P103" s="21" t="s">
        <v>107</v>
      </c>
    </row>
    <row r="104" ht="15.75" customHeight="1">
      <c r="A104" s="22" t="s">
        <v>952</v>
      </c>
      <c r="B104" s="22" t="s">
        <v>953</v>
      </c>
      <c r="C104" s="22"/>
      <c r="D104" s="22" t="s">
        <v>954</v>
      </c>
      <c r="E104" s="22" t="s">
        <v>231</v>
      </c>
      <c r="F104" s="22" t="s">
        <v>79</v>
      </c>
      <c r="G104" s="22" t="s">
        <v>955</v>
      </c>
      <c r="H104" s="22" t="s">
        <v>956</v>
      </c>
      <c r="I104" s="22" t="s">
        <v>957</v>
      </c>
      <c r="J104" s="22" t="s">
        <v>57</v>
      </c>
      <c r="K104" s="22" t="s">
        <v>950</v>
      </c>
      <c r="L104" s="22" t="s">
        <v>958</v>
      </c>
      <c r="M104" s="22"/>
      <c r="N104" s="22"/>
      <c r="O104" s="22" t="s">
        <v>226</v>
      </c>
      <c r="P104" s="22"/>
    </row>
    <row r="105" ht="15.75" customHeight="1">
      <c r="A105" s="20" t="s">
        <v>959</v>
      </c>
      <c r="B105" s="20" t="s">
        <v>960</v>
      </c>
      <c r="C105" s="20" t="s">
        <v>961</v>
      </c>
      <c r="D105" s="20" t="s">
        <v>962</v>
      </c>
      <c r="E105" s="20" t="s">
        <v>963</v>
      </c>
      <c r="F105" s="20" t="s">
        <v>79</v>
      </c>
      <c r="G105" s="20" t="s">
        <v>964</v>
      </c>
      <c r="H105" s="20" t="s">
        <v>965</v>
      </c>
      <c r="I105" s="20" t="s">
        <v>966</v>
      </c>
      <c r="J105" s="20" t="s">
        <v>57</v>
      </c>
      <c r="K105" s="21" t="s">
        <v>105</v>
      </c>
      <c r="L105" s="21" t="s">
        <v>84</v>
      </c>
      <c r="M105" s="21"/>
      <c r="N105" s="21"/>
      <c r="O105" s="21"/>
      <c r="P105" s="21"/>
    </row>
    <row r="106" ht="15.75" customHeight="1">
      <c r="A106" s="22" t="s">
        <v>967</v>
      </c>
      <c r="B106" s="22" t="s">
        <v>968</v>
      </c>
      <c r="C106" s="22"/>
      <c r="D106" s="22" t="s">
        <v>969</v>
      </c>
      <c r="E106" s="22" t="s">
        <v>970</v>
      </c>
      <c r="F106" s="22" t="s">
        <v>130</v>
      </c>
      <c r="G106" s="22" t="s">
        <v>971</v>
      </c>
      <c r="H106" s="22" t="s">
        <v>972</v>
      </c>
      <c r="I106" s="22" t="s">
        <v>973</v>
      </c>
      <c r="J106" s="22" t="s">
        <v>57</v>
      </c>
      <c r="K106" s="22" t="s">
        <v>974</v>
      </c>
      <c r="L106" s="22" t="s">
        <v>975</v>
      </c>
      <c r="M106" s="22" t="s">
        <v>710</v>
      </c>
      <c r="N106" s="22"/>
      <c r="O106" s="22" t="s">
        <v>450</v>
      </c>
      <c r="P106" s="22"/>
    </row>
    <row r="107" ht="15.75" customHeight="1">
      <c r="A107" s="20" t="s">
        <v>976</v>
      </c>
      <c r="B107" s="20" t="s">
        <v>977</v>
      </c>
      <c r="C107" s="20"/>
      <c r="D107" s="20" t="s">
        <v>978</v>
      </c>
      <c r="E107" s="20" t="s">
        <v>979</v>
      </c>
      <c r="F107" s="20" t="s">
        <v>101</v>
      </c>
      <c r="G107" s="20" t="s">
        <v>980</v>
      </c>
      <c r="H107" s="20" t="s">
        <v>981</v>
      </c>
      <c r="I107" s="20" t="s">
        <v>982</v>
      </c>
      <c r="J107" s="20" t="s">
        <v>57</v>
      </c>
      <c r="K107" s="21" t="s">
        <v>983</v>
      </c>
      <c r="L107" s="21" t="s">
        <v>984</v>
      </c>
      <c r="M107" s="21" t="s">
        <v>985</v>
      </c>
      <c r="N107" s="21"/>
      <c r="O107" s="21" t="s">
        <v>137</v>
      </c>
      <c r="P107" s="21"/>
    </row>
    <row r="108" ht="15.75" customHeight="1">
      <c r="A108" s="22" t="s">
        <v>986</v>
      </c>
      <c r="B108" s="22" t="s">
        <v>987</v>
      </c>
      <c r="C108" s="22"/>
      <c r="D108" s="22" t="s">
        <v>988</v>
      </c>
      <c r="E108" s="22" t="s">
        <v>231</v>
      </c>
      <c r="F108" s="22" t="s">
        <v>79</v>
      </c>
      <c r="G108" s="22" t="s">
        <v>668</v>
      </c>
      <c r="H108" s="22"/>
      <c r="I108" s="22" t="s">
        <v>989</v>
      </c>
      <c r="J108" s="22" t="s">
        <v>57</v>
      </c>
      <c r="K108" s="22" t="s">
        <v>740</v>
      </c>
      <c r="L108" s="22" t="s">
        <v>84</v>
      </c>
      <c r="M108" s="22"/>
      <c r="N108" s="22"/>
      <c r="O108" s="22"/>
      <c r="P108" s="22"/>
    </row>
    <row r="109" ht="15.75" customHeight="1">
      <c r="A109" s="20" t="s">
        <v>990</v>
      </c>
      <c r="B109" s="20" t="s">
        <v>991</v>
      </c>
      <c r="C109" s="20"/>
      <c r="D109" s="20" t="s">
        <v>992</v>
      </c>
      <c r="E109" s="20" t="s">
        <v>231</v>
      </c>
      <c r="F109" s="20" t="s">
        <v>79</v>
      </c>
      <c r="G109" s="20" t="s">
        <v>993</v>
      </c>
      <c r="H109" s="20"/>
      <c r="I109" s="20" t="s">
        <v>994</v>
      </c>
      <c r="J109" s="20" t="s">
        <v>57</v>
      </c>
      <c r="K109" s="21" t="s">
        <v>410</v>
      </c>
      <c r="L109" s="21" t="s">
        <v>995</v>
      </c>
      <c r="M109" s="21"/>
      <c r="N109" s="21"/>
      <c r="O109" s="21" t="s">
        <v>269</v>
      </c>
      <c r="P109" s="21"/>
    </row>
    <row r="110" ht="15.75" customHeight="1">
      <c r="A110" s="22" t="s">
        <v>996</v>
      </c>
      <c r="B110" s="22" t="s">
        <v>997</v>
      </c>
      <c r="C110" s="22" t="s">
        <v>998</v>
      </c>
      <c r="D110" s="22" t="s">
        <v>999</v>
      </c>
      <c r="E110" s="22" t="s">
        <v>1000</v>
      </c>
      <c r="F110" s="22" t="s">
        <v>66</v>
      </c>
      <c r="G110" s="22" t="s">
        <v>1001</v>
      </c>
      <c r="H110" s="22" t="s">
        <v>1002</v>
      </c>
      <c r="I110" s="22" t="s">
        <v>1003</v>
      </c>
      <c r="J110" s="22" t="s">
        <v>57</v>
      </c>
      <c r="K110" s="22" t="s">
        <v>1004</v>
      </c>
      <c r="L110" s="22" t="s">
        <v>1005</v>
      </c>
      <c r="M110" s="22" t="s">
        <v>147</v>
      </c>
      <c r="N110" s="22"/>
      <c r="O110" s="22" t="s">
        <v>148</v>
      </c>
      <c r="P110" s="22" t="s">
        <v>107</v>
      </c>
    </row>
    <row r="111" ht="15.75" customHeight="1">
      <c r="A111" s="20" t="s">
        <v>1006</v>
      </c>
      <c r="B111" s="20" t="s">
        <v>1007</v>
      </c>
      <c r="C111" s="20"/>
      <c r="D111" s="20" t="s">
        <v>1008</v>
      </c>
      <c r="E111" s="20" t="s">
        <v>1009</v>
      </c>
      <c r="F111" s="20" t="s">
        <v>79</v>
      </c>
      <c r="G111" s="20" t="s">
        <v>1010</v>
      </c>
      <c r="H111" s="20"/>
      <c r="I111" s="20"/>
      <c r="J111" s="20" t="s">
        <v>57</v>
      </c>
      <c r="K111" s="21" t="s">
        <v>248</v>
      </c>
      <c r="L111" s="21" t="s">
        <v>84</v>
      </c>
      <c r="M111" s="21"/>
      <c r="N111" s="21"/>
      <c r="O111" s="21"/>
      <c r="P111" s="21"/>
    </row>
    <row r="112" ht="15.75" customHeight="1">
      <c r="A112" s="22" t="s">
        <v>1011</v>
      </c>
      <c r="B112" s="22"/>
      <c r="C112" s="22" t="s">
        <v>1012</v>
      </c>
      <c r="D112" s="22" t="s">
        <v>1013</v>
      </c>
      <c r="E112" s="22" t="s">
        <v>1014</v>
      </c>
      <c r="F112" s="22" t="s">
        <v>101</v>
      </c>
      <c r="G112" s="22" t="s">
        <v>1015</v>
      </c>
      <c r="H112" s="22" t="s">
        <v>1016</v>
      </c>
      <c r="I112" s="22" t="s">
        <v>1017</v>
      </c>
      <c r="J112" s="22" t="s">
        <v>57</v>
      </c>
      <c r="K112" s="22" t="s">
        <v>430</v>
      </c>
      <c r="L112" s="22" t="s">
        <v>762</v>
      </c>
      <c r="M112" s="22" t="s">
        <v>85</v>
      </c>
      <c r="N112" s="22"/>
      <c r="O112" s="22" t="s">
        <v>159</v>
      </c>
      <c r="P112" s="22"/>
    </row>
    <row r="113" ht="15.75" customHeight="1">
      <c r="A113" s="20" t="s">
        <v>1018</v>
      </c>
      <c r="B113" s="20" t="s">
        <v>1019</v>
      </c>
      <c r="C113" s="20" t="s">
        <v>1020</v>
      </c>
      <c r="D113" s="20" t="s">
        <v>1021</v>
      </c>
      <c r="E113" s="20" t="s">
        <v>731</v>
      </c>
      <c r="F113" s="20" t="s">
        <v>378</v>
      </c>
      <c r="G113" s="20" t="s">
        <v>1022</v>
      </c>
      <c r="H113" s="20" t="s">
        <v>1023</v>
      </c>
      <c r="I113" s="20" t="s">
        <v>1024</v>
      </c>
      <c r="J113" s="20" t="s">
        <v>57</v>
      </c>
      <c r="K113" s="21" t="s">
        <v>1025</v>
      </c>
      <c r="L113" s="21" t="s">
        <v>1026</v>
      </c>
      <c r="M113" s="21" t="s">
        <v>278</v>
      </c>
      <c r="N113" s="21"/>
      <c r="O113" s="21" t="s">
        <v>73</v>
      </c>
      <c r="P113" s="21"/>
    </row>
    <row r="114" ht="15.75" customHeight="1">
      <c r="A114" s="22" t="s">
        <v>1027</v>
      </c>
      <c r="B114" s="22" t="s">
        <v>1028</v>
      </c>
      <c r="C114" s="22" t="s">
        <v>1029</v>
      </c>
      <c r="D114" s="22" t="s">
        <v>1030</v>
      </c>
      <c r="E114" s="22" t="s">
        <v>1031</v>
      </c>
      <c r="F114" s="22" t="s">
        <v>101</v>
      </c>
      <c r="G114" s="22"/>
      <c r="H114" s="22" t="s">
        <v>1032</v>
      </c>
      <c r="I114" s="22" t="s">
        <v>1033</v>
      </c>
      <c r="J114" s="22" t="s">
        <v>57</v>
      </c>
      <c r="K114" s="22" t="s">
        <v>430</v>
      </c>
      <c r="L114" s="22" t="s">
        <v>1034</v>
      </c>
      <c r="M114" s="22"/>
      <c r="N114" s="22"/>
      <c r="O114" s="22" t="s">
        <v>61</v>
      </c>
      <c r="P114" s="22" t="s">
        <v>107</v>
      </c>
    </row>
    <row r="115" ht="15.75" customHeight="1">
      <c r="A115" s="20" t="s">
        <v>1035</v>
      </c>
      <c r="B115" s="20" t="s">
        <v>1036</v>
      </c>
      <c r="C115" s="20"/>
      <c r="D115" s="20" t="s">
        <v>1037</v>
      </c>
      <c r="E115" s="20" t="s">
        <v>1038</v>
      </c>
      <c r="F115" s="20" t="s">
        <v>101</v>
      </c>
      <c r="G115" s="20" t="s">
        <v>1039</v>
      </c>
      <c r="H115" s="20" t="s">
        <v>1040</v>
      </c>
      <c r="I115" s="20" t="s">
        <v>1041</v>
      </c>
      <c r="J115" s="20" t="s">
        <v>57</v>
      </c>
      <c r="K115" s="21" t="s">
        <v>1042</v>
      </c>
      <c r="L115" s="21" t="s">
        <v>1043</v>
      </c>
      <c r="M115" s="21" t="s">
        <v>1044</v>
      </c>
      <c r="N115" s="21"/>
      <c r="O115" s="21" t="s">
        <v>73</v>
      </c>
      <c r="P115" s="21"/>
    </row>
    <row r="116" ht="15.75" customHeight="1">
      <c r="A116" s="22" t="s">
        <v>1045</v>
      </c>
      <c r="B116" s="22" t="s">
        <v>1046</v>
      </c>
      <c r="C116" s="22" t="s">
        <v>1047</v>
      </c>
      <c r="D116" s="22" t="s">
        <v>1048</v>
      </c>
      <c r="E116" s="22" t="s">
        <v>1049</v>
      </c>
      <c r="F116" s="22" t="s">
        <v>263</v>
      </c>
      <c r="G116" s="22" t="s">
        <v>1050</v>
      </c>
      <c r="H116" s="22" t="s">
        <v>1051</v>
      </c>
      <c r="I116" s="22" t="s">
        <v>1052</v>
      </c>
      <c r="J116" s="22" t="s">
        <v>57</v>
      </c>
      <c r="K116" s="22" t="s">
        <v>1053</v>
      </c>
      <c r="L116" s="22" t="s">
        <v>84</v>
      </c>
      <c r="M116" s="22" t="s">
        <v>941</v>
      </c>
      <c r="N116" s="22"/>
      <c r="O116" s="22" t="s">
        <v>359</v>
      </c>
      <c r="P116" s="22"/>
    </row>
    <row r="117" ht="15.75" customHeight="1">
      <c r="A117" s="20" t="s">
        <v>1054</v>
      </c>
      <c r="B117" s="20" t="s">
        <v>1055</v>
      </c>
      <c r="C117" s="20" t="s">
        <v>1056</v>
      </c>
      <c r="D117" s="20" t="s">
        <v>1057</v>
      </c>
      <c r="E117" s="20" t="s">
        <v>231</v>
      </c>
      <c r="F117" s="20" t="s">
        <v>79</v>
      </c>
      <c r="G117" s="20" t="s">
        <v>1058</v>
      </c>
      <c r="H117" s="20" t="s">
        <v>1059</v>
      </c>
      <c r="I117" s="20" t="s">
        <v>1060</v>
      </c>
      <c r="J117" s="20" t="s">
        <v>57</v>
      </c>
      <c r="K117" s="21" t="s">
        <v>105</v>
      </c>
      <c r="L117" s="21" t="s">
        <v>583</v>
      </c>
      <c r="M117" s="21"/>
      <c r="N117" s="21"/>
      <c r="O117" s="21"/>
      <c r="P117" s="21" t="s">
        <v>107</v>
      </c>
    </row>
    <row r="118" ht="15.75" customHeight="1">
      <c r="A118" s="22" t="s">
        <v>1061</v>
      </c>
      <c r="B118" s="22" t="s">
        <v>1062</v>
      </c>
      <c r="C118" s="22" t="s">
        <v>1063</v>
      </c>
      <c r="D118" s="22" t="s">
        <v>1064</v>
      </c>
      <c r="E118" s="22" t="s">
        <v>1065</v>
      </c>
      <c r="F118" s="22" t="s">
        <v>79</v>
      </c>
      <c r="G118" s="22" t="s">
        <v>1066</v>
      </c>
      <c r="H118" s="22" t="s">
        <v>1067</v>
      </c>
      <c r="I118" s="22" t="s">
        <v>1068</v>
      </c>
      <c r="J118" s="22" t="s">
        <v>57</v>
      </c>
      <c r="K118" s="22" t="s">
        <v>1069</v>
      </c>
      <c r="L118" s="22" t="s">
        <v>762</v>
      </c>
      <c r="M118" s="22" t="s">
        <v>1070</v>
      </c>
      <c r="N118" s="22"/>
      <c r="O118" s="22" t="s">
        <v>185</v>
      </c>
      <c r="P118" s="22"/>
    </row>
    <row r="119" ht="15.75" customHeight="1">
      <c r="A119" s="20" t="s">
        <v>1071</v>
      </c>
      <c r="B119" s="20" t="s">
        <v>1072</v>
      </c>
      <c r="C119" s="20"/>
      <c r="D119" s="20" t="s">
        <v>1073</v>
      </c>
      <c r="E119" s="20" t="s">
        <v>1074</v>
      </c>
      <c r="F119" s="20" t="s">
        <v>101</v>
      </c>
      <c r="G119" s="20" t="s">
        <v>1075</v>
      </c>
      <c r="H119" s="20"/>
      <c r="I119" s="20"/>
      <c r="J119" s="20" t="s">
        <v>57</v>
      </c>
      <c r="K119" s="21" t="s">
        <v>105</v>
      </c>
      <c r="L119" s="21" t="s">
        <v>1076</v>
      </c>
      <c r="M119" s="21"/>
      <c r="N119" s="21"/>
      <c r="O119" s="21"/>
      <c r="P119" s="21"/>
    </row>
    <row r="120" ht="15.75" customHeight="1">
      <c r="A120" s="22" t="s">
        <v>1077</v>
      </c>
      <c r="B120" s="22" t="s">
        <v>1078</v>
      </c>
      <c r="C120" s="22"/>
      <c r="D120" s="22" t="s">
        <v>1079</v>
      </c>
      <c r="E120" s="22" t="s">
        <v>759</v>
      </c>
      <c r="F120" s="22" t="s">
        <v>101</v>
      </c>
      <c r="G120" s="22" t="s">
        <v>1080</v>
      </c>
      <c r="H120" s="22" t="s">
        <v>1081</v>
      </c>
      <c r="I120" s="22" t="s">
        <v>1082</v>
      </c>
      <c r="J120" s="22" t="s">
        <v>57</v>
      </c>
      <c r="K120" s="22" t="s">
        <v>248</v>
      </c>
      <c r="L120" s="22" t="s">
        <v>1083</v>
      </c>
      <c r="M120" s="22" t="s">
        <v>710</v>
      </c>
      <c r="N120" s="22"/>
      <c r="O120" s="22" t="s">
        <v>1084</v>
      </c>
      <c r="P120" s="22" t="s">
        <v>107</v>
      </c>
    </row>
    <row r="121" ht="15.75" customHeight="1">
      <c r="A121" s="20" t="s">
        <v>1085</v>
      </c>
      <c r="B121" s="20" t="s">
        <v>1086</v>
      </c>
      <c r="C121" s="20" t="s">
        <v>1087</v>
      </c>
      <c r="D121" s="20" t="s">
        <v>1088</v>
      </c>
      <c r="E121" s="20" t="s">
        <v>100</v>
      </c>
      <c r="F121" s="20" t="s">
        <v>101</v>
      </c>
      <c r="G121" s="20"/>
      <c r="H121" s="20" t="s">
        <v>1089</v>
      </c>
      <c r="I121" s="20" t="s">
        <v>1090</v>
      </c>
      <c r="J121" s="20" t="s">
        <v>57</v>
      </c>
      <c r="K121" s="21" t="s">
        <v>1091</v>
      </c>
      <c r="L121" s="21" t="s">
        <v>1092</v>
      </c>
      <c r="M121" s="21" t="s">
        <v>710</v>
      </c>
      <c r="N121" s="21"/>
      <c r="O121" s="21" t="s">
        <v>1093</v>
      </c>
      <c r="P121" s="21"/>
    </row>
    <row r="122" ht="15.75" customHeight="1">
      <c r="A122" s="22" t="s">
        <v>1094</v>
      </c>
      <c r="B122" s="22" t="s">
        <v>1095</v>
      </c>
      <c r="C122" s="22"/>
      <c r="D122" s="22" t="s">
        <v>1096</v>
      </c>
      <c r="E122" s="22" t="s">
        <v>1097</v>
      </c>
      <c r="F122" s="22" t="s">
        <v>79</v>
      </c>
      <c r="G122" s="22"/>
      <c r="H122" s="22" t="s">
        <v>1098</v>
      </c>
      <c r="I122" s="22" t="s">
        <v>1099</v>
      </c>
      <c r="J122" s="22" t="s">
        <v>57</v>
      </c>
      <c r="K122" s="22" t="s">
        <v>1100</v>
      </c>
      <c r="L122" s="22" t="s">
        <v>657</v>
      </c>
      <c r="M122" s="22" t="s">
        <v>225</v>
      </c>
      <c r="N122" s="22"/>
      <c r="O122" s="22" t="s">
        <v>185</v>
      </c>
      <c r="P122" s="22"/>
    </row>
    <row r="123" ht="15.75" customHeight="1">
      <c r="A123" s="20" t="s">
        <v>1101</v>
      </c>
      <c r="B123" s="20" t="s">
        <v>1102</v>
      </c>
      <c r="C123" s="20" t="s">
        <v>1103</v>
      </c>
      <c r="D123" s="20" t="s">
        <v>1104</v>
      </c>
      <c r="E123" s="20" t="s">
        <v>1105</v>
      </c>
      <c r="F123" s="20" t="s">
        <v>253</v>
      </c>
      <c r="G123" s="20" t="s">
        <v>1106</v>
      </c>
      <c r="H123" s="20" t="s">
        <v>1107</v>
      </c>
      <c r="I123" s="20" t="s">
        <v>1108</v>
      </c>
      <c r="J123" s="20" t="s">
        <v>57</v>
      </c>
      <c r="K123" s="21" t="s">
        <v>124</v>
      </c>
      <c r="L123" s="21" t="s">
        <v>84</v>
      </c>
      <c r="M123" s="21"/>
      <c r="N123" s="21"/>
      <c r="O123" s="21" t="s">
        <v>86</v>
      </c>
      <c r="P123" s="21"/>
    </row>
    <row r="124" ht="15.75" customHeight="1">
      <c r="A124" s="22" t="s">
        <v>1109</v>
      </c>
      <c r="B124" s="22"/>
      <c r="C124" s="22"/>
      <c r="D124" s="22" t="s">
        <v>1110</v>
      </c>
      <c r="E124" s="22" t="s">
        <v>1111</v>
      </c>
      <c r="F124" s="22" t="s">
        <v>101</v>
      </c>
      <c r="G124" s="22" t="s">
        <v>1112</v>
      </c>
      <c r="H124" s="22" t="s">
        <v>1113</v>
      </c>
      <c r="I124" s="22" t="s">
        <v>1114</v>
      </c>
      <c r="J124" s="22" t="s">
        <v>57</v>
      </c>
      <c r="K124" s="22" t="s">
        <v>1115</v>
      </c>
      <c r="L124" s="22" t="s">
        <v>1116</v>
      </c>
      <c r="M124" s="22"/>
      <c r="N124" s="22"/>
      <c r="O124" s="22" t="s">
        <v>73</v>
      </c>
      <c r="P124" s="22"/>
    </row>
    <row r="125" ht="15.75" customHeight="1">
      <c r="A125" s="20" t="s">
        <v>1117</v>
      </c>
      <c r="B125" s="20" t="s">
        <v>1118</v>
      </c>
      <c r="C125" s="20" t="s">
        <v>1119</v>
      </c>
      <c r="D125" s="20" t="s">
        <v>1120</v>
      </c>
      <c r="E125" s="20" t="s">
        <v>1121</v>
      </c>
      <c r="F125" s="20" t="s">
        <v>352</v>
      </c>
      <c r="G125" s="20"/>
      <c r="H125" s="20" t="s">
        <v>1122</v>
      </c>
      <c r="I125" s="20" t="s">
        <v>1123</v>
      </c>
      <c r="J125" s="20" t="s">
        <v>57</v>
      </c>
      <c r="K125" s="21" t="s">
        <v>1124</v>
      </c>
      <c r="L125" s="21" t="s">
        <v>1125</v>
      </c>
      <c r="M125" s="21" t="s">
        <v>304</v>
      </c>
      <c r="N125" s="21"/>
      <c r="O125" s="21" t="s">
        <v>148</v>
      </c>
      <c r="P125" s="21"/>
    </row>
    <row r="126" ht="15.75" customHeight="1">
      <c r="A126" s="22" t="s">
        <v>1126</v>
      </c>
      <c r="B126" s="22" t="s">
        <v>1127</v>
      </c>
      <c r="C126" s="22" t="s">
        <v>1056</v>
      </c>
      <c r="D126" s="22" t="s">
        <v>1128</v>
      </c>
      <c r="E126" s="22" t="s">
        <v>1129</v>
      </c>
      <c r="F126" s="22" t="s">
        <v>79</v>
      </c>
      <c r="G126" s="22" t="s">
        <v>1112</v>
      </c>
      <c r="H126" s="22" t="s">
        <v>1130</v>
      </c>
      <c r="I126" s="22" t="s">
        <v>1131</v>
      </c>
      <c r="J126" s="22" t="s">
        <v>57</v>
      </c>
      <c r="K126" s="22" t="s">
        <v>430</v>
      </c>
      <c r="L126" s="22" t="s">
        <v>1132</v>
      </c>
      <c r="M126" s="22" t="s">
        <v>1133</v>
      </c>
      <c r="N126" s="22"/>
      <c r="O126" s="22" t="s">
        <v>1134</v>
      </c>
      <c r="P126" s="22" t="s">
        <v>107</v>
      </c>
    </row>
    <row r="127" ht="15.75" customHeight="1">
      <c r="A127" s="20" t="s">
        <v>1135</v>
      </c>
      <c r="B127" s="20" t="s">
        <v>1136</v>
      </c>
      <c r="C127" s="20"/>
      <c r="D127" s="20" t="s">
        <v>1137</v>
      </c>
      <c r="E127" s="20" t="s">
        <v>1138</v>
      </c>
      <c r="F127" s="20" t="s">
        <v>352</v>
      </c>
      <c r="G127" s="20" t="s">
        <v>1139</v>
      </c>
      <c r="H127" s="20" t="s">
        <v>1140</v>
      </c>
      <c r="I127" s="20" t="s">
        <v>1141</v>
      </c>
      <c r="J127" s="20" t="s">
        <v>57</v>
      </c>
      <c r="K127" s="21" t="s">
        <v>257</v>
      </c>
      <c r="L127" s="21" t="s">
        <v>1142</v>
      </c>
      <c r="M127" s="21" t="s">
        <v>268</v>
      </c>
      <c r="N127" s="21"/>
      <c r="O127" s="21" t="s">
        <v>61</v>
      </c>
      <c r="P127" s="21"/>
    </row>
    <row r="128" ht="15.75" customHeight="1">
      <c r="A128" s="22" t="s">
        <v>1143</v>
      </c>
      <c r="B128" s="22" t="s">
        <v>1144</v>
      </c>
      <c r="C128" s="22"/>
      <c r="D128" s="22" t="s">
        <v>1145</v>
      </c>
      <c r="E128" s="22" t="s">
        <v>231</v>
      </c>
      <c r="F128" s="22" t="s">
        <v>79</v>
      </c>
      <c r="G128" s="22" t="s">
        <v>1146</v>
      </c>
      <c r="H128" s="22" t="s">
        <v>1147</v>
      </c>
      <c r="I128" s="22" t="s">
        <v>1148</v>
      </c>
      <c r="J128" s="22" t="s">
        <v>57</v>
      </c>
      <c r="K128" s="22" t="s">
        <v>1149</v>
      </c>
      <c r="L128" s="22" t="s">
        <v>1150</v>
      </c>
      <c r="M128" s="22" t="s">
        <v>1151</v>
      </c>
      <c r="N128" s="22"/>
      <c r="O128" s="22" t="s">
        <v>258</v>
      </c>
      <c r="P128" s="22"/>
    </row>
    <row r="129" ht="15.75" customHeight="1">
      <c r="A129" s="20" t="s">
        <v>1152</v>
      </c>
      <c r="B129" s="20" t="s">
        <v>1153</v>
      </c>
      <c r="C129" s="20" t="s">
        <v>1154</v>
      </c>
      <c r="D129" s="20" t="s">
        <v>1155</v>
      </c>
      <c r="E129" s="20" t="s">
        <v>813</v>
      </c>
      <c r="F129" s="20" t="s">
        <v>101</v>
      </c>
      <c r="G129" s="20" t="s">
        <v>1156</v>
      </c>
      <c r="H129" s="20" t="s">
        <v>1157</v>
      </c>
      <c r="I129" s="20" t="s">
        <v>1158</v>
      </c>
      <c r="J129" s="20" t="s">
        <v>57</v>
      </c>
      <c r="K129" s="21" t="s">
        <v>604</v>
      </c>
      <c r="L129" s="21" t="s">
        <v>1159</v>
      </c>
      <c r="M129" s="21"/>
      <c r="N129" s="21"/>
      <c r="O129" s="21"/>
      <c r="P129" s="21" t="s">
        <v>107</v>
      </c>
    </row>
    <row r="130" ht="15.75" customHeight="1">
      <c r="A130" s="22" t="s">
        <v>1160</v>
      </c>
      <c r="B130" s="22" t="s">
        <v>1161</v>
      </c>
      <c r="C130" s="22"/>
      <c r="D130" s="22" t="s">
        <v>1162</v>
      </c>
      <c r="E130" s="22" t="s">
        <v>1163</v>
      </c>
      <c r="F130" s="22" t="s">
        <v>253</v>
      </c>
      <c r="G130" s="22"/>
      <c r="H130" s="22" t="s">
        <v>1164</v>
      </c>
      <c r="I130" s="22"/>
      <c r="J130" s="22" t="s">
        <v>57</v>
      </c>
      <c r="K130" s="22" t="s">
        <v>1165</v>
      </c>
      <c r="L130" s="22" t="s">
        <v>1166</v>
      </c>
      <c r="M130" s="22" t="s">
        <v>623</v>
      </c>
      <c r="N130" s="22"/>
      <c r="O130" s="22" t="s">
        <v>1167</v>
      </c>
      <c r="P130" s="22"/>
    </row>
    <row r="131" ht="15.75" customHeight="1">
      <c r="A131" s="20" t="s">
        <v>1168</v>
      </c>
      <c r="B131" s="20" t="s">
        <v>1169</v>
      </c>
      <c r="C131" s="20"/>
      <c r="D131" s="20" t="s">
        <v>1170</v>
      </c>
      <c r="E131" s="20" t="s">
        <v>1171</v>
      </c>
      <c r="F131" s="20" t="s">
        <v>101</v>
      </c>
      <c r="G131" s="20" t="s">
        <v>1171</v>
      </c>
      <c r="H131" s="20" t="s">
        <v>1172</v>
      </c>
      <c r="I131" s="20" t="s">
        <v>1173</v>
      </c>
      <c r="J131" s="20" t="s">
        <v>57</v>
      </c>
      <c r="K131" s="21" t="s">
        <v>1174</v>
      </c>
      <c r="L131" s="21" t="s">
        <v>1175</v>
      </c>
      <c r="M131" s="21"/>
      <c r="N131" s="21"/>
      <c r="O131" s="21" t="s">
        <v>73</v>
      </c>
      <c r="P131" s="21"/>
    </row>
    <row r="132" ht="15.75" customHeight="1">
      <c r="A132" s="22" t="s">
        <v>1176</v>
      </c>
      <c r="B132" s="22" t="s">
        <v>1177</v>
      </c>
      <c r="C132" s="22" t="s">
        <v>1178</v>
      </c>
      <c r="D132" s="22" t="s">
        <v>1179</v>
      </c>
      <c r="E132" s="22" t="s">
        <v>1180</v>
      </c>
      <c r="F132" s="22" t="s">
        <v>66</v>
      </c>
      <c r="G132" s="22"/>
      <c r="H132" s="22"/>
      <c r="I132" s="22"/>
      <c r="J132" s="22" t="s">
        <v>57</v>
      </c>
      <c r="K132" s="22" t="s">
        <v>663</v>
      </c>
      <c r="L132" s="22" t="s">
        <v>762</v>
      </c>
      <c r="M132" s="22"/>
      <c r="N132" s="22"/>
      <c r="O132" s="22"/>
      <c r="P132" s="22"/>
    </row>
    <row r="133" ht="15.75" customHeight="1">
      <c r="A133" s="20" t="s">
        <v>1181</v>
      </c>
      <c r="B133" s="20" t="s">
        <v>1182</v>
      </c>
      <c r="C133" s="20" t="s">
        <v>1183</v>
      </c>
      <c r="D133" s="20" t="s">
        <v>1184</v>
      </c>
      <c r="E133" s="20" t="s">
        <v>1185</v>
      </c>
      <c r="F133" s="20" t="s">
        <v>130</v>
      </c>
      <c r="G133" s="20" t="s">
        <v>1186</v>
      </c>
      <c r="H133" s="20"/>
      <c r="I133" s="20"/>
      <c r="J133" s="20" t="s">
        <v>57</v>
      </c>
      <c r="K133" s="21" t="s">
        <v>105</v>
      </c>
      <c r="L133" s="21" t="s">
        <v>84</v>
      </c>
      <c r="M133" s="21"/>
      <c r="N133" s="21"/>
      <c r="O133" s="21" t="s">
        <v>137</v>
      </c>
      <c r="P133" s="21"/>
    </row>
    <row r="134" ht="15.75" customHeight="1">
      <c r="A134" s="22" t="s">
        <v>1187</v>
      </c>
      <c r="B134" s="22" t="s">
        <v>1188</v>
      </c>
      <c r="C134" s="22"/>
      <c r="D134" s="22" t="s">
        <v>1189</v>
      </c>
      <c r="E134" s="22" t="s">
        <v>1190</v>
      </c>
      <c r="F134" s="22" t="s">
        <v>112</v>
      </c>
      <c r="G134" s="22"/>
      <c r="H134" s="22" t="s">
        <v>1191</v>
      </c>
      <c r="I134" s="22" t="s">
        <v>1192</v>
      </c>
      <c r="J134" s="22" t="s">
        <v>57</v>
      </c>
      <c r="K134" s="22" t="s">
        <v>1193</v>
      </c>
      <c r="L134" s="22" t="s">
        <v>1194</v>
      </c>
      <c r="M134" s="22"/>
      <c r="N134" s="22"/>
      <c r="O134" s="22" t="s">
        <v>148</v>
      </c>
      <c r="P134" s="22"/>
    </row>
    <row r="135" ht="15.75" customHeight="1">
      <c r="A135" s="20" t="s">
        <v>1195</v>
      </c>
      <c r="B135" s="20" t="s">
        <v>1196</v>
      </c>
      <c r="C135" s="20"/>
      <c r="D135" s="20" t="s">
        <v>1197</v>
      </c>
      <c r="E135" s="20" t="s">
        <v>1198</v>
      </c>
      <c r="F135" s="20" t="s">
        <v>112</v>
      </c>
      <c r="G135" s="20" t="s">
        <v>1198</v>
      </c>
      <c r="H135" s="20" t="s">
        <v>1199</v>
      </c>
      <c r="I135" s="20" t="s">
        <v>1200</v>
      </c>
      <c r="J135" s="20" t="s">
        <v>57</v>
      </c>
      <c r="K135" s="21" t="s">
        <v>257</v>
      </c>
      <c r="L135" s="21" t="s">
        <v>1201</v>
      </c>
      <c r="M135" s="21" t="s">
        <v>623</v>
      </c>
      <c r="N135" s="21"/>
      <c r="O135" s="21" t="s">
        <v>269</v>
      </c>
      <c r="P135" s="21"/>
    </row>
    <row r="136" ht="15.75" customHeight="1">
      <c r="A136" s="22" t="s">
        <v>1202</v>
      </c>
      <c r="B136" s="22" t="s">
        <v>1203</v>
      </c>
      <c r="C136" s="22" t="s">
        <v>393</v>
      </c>
      <c r="D136" s="22" t="s">
        <v>1204</v>
      </c>
      <c r="E136" s="22" t="s">
        <v>946</v>
      </c>
      <c r="F136" s="22" t="s">
        <v>101</v>
      </c>
      <c r="G136" s="22" t="s">
        <v>1205</v>
      </c>
      <c r="H136" s="22" t="s">
        <v>1206</v>
      </c>
      <c r="I136" s="22" t="s">
        <v>1207</v>
      </c>
      <c r="J136" s="22" t="s">
        <v>57</v>
      </c>
      <c r="K136" s="22" t="s">
        <v>1208</v>
      </c>
      <c r="L136" s="22" t="s">
        <v>583</v>
      </c>
      <c r="M136" s="22"/>
      <c r="N136" s="22"/>
      <c r="O136" s="22" t="s">
        <v>73</v>
      </c>
      <c r="P136" s="22"/>
    </row>
    <row r="137" ht="15.75" customHeight="1">
      <c r="A137" s="20" t="s">
        <v>1209</v>
      </c>
      <c r="B137" s="20" t="s">
        <v>1210</v>
      </c>
      <c r="C137" s="20" t="s">
        <v>1211</v>
      </c>
      <c r="D137" s="20" t="s">
        <v>1212</v>
      </c>
      <c r="E137" s="20" t="s">
        <v>489</v>
      </c>
      <c r="F137" s="20" t="s">
        <v>475</v>
      </c>
      <c r="G137" s="20" t="s">
        <v>1213</v>
      </c>
      <c r="H137" s="20" t="s">
        <v>1214</v>
      </c>
      <c r="I137" s="20" t="s">
        <v>1215</v>
      </c>
      <c r="J137" s="20" t="s">
        <v>57</v>
      </c>
      <c r="K137" s="21" t="s">
        <v>1216</v>
      </c>
      <c r="L137" s="21" t="s">
        <v>1217</v>
      </c>
      <c r="M137" s="21" t="s">
        <v>358</v>
      </c>
      <c r="N137" s="21"/>
      <c r="O137" s="21" t="s">
        <v>73</v>
      </c>
      <c r="P137" s="21"/>
    </row>
    <row r="138" ht="15.75" customHeight="1">
      <c r="A138" s="22" t="s">
        <v>1218</v>
      </c>
      <c r="B138" s="22"/>
      <c r="C138" s="22" t="s">
        <v>1219</v>
      </c>
      <c r="D138" s="22" t="s">
        <v>1220</v>
      </c>
      <c r="E138" s="22" t="s">
        <v>1221</v>
      </c>
      <c r="F138" s="22" t="s">
        <v>253</v>
      </c>
      <c r="G138" s="22" t="s">
        <v>1222</v>
      </c>
      <c r="H138" s="22" t="s">
        <v>1223</v>
      </c>
      <c r="I138" s="22" t="s">
        <v>1224</v>
      </c>
      <c r="J138" s="22" t="s">
        <v>57</v>
      </c>
      <c r="K138" s="22" t="s">
        <v>430</v>
      </c>
      <c r="L138" s="22" t="s">
        <v>84</v>
      </c>
      <c r="M138" s="22" t="s">
        <v>304</v>
      </c>
      <c r="N138" s="22"/>
      <c r="O138" s="22" t="s">
        <v>412</v>
      </c>
      <c r="P138" s="22"/>
    </row>
    <row r="139" ht="15.75" customHeight="1">
      <c r="A139" s="20" t="s">
        <v>1225</v>
      </c>
      <c r="B139" s="20"/>
      <c r="C139" s="20"/>
      <c r="D139" s="20" t="s">
        <v>1226</v>
      </c>
      <c r="E139" s="20" t="s">
        <v>1227</v>
      </c>
      <c r="F139" s="20" t="s">
        <v>1227</v>
      </c>
      <c r="G139" s="20" t="s">
        <v>1228</v>
      </c>
      <c r="H139" s="20" t="s">
        <v>1229</v>
      </c>
      <c r="I139" s="20" t="s">
        <v>1230</v>
      </c>
      <c r="J139" s="20" t="s">
        <v>57</v>
      </c>
      <c r="K139" s="21" t="s">
        <v>663</v>
      </c>
      <c r="L139" s="21" t="s">
        <v>1231</v>
      </c>
      <c r="M139" s="21"/>
      <c r="N139" s="21"/>
      <c r="O139" s="21" t="s">
        <v>469</v>
      </c>
      <c r="P139" s="21"/>
    </row>
    <row r="140" ht="15.75" customHeight="1">
      <c r="A140" s="22" t="s">
        <v>1232</v>
      </c>
      <c r="B140" s="22" t="s">
        <v>1233</v>
      </c>
      <c r="C140" s="22" t="s">
        <v>1234</v>
      </c>
      <c r="D140" s="22" t="s">
        <v>1235</v>
      </c>
      <c r="E140" s="22" t="s">
        <v>1236</v>
      </c>
      <c r="F140" s="22" t="s">
        <v>101</v>
      </c>
      <c r="G140" s="22" t="s">
        <v>1237</v>
      </c>
      <c r="H140" s="22" t="s">
        <v>1238</v>
      </c>
      <c r="I140" s="22" t="s">
        <v>1239</v>
      </c>
      <c r="J140" s="22" t="s">
        <v>57</v>
      </c>
      <c r="K140" s="22" t="s">
        <v>1240</v>
      </c>
      <c r="L140" s="22" t="s">
        <v>1241</v>
      </c>
      <c r="M140" s="22" t="s">
        <v>985</v>
      </c>
      <c r="N140" s="22"/>
      <c r="O140" s="22" t="s">
        <v>73</v>
      </c>
      <c r="P140" s="22"/>
    </row>
    <row r="141" ht="15.75" customHeight="1">
      <c r="A141" s="20" t="s">
        <v>1242</v>
      </c>
      <c r="B141" s="20"/>
      <c r="C141" s="20" t="s">
        <v>1243</v>
      </c>
      <c r="D141" s="20" t="s">
        <v>1244</v>
      </c>
      <c r="E141" s="20" t="s">
        <v>1245</v>
      </c>
      <c r="F141" s="20" t="s">
        <v>352</v>
      </c>
      <c r="G141" s="20"/>
      <c r="H141" s="20" t="s">
        <v>1246</v>
      </c>
      <c r="I141" s="20" t="s">
        <v>1247</v>
      </c>
      <c r="J141" s="20" t="s">
        <v>57</v>
      </c>
      <c r="K141" s="21" t="s">
        <v>1248</v>
      </c>
      <c r="L141" s="21" t="s">
        <v>1249</v>
      </c>
      <c r="M141" s="21" t="s">
        <v>781</v>
      </c>
      <c r="N141" s="21"/>
      <c r="O141" s="21" t="s">
        <v>1250</v>
      </c>
      <c r="P141" s="21"/>
    </row>
    <row r="142" ht="15.75" customHeight="1">
      <c r="A142" s="22" t="s">
        <v>1251</v>
      </c>
      <c r="B142" s="22" t="s">
        <v>1252</v>
      </c>
      <c r="C142" s="22"/>
      <c r="D142" s="22" t="s">
        <v>1253</v>
      </c>
      <c r="E142" s="22" t="s">
        <v>129</v>
      </c>
      <c r="F142" s="22" t="s">
        <v>130</v>
      </c>
      <c r="G142" s="22" t="s">
        <v>129</v>
      </c>
      <c r="H142" s="22" t="s">
        <v>1254</v>
      </c>
      <c r="I142" s="22" t="s">
        <v>1255</v>
      </c>
      <c r="J142" s="22" t="s">
        <v>57</v>
      </c>
      <c r="K142" s="22" t="s">
        <v>1256</v>
      </c>
      <c r="L142" s="22" t="s">
        <v>84</v>
      </c>
      <c r="M142" s="22"/>
      <c r="N142" s="22"/>
      <c r="O142" s="22" t="s">
        <v>73</v>
      </c>
      <c r="P142" s="22"/>
    </row>
    <row r="143" ht="15.75" customHeight="1">
      <c r="A143" s="20" t="s">
        <v>1257</v>
      </c>
      <c r="B143" s="20" t="s">
        <v>1258</v>
      </c>
      <c r="C143" s="20" t="s">
        <v>1259</v>
      </c>
      <c r="D143" s="20" t="s">
        <v>1260</v>
      </c>
      <c r="E143" s="20" t="s">
        <v>1261</v>
      </c>
      <c r="F143" s="20" t="s">
        <v>363</v>
      </c>
      <c r="G143" s="20" t="s">
        <v>1262</v>
      </c>
      <c r="H143" s="20"/>
      <c r="I143" s="20" t="s">
        <v>1263</v>
      </c>
      <c r="J143" s="20" t="s">
        <v>57</v>
      </c>
      <c r="K143" s="21"/>
      <c r="L143" s="21" t="s">
        <v>583</v>
      </c>
      <c r="M143" s="21"/>
      <c r="N143" s="21"/>
      <c r="O143" s="21" t="s">
        <v>61</v>
      </c>
      <c r="P143" s="21"/>
    </row>
    <row r="144" ht="15.75" customHeight="1">
      <c r="A144" s="22" t="s">
        <v>1264</v>
      </c>
      <c r="B144" s="22"/>
      <c r="C144" s="22" t="s">
        <v>1265</v>
      </c>
      <c r="D144" s="22" t="s">
        <v>1266</v>
      </c>
      <c r="E144" s="22" t="s">
        <v>1267</v>
      </c>
      <c r="F144" s="22" t="s">
        <v>66</v>
      </c>
      <c r="G144" s="22"/>
      <c r="H144" s="22" t="s">
        <v>1268</v>
      </c>
      <c r="I144" s="22" t="s">
        <v>1269</v>
      </c>
      <c r="J144" s="22" t="s">
        <v>57</v>
      </c>
      <c r="K144" s="22"/>
      <c r="L144" s="22" t="s">
        <v>1270</v>
      </c>
      <c r="M144" s="22"/>
      <c r="N144" s="22"/>
      <c r="O144" s="22"/>
      <c r="P144" s="22"/>
    </row>
    <row r="145" ht="15.75" customHeight="1">
      <c r="A145" s="20" t="s">
        <v>1271</v>
      </c>
      <c r="B145" s="20" t="s">
        <v>1272</v>
      </c>
      <c r="C145" s="20"/>
      <c r="D145" s="20" t="s">
        <v>1273</v>
      </c>
      <c r="E145" s="20" t="s">
        <v>1274</v>
      </c>
      <c r="F145" s="20" t="s">
        <v>101</v>
      </c>
      <c r="G145" s="20" t="s">
        <v>1275</v>
      </c>
      <c r="H145" s="20"/>
      <c r="I145" s="20" t="s">
        <v>1276</v>
      </c>
      <c r="J145" s="20" t="s">
        <v>57</v>
      </c>
      <c r="K145" s="21" t="s">
        <v>410</v>
      </c>
      <c r="L145" s="21" t="s">
        <v>583</v>
      </c>
      <c r="M145" s="21"/>
      <c r="N145" s="21"/>
      <c r="O145" s="21" t="s">
        <v>359</v>
      </c>
      <c r="P145" s="21"/>
    </row>
    <row r="146" ht="15.75" customHeight="1">
      <c r="A146" s="22" t="s">
        <v>1277</v>
      </c>
      <c r="B146" s="22" t="s">
        <v>1278</v>
      </c>
      <c r="C146" s="22"/>
      <c r="D146" s="22" t="s">
        <v>1279</v>
      </c>
      <c r="E146" s="22" t="s">
        <v>1280</v>
      </c>
      <c r="F146" s="22"/>
      <c r="G146" s="22" t="s">
        <v>1281</v>
      </c>
      <c r="H146" s="22" t="s">
        <v>1282</v>
      </c>
      <c r="I146" s="22" t="s">
        <v>1283</v>
      </c>
      <c r="J146" s="22" t="s">
        <v>57</v>
      </c>
      <c r="K146" s="22" t="s">
        <v>1284</v>
      </c>
      <c r="L146" s="22" t="s">
        <v>1285</v>
      </c>
      <c r="M146" s="22"/>
      <c r="N146" s="22"/>
      <c r="O146" s="22" t="s">
        <v>1286</v>
      </c>
      <c r="P146" s="22"/>
    </row>
    <row r="147" ht="15.75" customHeight="1">
      <c r="A147" s="20" t="s">
        <v>1287</v>
      </c>
      <c r="B147" s="20" t="s">
        <v>1288</v>
      </c>
      <c r="C147" s="20" t="s">
        <v>1289</v>
      </c>
      <c r="D147" s="20" t="s">
        <v>1290</v>
      </c>
      <c r="E147" s="20" t="s">
        <v>298</v>
      </c>
      <c r="F147" s="20" t="s">
        <v>101</v>
      </c>
      <c r="G147" s="20" t="s">
        <v>1291</v>
      </c>
      <c r="H147" s="20" t="s">
        <v>1292</v>
      </c>
      <c r="I147" s="20"/>
      <c r="J147" s="20" t="s">
        <v>57</v>
      </c>
      <c r="K147" s="21" t="s">
        <v>1293</v>
      </c>
      <c r="L147" s="21" t="s">
        <v>1294</v>
      </c>
      <c r="M147" s="21"/>
      <c r="N147" s="21"/>
      <c r="O147" s="21" t="s">
        <v>159</v>
      </c>
      <c r="P147" s="21" t="s">
        <v>107</v>
      </c>
    </row>
    <row r="148" ht="15.75" customHeight="1">
      <c r="A148" s="22" t="s">
        <v>1295</v>
      </c>
      <c r="B148" s="22" t="s">
        <v>1296</v>
      </c>
      <c r="C148" s="22" t="s">
        <v>1297</v>
      </c>
      <c r="D148" s="22" t="s">
        <v>1298</v>
      </c>
      <c r="E148" s="22" t="s">
        <v>231</v>
      </c>
      <c r="F148" s="22" t="s">
        <v>79</v>
      </c>
      <c r="G148" s="22" t="s">
        <v>1299</v>
      </c>
      <c r="H148" s="22"/>
      <c r="I148" s="22" t="s">
        <v>1300</v>
      </c>
      <c r="J148" s="22" t="s">
        <v>57</v>
      </c>
      <c r="K148" s="22" t="s">
        <v>816</v>
      </c>
      <c r="L148" s="22" t="s">
        <v>1301</v>
      </c>
      <c r="M148" s="22"/>
      <c r="N148" s="22"/>
      <c r="O148" s="22"/>
      <c r="P148" s="22"/>
    </row>
    <row r="149" ht="15.75" customHeight="1">
      <c r="A149" s="20" t="s">
        <v>1302</v>
      </c>
      <c r="B149" s="20" t="s">
        <v>1303</v>
      </c>
      <c r="C149" s="20"/>
      <c r="D149" s="20" t="s">
        <v>1304</v>
      </c>
      <c r="E149" s="20" t="s">
        <v>1305</v>
      </c>
      <c r="F149" s="20" t="s">
        <v>130</v>
      </c>
      <c r="G149" s="20"/>
      <c r="H149" s="20"/>
      <c r="I149" s="20"/>
      <c r="J149" s="20" t="s">
        <v>57</v>
      </c>
      <c r="K149" s="21"/>
      <c r="L149" s="21" t="s">
        <v>1306</v>
      </c>
      <c r="M149" s="21"/>
      <c r="N149" s="21"/>
      <c r="O149" s="21"/>
      <c r="P149" s="21"/>
    </row>
    <row r="150" ht="15.75" customHeight="1">
      <c r="A150" s="22" t="s">
        <v>1307</v>
      </c>
      <c r="B150" s="22" t="s">
        <v>1308</v>
      </c>
      <c r="C150" s="22"/>
      <c r="D150" s="22" t="s">
        <v>1309</v>
      </c>
      <c r="E150" s="22" t="s">
        <v>231</v>
      </c>
      <c r="F150" s="22" t="s">
        <v>79</v>
      </c>
      <c r="G150" s="22" t="s">
        <v>1310</v>
      </c>
      <c r="H150" s="22" t="s">
        <v>1311</v>
      </c>
      <c r="I150" s="22" t="s">
        <v>1312</v>
      </c>
      <c r="J150" s="22" t="s">
        <v>57</v>
      </c>
      <c r="K150" s="22" t="s">
        <v>1313</v>
      </c>
      <c r="L150" s="22" t="s">
        <v>1314</v>
      </c>
      <c r="M150" s="22"/>
      <c r="N150" s="22"/>
      <c r="O150" s="22" t="s">
        <v>185</v>
      </c>
      <c r="P150" s="22"/>
    </row>
    <row r="151" ht="15.75" customHeight="1">
      <c r="A151" s="20" t="s">
        <v>1315</v>
      </c>
      <c r="B151" s="20" t="s">
        <v>1316</v>
      </c>
      <c r="C151" s="20" t="s">
        <v>1317</v>
      </c>
      <c r="D151" s="20" t="s">
        <v>1318</v>
      </c>
      <c r="E151" s="20" t="s">
        <v>55</v>
      </c>
      <c r="F151" s="20" t="s">
        <v>91</v>
      </c>
      <c r="G151" s="20" t="s">
        <v>1319</v>
      </c>
      <c r="H151" s="20" t="s">
        <v>1320</v>
      </c>
      <c r="I151" s="20" t="s">
        <v>1321</v>
      </c>
      <c r="J151" s="20" t="s">
        <v>57</v>
      </c>
      <c r="K151" s="21" t="s">
        <v>1322</v>
      </c>
      <c r="L151" s="21" t="s">
        <v>1323</v>
      </c>
      <c r="M151" s="21" t="s">
        <v>1324</v>
      </c>
      <c r="N151" s="21"/>
      <c r="O151" s="21" t="s">
        <v>495</v>
      </c>
      <c r="P151" s="21"/>
    </row>
    <row r="152" ht="15.75" customHeight="1">
      <c r="A152" s="22" t="s">
        <v>1325</v>
      </c>
      <c r="B152" s="22" t="s">
        <v>1326</v>
      </c>
      <c r="C152" s="22" t="s">
        <v>393</v>
      </c>
      <c r="D152" s="22" t="s">
        <v>1327</v>
      </c>
      <c r="E152" s="22" t="s">
        <v>163</v>
      </c>
      <c r="F152" s="22" t="s">
        <v>101</v>
      </c>
      <c r="G152" s="22"/>
      <c r="H152" s="22" t="s">
        <v>1328</v>
      </c>
      <c r="I152" s="22" t="s">
        <v>1329</v>
      </c>
      <c r="J152" s="22" t="s">
        <v>57</v>
      </c>
      <c r="K152" s="22" t="s">
        <v>1330</v>
      </c>
      <c r="L152" s="22" t="s">
        <v>1331</v>
      </c>
      <c r="M152" s="22" t="s">
        <v>337</v>
      </c>
      <c r="N152" s="22"/>
      <c r="O152" s="22" t="s">
        <v>159</v>
      </c>
      <c r="P152" s="22"/>
    </row>
    <row r="153" ht="15.75" customHeight="1">
      <c r="A153" s="20" t="s">
        <v>1332</v>
      </c>
      <c r="B153" s="20" t="s">
        <v>1333</v>
      </c>
      <c r="C153" s="20" t="s">
        <v>393</v>
      </c>
      <c r="D153" s="20" t="s">
        <v>1334</v>
      </c>
      <c r="E153" s="20" t="s">
        <v>1171</v>
      </c>
      <c r="F153" s="20" t="s">
        <v>101</v>
      </c>
      <c r="G153" s="20" t="s">
        <v>1171</v>
      </c>
      <c r="H153" s="20" t="s">
        <v>1335</v>
      </c>
      <c r="I153" s="20" t="s">
        <v>1336</v>
      </c>
      <c r="J153" s="20" t="s">
        <v>57</v>
      </c>
      <c r="K153" s="21" t="s">
        <v>1337</v>
      </c>
      <c r="L153" s="21" t="s">
        <v>1338</v>
      </c>
      <c r="M153" s="21" t="s">
        <v>72</v>
      </c>
      <c r="N153" s="21"/>
      <c r="O153" s="21" t="s">
        <v>73</v>
      </c>
      <c r="P153" s="21"/>
    </row>
    <row r="154" ht="15.75" customHeight="1">
      <c r="A154" s="22" t="s">
        <v>1339</v>
      </c>
      <c r="B154" s="22" t="s">
        <v>1340</v>
      </c>
      <c r="C154" s="22" t="s">
        <v>1289</v>
      </c>
      <c r="D154" s="22" t="s">
        <v>1341</v>
      </c>
      <c r="E154" s="22" t="s">
        <v>1342</v>
      </c>
      <c r="F154" s="22" t="s">
        <v>101</v>
      </c>
      <c r="G154" s="22" t="s">
        <v>1343</v>
      </c>
      <c r="H154" s="22" t="s">
        <v>1344</v>
      </c>
      <c r="I154" s="22" t="s">
        <v>1345</v>
      </c>
      <c r="J154" s="22" t="s">
        <v>57</v>
      </c>
      <c r="K154" s="22" t="s">
        <v>1346</v>
      </c>
      <c r="L154" s="22" t="s">
        <v>1347</v>
      </c>
      <c r="M154" s="22"/>
      <c r="N154" s="22"/>
      <c r="O154" s="22" t="s">
        <v>137</v>
      </c>
      <c r="P154" s="22" t="s">
        <v>107</v>
      </c>
    </row>
    <row r="155" ht="15.75" customHeight="1">
      <c r="A155" s="20" t="s">
        <v>1348</v>
      </c>
      <c r="B155" s="20" t="s">
        <v>1349</v>
      </c>
      <c r="C155" s="20" t="s">
        <v>1350</v>
      </c>
      <c r="D155" s="20" t="s">
        <v>1351</v>
      </c>
      <c r="E155" s="20" t="s">
        <v>1352</v>
      </c>
      <c r="F155" s="20" t="s">
        <v>363</v>
      </c>
      <c r="G155" s="20" t="s">
        <v>1352</v>
      </c>
      <c r="H155" s="20" t="s">
        <v>1353</v>
      </c>
      <c r="I155" s="20" t="s">
        <v>1354</v>
      </c>
      <c r="J155" s="20" t="s">
        <v>57</v>
      </c>
      <c r="K155" s="21" t="s">
        <v>1355</v>
      </c>
      <c r="L155" s="21" t="s">
        <v>1356</v>
      </c>
      <c r="M155" s="21" t="s">
        <v>1324</v>
      </c>
      <c r="N155" s="21"/>
      <c r="O155" s="21" t="s">
        <v>137</v>
      </c>
      <c r="P155" s="21"/>
    </row>
    <row r="156" ht="15.75" customHeight="1">
      <c r="A156" s="22" t="s">
        <v>1357</v>
      </c>
      <c r="B156" s="22" t="s">
        <v>1358</v>
      </c>
      <c r="C156" s="22"/>
      <c r="D156" s="22" t="s">
        <v>1359</v>
      </c>
      <c r="E156" s="22" t="s">
        <v>1171</v>
      </c>
      <c r="F156" s="22" t="s">
        <v>101</v>
      </c>
      <c r="G156" s="22" t="s">
        <v>1171</v>
      </c>
      <c r="H156" s="22" t="s">
        <v>1360</v>
      </c>
      <c r="I156" s="22" t="s">
        <v>1361</v>
      </c>
      <c r="J156" s="22" t="s">
        <v>57</v>
      </c>
      <c r="K156" s="22" t="s">
        <v>1362</v>
      </c>
      <c r="L156" s="22" t="s">
        <v>1363</v>
      </c>
      <c r="M156" s="22" t="s">
        <v>1364</v>
      </c>
      <c r="N156" s="22"/>
      <c r="O156" s="22" t="s">
        <v>61</v>
      </c>
      <c r="P156" s="22"/>
    </row>
    <row r="157" ht="15.75" customHeight="1">
      <c r="A157" s="20" t="s">
        <v>1365</v>
      </c>
      <c r="B157" s="20" t="s">
        <v>1366</v>
      </c>
      <c r="C157" s="20" t="s">
        <v>1367</v>
      </c>
      <c r="D157" s="20" t="s">
        <v>1368</v>
      </c>
      <c r="E157" s="20" t="s">
        <v>1369</v>
      </c>
      <c r="F157" s="20" t="s">
        <v>263</v>
      </c>
      <c r="G157" s="20" t="s">
        <v>1369</v>
      </c>
      <c r="H157" s="20" t="s">
        <v>1370</v>
      </c>
      <c r="I157" s="20" t="s">
        <v>1371</v>
      </c>
      <c r="J157" s="20" t="s">
        <v>57</v>
      </c>
      <c r="K157" s="21" t="s">
        <v>1372</v>
      </c>
      <c r="L157" s="21" t="s">
        <v>1373</v>
      </c>
      <c r="M157" s="21" t="s">
        <v>304</v>
      </c>
      <c r="N157" s="21"/>
      <c r="O157" s="21" t="s">
        <v>1374</v>
      </c>
      <c r="P157" s="21" t="s">
        <v>107</v>
      </c>
    </row>
    <row r="158" ht="15.75" customHeight="1">
      <c r="A158" s="22" t="s">
        <v>1375</v>
      </c>
      <c r="B158" s="22" t="s">
        <v>1376</v>
      </c>
      <c r="C158" s="22"/>
      <c r="D158" s="22" t="s">
        <v>1377</v>
      </c>
      <c r="E158" s="22" t="s">
        <v>759</v>
      </c>
      <c r="F158" s="22" t="s">
        <v>101</v>
      </c>
      <c r="G158" s="22" t="s">
        <v>759</v>
      </c>
      <c r="H158" s="22" t="s">
        <v>1378</v>
      </c>
      <c r="I158" s="22" t="s">
        <v>1379</v>
      </c>
      <c r="J158" s="22" t="s">
        <v>57</v>
      </c>
      <c r="K158" s="22" t="s">
        <v>1380</v>
      </c>
      <c r="L158" s="22" t="s">
        <v>1381</v>
      </c>
      <c r="M158" s="22" t="s">
        <v>268</v>
      </c>
      <c r="N158" s="22"/>
      <c r="O158" s="22" t="s">
        <v>137</v>
      </c>
      <c r="P158" s="22" t="s">
        <v>107</v>
      </c>
    </row>
    <row r="159" ht="15.75" customHeight="1">
      <c r="A159" s="20" t="s">
        <v>1382</v>
      </c>
      <c r="B159" s="20" t="s">
        <v>1383</v>
      </c>
      <c r="C159" s="20"/>
      <c r="D159" s="20" t="s">
        <v>1384</v>
      </c>
      <c r="E159" s="20" t="s">
        <v>723</v>
      </c>
      <c r="F159" s="20" t="s">
        <v>406</v>
      </c>
      <c r="G159" s="20"/>
      <c r="H159" s="20" t="s">
        <v>1385</v>
      </c>
      <c r="I159" s="20" t="s">
        <v>1386</v>
      </c>
      <c r="J159" s="20" t="s">
        <v>57</v>
      </c>
      <c r="K159" s="21" t="s">
        <v>1387</v>
      </c>
      <c r="L159" s="21" t="s">
        <v>1388</v>
      </c>
      <c r="M159" s="21" t="s">
        <v>1389</v>
      </c>
      <c r="N159" s="21"/>
      <c r="O159" s="21" t="s">
        <v>185</v>
      </c>
      <c r="P159" s="21"/>
    </row>
    <row r="160" ht="15.75" customHeight="1">
      <c r="A160" s="22" t="s">
        <v>1390</v>
      </c>
      <c r="B160" s="22" t="s">
        <v>1391</v>
      </c>
      <c r="C160" s="22" t="s">
        <v>1392</v>
      </c>
      <c r="D160" s="22" t="s">
        <v>1393</v>
      </c>
      <c r="E160" s="22" t="s">
        <v>1394</v>
      </c>
      <c r="F160" s="22" t="s">
        <v>475</v>
      </c>
      <c r="G160" s="22" t="s">
        <v>1395</v>
      </c>
      <c r="H160" s="22" t="s">
        <v>1396</v>
      </c>
      <c r="I160" s="22" t="s">
        <v>1397</v>
      </c>
      <c r="J160" s="22" t="s">
        <v>57</v>
      </c>
      <c r="K160" s="22" t="s">
        <v>1398</v>
      </c>
      <c r="L160" s="22" t="s">
        <v>84</v>
      </c>
      <c r="M160" s="22" t="s">
        <v>147</v>
      </c>
      <c r="N160" s="22" t="s">
        <v>1399</v>
      </c>
      <c r="O160" s="22" t="s">
        <v>501</v>
      </c>
      <c r="P160" s="22"/>
    </row>
    <row r="161" ht="15.75" customHeight="1">
      <c r="A161" s="20" t="s">
        <v>1400</v>
      </c>
      <c r="B161" s="20" t="s">
        <v>1401</v>
      </c>
      <c r="C161" s="20"/>
      <c r="D161" s="20" t="s">
        <v>1402</v>
      </c>
      <c r="E161" s="20" t="s">
        <v>1403</v>
      </c>
      <c r="F161" s="20" t="s">
        <v>475</v>
      </c>
      <c r="G161" s="20" t="s">
        <v>1404</v>
      </c>
      <c r="H161" s="20" t="s">
        <v>1405</v>
      </c>
      <c r="I161" s="20"/>
      <c r="J161" s="20" t="s">
        <v>57</v>
      </c>
      <c r="K161" s="21" t="s">
        <v>1406</v>
      </c>
      <c r="L161" s="21" t="s">
        <v>84</v>
      </c>
      <c r="M161" s="21" t="s">
        <v>304</v>
      </c>
      <c r="N161" s="21"/>
      <c r="O161" s="21" t="s">
        <v>61</v>
      </c>
      <c r="P161" s="21" t="s">
        <v>107</v>
      </c>
    </row>
    <row r="162" ht="15.75" customHeight="1">
      <c r="A162" s="22" t="s">
        <v>1407</v>
      </c>
      <c r="B162" s="22" t="s">
        <v>1408</v>
      </c>
      <c r="C162" s="22" t="s">
        <v>1409</v>
      </c>
      <c r="D162" s="22" t="s">
        <v>1410</v>
      </c>
      <c r="E162" s="22" t="s">
        <v>1411</v>
      </c>
      <c r="F162" s="22" t="s">
        <v>418</v>
      </c>
      <c r="G162" s="22" t="s">
        <v>1412</v>
      </c>
      <c r="H162" s="22" t="s">
        <v>1413</v>
      </c>
      <c r="I162" s="22" t="s">
        <v>1414</v>
      </c>
      <c r="J162" s="22" t="s">
        <v>57</v>
      </c>
      <c r="K162" s="22" t="s">
        <v>1415</v>
      </c>
      <c r="L162" s="22" t="s">
        <v>1416</v>
      </c>
      <c r="M162" s="22" t="s">
        <v>520</v>
      </c>
      <c r="N162" s="22"/>
      <c r="O162" s="22" t="s">
        <v>159</v>
      </c>
      <c r="P162" s="22"/>
    </row>
    <row r="163" ht="15.75" customHeight="1">
      <c r="A163" s="20" t="s">
        <v>1417</v>
      </c>
      <c r="B163" s="20" t="s">
        <v>1418</v>
      </c>
      <c r="C163" s="20"/>
      <c r="D163" s="20" t="s">
        <v>1419</v>
      </c>
      <c r="E163" s="20" t="s">
        <v>1420</v>
      </c>
      <c r="F163" s="20" t="s">
        <v>418</v>
      </c>
      <c r="G163" s="20" t="s">
        <v>1421</v>
      </c>
      <c r="H163" s="20"/>
      <c r="I163" s="20" t="s">
        <v>1422</v>
      </c>
      <c r="J163" s="20" t="s">
        <v>57</v>
      </c>
      <c r="K163" s="21" t="s">
        <v>410</v>
      </c>
      <c r="L163" s="21" t="s">
        <v>1423</v>
      </c>
      <c r="M163" s="21"/>
      <c r="N163" s="21"/>
      <c r="O163" s="21"/>
      <c r="P163" s="21"/>
    </row>
    <row r="164" ht="15.75" customHeight="1">
      <c r="A164" s="22" t="s">
        <v>1424</v>
      </c>
      <c r="B164" s="22" t="s">
        <v>1425</v>
      </c>
      <c r="C164" s="22"/>
      <c r="D164" s="22" t="s">
        <v>1426</v>
      </c>
      <c r="E164" s="22" t="s">
        <v>1427</v>
      </c>
      <c r="F164" s="22" t="s">
        <v>352</v>
      </c>
      <c r="G164" s="22" t="s">
        <v>1428</v>
      </c>
      <c r="H164" s="22" t="s">
        <v>1429</v>
      </c>
      <c r="I164" s="22" t="s">
        <v>1430</v>
      </c>
      <c r="J164" s="22" t="s">
        <v>57</v>
      </c>
      <c r="K164" s="22" t="s">
        <v>1372</v>
      </c>
      <c r="L164" s="22" t="s">
        <v>84</v>
      </c>
      <c r="M164" s="22"/>
      <c r="N164" s="22"/>
      <c r="O164" s="22" t="s">
        <v>258</v>
      </c>
      <c r="P164" s="22"/>
    </row>
    <row r="165" ht="15.75" customHeight="1">
      <c r="A165" s="20" t="s">
        <v>1431</v>
      </c>
      <c r="B165" s="20" t="s">
        <v>1432</v>
      </c>
      <c r="C165" s="20" t="s">
        <v>1433</v>
      </c>
      <c r="D165" s="20" t="s">
        <v>1434</v>
      </c>
      <c r="E165" s="20" t="s">
        <v>231</v>
      </c>
      <c r="F165" s="20" t="s">
        <v>79</v>
      </c>
      <c r="G165" s="20" t="s">
        <v>1435</v>
      </c>
      <c r="H165" s="20" t="s">
        <v>1436</v>
      </c>
      <c r="I165" s="20" t="s">
        <v>1437</v>
      </c>
      <c r="J165" s="20" t="s">
        <v>57</v>
      </c>
      <c r="K165" s="21" t="s">
        <v>1438</v>
      </c>
      <c r="L165" s="21" t="s">
        <v>1439</v>
      </c>
      <c r="M165" s="21" t="s">
        <v>1440</v>
      </c>
      <c r="N165" s="21"/>
      <c r="O165" s="21" t="s">
        <v>450</v>
      </c>
      <c r="P165" s="21"/>
    </row>
    <row r="166" ht="15.75" customHeight="1">
      <c r="A166" s="22" t="s">
        <v>1441</v>
      </c>
      <c r="B166" s="22" t="s">
        <v>1442</v>
      </c>
      <c r="C166" s="22" t="s">
        <v>1443</v>
      </c>
      <c r="D166" s="22" t="s">
        <v>1444</v>
      </c>
      <c r="E166" s="22" t="s">
        <v>1445</v>
      </c>
      <c r="F166" s="22" t="s">
        <v>1445</v>
      </c>
      <c r="G166" s="22"/>
      <c r="H166" s="22" t="s">
        <v>1446</v>
      </c>
      <c r="I166" s="22" t="s">
        <v>1447</v>
      </c>
      <c r="J166" s="22" t="s">
        <v>57</v>
      </c>
      <c r="K166" s="22" t="s">
        <v>430</v>
      </c>
      <c r="L166" s="22" t="s">
        <v>1448</v>
      </c>
      <c r="M166" s="22"/>
      <c r="N166" s="22"/>
      <c r="O166" s="22" t="s">
        <v>61</v>
      </c>
      <c r="P166" s="22" t="s">
        <v>107</v>
      </c>
    </row>
    <row r="167" ht="15.75" customHeight="1">
      <c r="A167" s="20" t="s">
        <v>1449</v>
      </c>
      <c r="B167" s="20" t="s">
        <v>1450</v>
      </c>
      <c r="C167" s="20" t="s">
        <v>1451</v>
      </c>
      <c r="D167" s="20" t="s">
        <v>1452</v>
      </c>
      <c r="E167" s="20" t="s">
        <v>120</v>
      </c>
      <c r="F167" s="20" t="s">
        <v>91</v>
      </c>
      <c r="G167" s="20" t="s">
        <v>1453</v>
      </c>
      <c r="H167" s="20" t="s">
        <v>1454</v>
      </c>
      <c r="I167" s="20" t="s">
        <v>1455</v>
      </c>
      <c r="J167" s="20" t="s">
        <v>57</v>
      </c>
      <c r="K167" s="21" t="s">
        <v>1456</v>
      </c>
      <c r="L167" s="21" t="s">
        <v>1457</v>
      </c>
      <c r="M167" s="21" t="s">
        <v>1324</v>
      </c>
      <c r="N167" s="21"/>
      <c r="O167" s="21" t="s">
        <v>450</v>
      </c>
      <c r="P167" s="21"/>
    </row>
    <row r="168" ht="15.75" customHeight="1">
      <c r="A168" s="22" t="s">
        <v>1458</v>
      </c>
      <c r="B168" s="22" t="s">
        <v>1459</v>
      </c>
      <c r="C168" s="22" t="s">
        <v>1460</v>
      </c>
      <c r="D168" s="22" t="s">
        <v>1461</v>
      </c>
      <c r="E168" s="22" t="s">
        <v>1462</v>
      </c>
      <c r="F168" s="22" t="s">
        <v>112</v>
      </c>
      <c r="G168" s="22" t="s">
        <v>1463</v>
      </c>
      <c r="H168" s="22" t="s">
        <v>1464</v>
      </c>
      <c r="I168" s="22" t="s">
        <v>1465</v>
      </c>
      <c r="J168" s="22" t="s">
        <v>57</v>
      </c>
      <c r="K168" s="22" t="s">
        <v>1466</v>
      </c>
      <c r="L168" s="22" t="s">
        <v>1467</v>
      </c>
      <c r="M168" s="22"/>
      <c r="N168" s="22"/>
      <c r="O168" s="22"/>
      <c r="P168" s="22" t="s">
        <v>107</v>
      </c>
    </row>
    <row r="169" ht="15.75" customHeight="1">
      <c r="A169" s="20" t="s">
        <v>1468</v>
      </c>
      <c r="B169" s="20" t="s">
        <v>1469</v>
      </c>
      <c r="C169" s="20"/>
      <c r="D169" s="20" t="s">
        <v>1470</v>
      </c>
      <c r="E169" s="20" t="s">
        <v>1471</v>
      </c>
      <c r="F169" s="20" t="s">
        <v>112</v>
      </c>
      <c r="G169" s="20"/>
      <c r="H169" s="20" t="s">
        <v>1472</v>
      </c>
      <c r="I169" s="20"/>
      <c r="J169" s="20" t="s">
        <v>57</v>
      </c>
      <c r="K169" s="21" t="s">
        <v>1372</v>
      </c>
      <c r="L169" s="21" t="s">
        <v>1473</v>
      </c>
      <c r="M169" s="21"/>
      <c r="N169" s="21"/>
      <c r="O169" s="21" t="s">
        <v>501</v>
      </c>
      <c r="P169" s="21"/>
    </row>
    <row r="170" ht="15.75" customHeight="1">
      <c r="A170" s="22" t="s">
        <v>1474</v>
      </c>
      <c r="B170" s="22" t="s">
        <v>1475</v>
      </c>
      <c r="C170" s="22" t="s">
        <v>1476</v>
      </c>
      <c r="D170" s="22" t="s">
        <v>1477</v>
      </c>
      <c r="E170" s="22" t="s">
        <v>231</v>
      </c>
      <c r="F170" s="22" t="s">
        <v>79</v>
      </c>
      <c r="G170" s="22" t="s">
        <v>1478</v>
      </c>
      <c r="H170" s="22" t="s">
        <v>1479</v>
      </c>
      <c r="I170" s="22" t="s">
        <v>1480</v>
      </c>
      <c r="J170" s="22" t="s">
        <v>57</v>
      </c>
      <c r="K170" s="22" t="s">
        <v>430</v>
      </c>
      <c r="L170" s="22" t="s">
        <v>1481</v>
      </c>
      <c r="M170" s="22"/>
      <c r="N170" s="22"/>
      <c r="O170" s="22" t="s">
        <v>459</v>
      </c>
      <c r="P170" s="22"/>
    </row>
    <row r="171" ht="15.75" customHeight="1">
      <c r="A171" s="20" t="s">
        <v>1482</v>
      </c>
      <c r="B171" s="20" t="s">
        <v>1483</v>
      </c>
      <c r="C171" s="20" t="s">
        <v>1484</v>
      </c>
      <c r="D171" s="20" t="s">
        <v>1485</v>
      </c>
      <c r="E171" s="20" t="s">
        <v>1486</v>
      </c>
      <c r="F171" s="20" t="s">
        <v>378</v>
      </c>
      <c r="G171" s="20" t="s">
        <v>1487</v>
      </c>
      <c r="H171" s="20" t="s">
        <v>1488</v>
      </c>
      <c r="I171" s="20" t="s">
        <v>1489</v>
      </c>
      <c r="J171" s="20" t="s">
        <v>57</v>
      </c>
      <c r="K171" s="21" t="s">
        <v>1490</v>
      </c>
      <c r="L171" s="21" t="s">
        <v>84</v>
      </c>
      <c r="M171" s="21" t="s">
        <v>147</v>
      </c>
      <c r="N171" s="21"/>
      <c r="O171" s="21" t="s">
        <v>137</v>
      </c>
      <c r="P171" s="21"/>
    </row>
    <row r="172" ht="15.75" customHeight="1">
      <c r="A172" s="22" t="s">
        <v>1491</v>
      </c>
      <c r="B172" s="22" t="s">
        <v>1492</v>
      </c>
      <c r="C172" s="22" t="s">
        <v>1493</v>
      </c>
      <c r="D172" s="22" t="s">
        <v>1494</v>
      </c>
      <c r="E172" s="22" t="s">
        <v>231</v>
      </c>
      <c r="F172" s="22" t="s">
        <v>79</v>
      </c>
      <c r="G172" s="22" t="s">
        <v>1495</v>
      </c>
      <c r="H172" s="22" t="s">
        <v>1496</v>
      </c>
      <c r="I172" s="22" t="s">
        <v>1497</v>
      </c>
      <c r="J172" s="22" t="s">
        <v>57</v>
      </c>
      <c r="K172" s="22" t="s">
        <v>410</v>
      </c>
      <c r="L172" s="22" t="s">
        <v>84</v>
      </c>
      <c r="M172" s="22"/>
      <c r="N172" s="22"/>
      <c r="O172" s="22" t="s">
        <v>1498</v>
      </c>
      <c r="P172" s="22"/>
    </row>
    <row r="173" ht="15.75" customHeight="1">
      <c r="A173" s="20" t="s">
        <v>1499</v>
      </c>
      <c r="B173" s="20" t="s">
        <v>1500</v>
      </c>
      <c r="C173" s="20" t="s">
        <v>650</v>
      </c>
      <c r="D173" s="20" t="s">
        <v>1501</v>
      </c>
      <c r="E173" s="20" t="s">
        <v>55</v>
      </c>
      <c r="F173" s="20" t="s">
        <v>91</v>
      </c>
      <c r="G173" s="20" t="s">
        <v>55</v>
      </c>
      <c r="H173" s="20" t="s">
        <v>1502</v>
      </c>
      <c r="I173" s="20" t="s">
        <v>1503</v>
      </c>
      <c r="J173" s="20" t="s">
        <v>57</v>
      </c>
      <c r="K173" s="21" t="s">
        <v>1504</v>
      </c>
      <c r="L173" s="21" t="s">
        <v>1505</v>
      </c>
      <c r="M173" s="21" t="s">
        <v>225</v>
      </c>
      <c r="N173" s="21"/>
      <c r="O173" s="21" t="s">
        <v>450</v>
      </c>
      <c r="P173" s="21" t="s">
        <v>107</v>
      </c>
    </row>
    <row r="174" ht="15.75" customHeight="1">
      <c r="A174" s="22" t="s">
        <v>1506</v>
      </c>
      <c r="B174" s="22" t="s">
        <v>1507</v>
      </c>
      <c r="C174" s="22" t="s">
        <v>1508</v>
      </c>
      <c r="D174" s="22" t="s">
        <v>1509</v>
      </c>
      <c r="E174" s="22" t="s">
        <v>231</v>
      </c>
      <c r="F174" s="22" t="s">
        <v>79</v>
      </c>
      <c r="G174" s="22"/>
      <c r="H174" s="22" t="s">
        <v>1510</v>
      </c>
      <c r="I174" s="22" t="s">
        <v>1511</v>
      </c>
      <c r="J174" s="22" t="s">
        <v>57</v>
      </c>
      <c r="K174" s="22" t="s">
        <v>816</v>
      </c>
      <c r="L174" s="22" t="s">
        <v>1512</v>
      </c>
      <c r="M174" s="22"/>
      <c r="N174" s="22"/>
      <c r="O174" s="22" t="s">
        <v>1093</v>
      </c>
      <c r="P174" s="22" t="s">
        <v>107</v>
      </c>
    </row>
    <row r="175" ht="15.75" customHeight="1">
      <c r="A175" s="20" t="s">
        <v>1513</v>
      </c>
      <c r="B175" s="20" t="s">
        <v>1514</v>
      </c>
      <c r="C175" s="20" t="s">
        <v>1515</v>
      </c>
      <c r="D175" s="20" t="s">
        <v>1516</v>
      </c>
      <c r="E175" s="20" t="s">
        <v>1517</v>
      </c>
      <c r="F175" s="20" t="s">
        <v>130</v>
      </c>
      <c r="G175" s="20" t="s">
        <v>1518</v>
      </c>
      <c r="H175" s="20" t="s">
        <v>1519</v>
      </c>
      <c r="I175" s="20" t="s">
        <v>1520</v>
      </c>
      <c r="J175" s="20" t="s">
        <v>57</v>
      </c>
      <c r="K175" s="21" t="s">
        <v>1521</v>
      </c>
      <c r="L175" s="21" t="s">
        <v>1522</v>
      </c>
      <c r="M175" s="21" t="s">
        <v>72</v>
      </c>
      <c r="N175" s="21"/>
      <c r="O175" s="21" t="s">
        <v>159</v>
      </c>
      <c r="P175" s="21"/>
    </row>
    <row r="176" ht="15.75" customHeight="1">
      <c r="A176" s="22" t="s">
        <v>1523</v>
      </c>
      <c r="B176" s="22" t="s">
        <v>1524</v>
      </c>
      <c r="C176" s="22"/>
      <c r="D176" s="22" t="s">
        <v>1525</v>
      </c>
      <c r="E176" s="22" t="s">
        <v>129</v>
      </c>
      <c r="F176" s="22" t="s">
        <v>130</v>
      </c>
      <c r="G176" s="22" t="s">
        <v>1526</v>
      </c>
      <c r="H176" s="22" t="s">
        <v>1527</v>
      </c>
      <c r="I176" s="22" t="s">
        <v>1528</v>
      </c>
      <c r="J176" s="22" t="s">
        <v>57</v>
      </c>
      <c r="K176" s="22" t="s">
        <v>1529</v>
      </c>
      <c r="L176" s="22" t="s">
        <v>1530</v>
      </c>
      <c r="M176" s="22" t="s">
        <v>304</v>
      </c>
      <c r="N176" s="22"/>
      <c r="O176" s="22" t="s">
        <v>501</v>
      </c>
      <c r="P176" s="22"/>
    </row>
    <row r="177" ht="15.75" customHeight="1">
      <c r="A177" s="20" t="s">
        <v>1531</v>
      </c>
      <c r="B177" s="20" t="s">
        <v>1532</v>
      </c>
      <c r="C177" s="20"/>
      <c r="D177" s="20" t="s">
        <v>1533</v>
      </c>
      <c r="E177" s="20" t="s">
        <v>1534</v>
      </c>
      <c r="F177" s="20" t="s">
        <v>363</v>
      </c>
      <c r="G177" s="20" t="s">
        <v>1535</v>
      </c>
      <c r="H177" s="20" t="s">
        <v>1536</v>
      </c>
      <c r="I177" s="20" t="s">
        <v>1537</v>
      </c>
      <c r="J177" s="20" t="s">
        <v>57</v>
      </c>
      <c r="K177" s="21" t="s">
        <v>1538</v>
      </c>
      <c r="L177" s="21" t="s">
        <v>84</v>
      </c>
      <c r="M177" s="21" t="s">
        <v>1151</v>
      </c>
      <c r="N177" s="21"/>
      <c r="O177" s="21" t="s">
        <v>459</v>
      </c>
      <c r="P177" s="21"/>
    </row>
    <row r="178" ht="15.75" customHeight="1">
      <c r="A178" s="22" t="s">
        <v>1539</v>
      </c>
      <c r="B178" s="22"/>
      <c r="C178" s="22"/>
      <c r="D178" s="22" t="s">
        <v>1540</v>
      </c>
      <c r="E178" s="22" t="s">
        <v>1541</v>
      </c>
      <c r="F178" s="22" t="s">
        <v>112</v>
      </c>
      <c r="G178" s="22" t="s">
        <v>1542</v>
      </c>
      <c r="H178" s="22"/>
      <c r="I178" s="22" t="s">
        <v>1543</v>
      </c>
      <c r="J178" s="22" t="s">
        <v>57</v>
      </c>
      <c r="K178" s="22" t="s">
        <v>248</v>
      </c>
      <c r="L178" s="22" t="s">
        <v>84</v>
      </c>
      <c r="M178" s="22"/>
      <c r="N178" s="22"/>
      <c r="O178" s="22"/>
      <c r="P178" s="22"/>
    </row>
    <row r="179" ht="15.75" customHeight="1">
      <c r="A179" s="20" t="s">
        <v>1544</v>
      </c>
      <c r="B179" s="20" t="s">
        <v>1545</v>
      </c>
      <c r="C179" s="20"/>
      <c r="D179" s="20" t="s">
        <v>1546</v>
      </c>
      <c r="E179" s="20" t="s">
        <v>1547</v>
      </c>
      <c r="F179" s="20" t="s">
        <v>253</v>
      </c>
      <c r="G179" s="20"/>
      <c r="H179" s="20" t="s">
        <v>1548</v>
      </c>
      <c r="I179" s="20" t="s">
        <v>1549</v>
      </c>
      <c r="J179" s="20" t="s">
        <v>57</v>
      </c>
      <c r="K179" s="21" t="s">
        <v>670</v>
      </c>
      <c r="L179" s="21" t="s">
        <v>1550</v>
      </c>
      <c r="M179" s="21" t="s">
        <v>1551</v>
      </c>
      <c r="N179" s="21"/>
      <c r="O179" s="21" t="s">
        <v>269</v>
      </c>
      <c r="P179" s="21"/>
    </row>
    <row r="180" ht="15.75" customHeight="1">
      <c r="A180" s="22" t="s">
        <v>1552</v>
      </c>
      <c r="B180" s="22" t="s">
        <v>1553</v>
      </c>
      <c r="C180" s="22"/>
      <c r="D180" s="22" t="s">
        <v>1554</v>
      </c>
      <c r="E180" s="22" t="s">
        <v>231</v>
      </c>
      <c r="F180" s="22" t="s">
        <v>79</v>
      </c>
      <c r="G180" s="22" t="s">
        <v>1555</v>
      </c>
      <c r="H180" s="22"/>
      <c r="I180" s="22" t="s">
        <v>1556</v>
      </c>
      <c r="J180" s="22" t="s">
        <v>57</v>
      </c>
      <c r="K180" s="22" t="s">
        <v>124</v>
      </c>
      <c r="L180" s="22" t="s">
        <v>1557</v>
      </c>
      <c r="M180" s="22"/>
      <c r="N180" s="22"/>
      <c r="O180" s="22"/>
      <c r="P180" s="22"/>
    </row>
    <row r="181" ht="15.75" customHeight="1">
      <c r="A181" s="20" t="s">
        <v>1558</v>
      </c>
      <c r="B181" s="20" t="s">
        <v>1559</v>
      </c>
      <c r="C181" s="20"/>
      <c r="D181" s="20" t="s">
        <v>1560</v>
      </c>
      <c r="E181" s="20" t="s">
        <v>55</v>
      </c>
      <c r="F181" s="20" t="s">
        <v>91</v>
      </c>
      <c r="G181" s="20" t="s">
        <v>1561</v>
      </c>
      <c r="H181" s="20"/>
      <c r="I181" s="20" t="s">
        <v>1562</v>
      </c>
      <c r="J181" s="20" t="s">
        <v>57</v>
      </c>
      <c r="K181" s="21" t="s">
        <v>344</v>
      </c>
      <c r="L181" s="21"/>
      <c r="M181" s="21"/>
      <c r="N181" s="21"/>
      <c r="O181" s="21"/>
      <c r="P181" s="21"/>
    </row>
    <row r="182" ht="15.75" customHeight="1">
      <c r="A182" s="22" t="s">
        <v>1563</v>
      </c>
      <c r="B182" s="22" t="s">
        <v>1564</v>
      </c>
      <c r="C182" s="22"/>
      <c r="D182" s="22" t="s">
        <v>1565</v>
      </c>
      <c r="E182" s="22" t="s">
        <v>1566</v>
      </c>
      <c r="F182" s="22" t="s">
        <v>130</v>
      </c>
      <c r="G182" s="22"/>
      <c r="H182" s="22"/>
      <c r="I182" s="22" t="s">
        <v>1567</v>
      </c>
      <c r="J182" s="22" t="s">
        <v>57</v>
      </c>
      <c r="K182" s="22" t="s">
        <v>1398</v>
      </c>
      <c r="L182" s="22" t="s">
        <v>1568</v>
      </c>
      <c r="M182" s="22"/>
      <c r="N182" s="22"/>
      <c r="O182" s="22" t="s">
        <v>137</v>
      </c>
      <c r="P182" s="22"/>
    </row>
    <row r="183" ht="15.75" customHeight="1">
      <c r="A183" s="20" t="s">
        <v>1569</v>
      </c>
      <c r="B183" s="20"/>
      <c r="C183" s="20"/>
      <c r="D183" s="20"/>
      <c r="E183" s="20" t="s">
        <v>1570</v>
      </c>
      <c r="F183" s="20" t="s">
        <v>130</v>
      </c>
      <c r="G183" s="20"/>
      <c r="H183" s="20"/>
      <c r="I183" s="20"/>
      <c r="J183" s="20" t="s">
        <v>57</v>
      </c>
      <c r="K183" s="21" t="s">
        <v>124</v>
      </c>
      <c r="L183" s="21" t="s">
        <v>1571</v>
      </c>
      <c r="M183" s="21"/>
      <c r="N183" s="21"/>
      <c r="O183" s="21" t="s">
        <v>159</v>
      </c>
      <c r="P183" s="21"/>
    </row>
    <row r="184" ht="15.75" customHeight="1">
      <c r="A184" s="22" t="s">
        <v>1572</v>
      </c>
      <c r="B184" s="22" t="s">
        <v>1573</v>
      </c>
      <c r="C184" s="22"/>
      <c r="D184" s="22" t="s">
        <v>1574</v>
      </c>
      <c r="E184" s="22" t="s">
        <v>1575</v>
      </c>
      <c r="F184" s="22" t="s">
        <v>91</v>
      </c>
      <c r="G184" s="22"/>
      <c r="H184" s="22"/>
      <c r="I184" s="22" t="s">
        <v>1576</v>
      </c>
      <c r="J184" s="22" t="s">
        <v>57</v>
      </c>
      <c r="K184" s="22" t="s">
        <v>430</v>
      </c>
      <c r="L184" s="22" t="s">
        <v>84</v>
      </c>
      <c r="M184" s="22"/>
      <c r="N184" s="22"/>
      <c r="O184" s="22"/>
      <c r="P184" s="22"/>
    </row>
    <row r="185" ht="15.75" customHeight="1">
      <c r="A185" s="20" t="s">
        <v>1577</v>
      </c>
      <c r="B185" s="20" t="s">
        <v>1578</v>
      </c>
      <c r="C185" s="20" t="s">
        <v>1579</v>
      </c>
      <c r="D185" s="20" t="s">
        <v>1580</v>
      </c>
      <c r="E185" s="20" t="s">
        <v>1581</v>
      </c>
      <c r="F185" s="20" t="s">
        <v>79</v>
      </c>
      <c r="G185" s="20"/>
      <c r="H185" s="20" t="s">
        <v>1582</v>
      </c>
      <c r="I185" s="20" t="s">
        <v>1583</v>
      </c>
      <c r="J185" s="20" t="s">
        <v>57</v>
      </c>
      <c r="K185" s="21" t="s">
        <v>157</v>
      </c>
      <c r="L185" s="21" t="s">
        <v>583</v>
      </c>
      <c r="M185" s="21" t="s">
        <v>1584</v>
      </c>
      <c r="N185" s="21"/>
      <c r="O185" s="21" t="s">
        <v>159</v>
      </c>
      <c r="P185" s="21" t="s">
        <v>107</v>
      </c>
    </row>
    <row r="186" ht="15.75" customHeight="1">
      <c r="A186" s="22" t="s">
        <v>1585</v>
      </c>
      <c r="B186" s="22" t="s">
        <v>1586</v>
      </c>
      <c r="C186" s="22"/>
      <c r="D186" s="22" t="s">
        <v>1587</v>
      </c>
      <c r="E186" s="22" t="s">
        <v>1486</v>
      </c>
      <c r="F186" s="22" t="s">
        <v>378</v>
      </c>
      <c r="G186" s="22" t="s">
        <v>1588</v>
      </c>
      <c r="H186" s="22" t="s">
        <v>876</v>
      </c>
      <c r="I186" s="22" t="s">
        <v>1589</v>
      </c>
      <c r="J186" s="22" t="s">
        <v>57</v>
      </c>
      <c r="K186" s="22" t="s">
        <v>1590</v>
      </c>
      <c r="L186" s="22" t="s">
        <v>1591</v>
      </c>
      <c r="M186" s="22" t="s">
        <v>85</v>
      </c>
      <c r="N186" s="22"/>
      <c r="O186" s="22" t="s">
        <v>450</v>
      </c>
      <c r="P186" s="22" t="s">
        <v>107</v>
      </c>
    </row>
    <row r="187" ht="15.75" customHeight="1">
      <c r="A187" s="20" t="s">
        <v>1592</v>
      </c>
      <c r="B187" s="20" t="s">
        <v>1593</v>
      </c>
      <c r="C187" s="20" t="s">
        <v>650</v>
      </c>
      <c r="D187" s="20" t="s">
        <v>1594</v>
      </c>
      <c r="E187" s="20" t="s">
        <v>55</v>
      </c>
      <c r="F187" s="20" t="s">
        <v>91</v>
      </c>
      <c r="G187" s="20" t="s">
        <v>55</v>
      </c>
      <c r="H187" s="20" t="s">
        <v>1595</v>
      </c>
      <c r="I187" s="20" t="s">
        <v>1596</v>
      </c>
      <c r="J187" s="20" t="s">
        <v>57</v>
      </c>
      <c r="K187" s="21" t="s">
        <v>1597</v>
      </c>
      <c r="L187" s="21" t="s">
        <v>1598</v>
      </c>
      <c r="M187" s="21" t="s">
        <v>719</v>
      </c>
      <c r="N187" s="21"/>
      <c r="O187" s="21" t="s">
        <v>495</v>
      </c>
      <c r="P187" s="21" t="s">
        <v>107</v>
      </c>
    </row>
    <row r="188" ht="15.75" customHeight="1">
      <c r="A188" s="22" t="s">
        <v>1599</v>
      </c>
      <c r="B188" s="22" t="s">
        <v>1600</v>
      </c>
      <c r="C188" s="22"/>
      <c r="D188" s="22" t="s">
        <v>1601</v>
      </c>
      <c r="E188" s="22" t="s">
        <v>1602</v>
      </c>
      <c r="F188" s="22" t="s">
        <v>101</v>
      </c>
      <c r="G188" s="22" t="s">
        <v>1603</v>
      </c>
      <c r="H188" s="22" t="s">
        <v>1604</v>
      </c>
      <c r="I188" s="22" t="s">
        <v>1605</v>
      </c>
      <c r="J188" s="22" t="s">
        <v>57</v>
      </c>
      <c r="K188" s="22" t="s">
        <v>1606</v>
      </c>
      <c r="L188" s="22" t="s">
        <v>1607</v>
      </c>
      <c r="M188" s="22" t="s">
        <v>1608</v>
      </c>
      <c r="N188" s="22"/>
      <c r="O188" s="22" t="s">
        <v>185</v>
      </c>
      <c r="P188" s="22"/>
    </row>
    <row r="189" ht="15.75" customHeight="1">
      <c r="A189" s="20" t="s">
        <v>1609</v>
      </c>
      <c r="B189" s="20" t="s">
        <v>1610</v>
      </c>
      <c r="C189" s="20"/>
      <c r="D189" s="20" t="s">
        <v>1611</v>
      </c>
      <c r="E189" s="20" t="s">
        <v>1612</v>
      </c>
      <c r="F189" s="20" t="s">
        <v>130</v>
      </c>
      <c r="G189" s="20" t="s">
        <v>1613</v>
      </c>
      <c r="H189" s="20" t="s">
        <v>1614</v>
      </c>
      <c r="I189" s="20" t="s">
        <v>1615</v>
      </c>
      <c r="J189" s="20" t="s">
        <v>57</v>
      </c>
      <c r="K189" s="21" t="s">
        <v>1616</v>
      </c>
      <c r="L189" s="21" t="s">
        <v>84</v>
      </c>
      <c r="M189" s="21"/>
      <c r="N189" s="21"/>
      <c r="O189" s="21" t="s">
        <v>495</v>
      </c>
      <c r="P189" s="21"/>
    </row>
    <row r="190" ht="15.75" customHeight="1">
      <c r="A190" s="22" t="s">
        <v>1617</v>
      </c>
      <c r="B190" s="22" t="s">
        <v>1618</v>
      </c>
      <c r="C190" s="22"/>
      <c r="D190" s="22" t="s">
        <v>1619</v>
      </c>
      <c r="E190" s="22" t="s">
        <v>1620</v>
      </c>
      <c r="F190" s="22" t="s">
        <v>363</v>
      </c>
      <c r="G190" s="22" t="s">
        <v>1621</v>
      </c>
      <c r="H190" s="22" t="s">
        <v>1622</v>
      </c>
      <c r="I190" s="22" t="s">
        <v>1623</v>
      </c>
      <c r="J190" s="22" t="s">
        <v>57</v>
      </c>
      <c r="K190" s="22" t="s">
        <v>1624</v>
      </c>
      <c r="L190" s="22" t="s">
        <v>1625</v>
      </c>
      <c r="M190" s="22" t="s">
        <v>541</v>
      </c>
      <c r="N190" s="22"/>
      <c r="O190" s="22" t="s">
        <v>450</v>
      </c>
      <c r="P190" s="22"/>
    </row>
    <row r="191" ht="15.75" customHeight="1">
      <c r="A191" s="20" t="s">
        <v>1626</v>
      </c>
      <c r="B191" s="20" t="s">
        <v>1627</v>
      </c>
      <c r="C191" s="20" t="s">
        <v>534</v>
      </c>
      <c r="D191" s="20" t="s">
        <v>1628</v>
      </c>
      <c r="E191" s="20" t="s">
        <v>1620</v>
      </c>
      <c r="F191" s="20" t="s">
        <v>363</v>
      </c>
      <c r="G191" s="20"/>
      <c r="H191" s="20" t="s">
        <v>1629</v>
      </c>
      <c r="I191" s="20" t="s">
        <v>1630</v>
      </c>
      <c r="J191" s="20" t="s">
        <v>57</v>
      </c>
      <c r="K191" s="21" t="s">
        <v>1631</v>
      </c>
      <c r="L191" s="21" t="s">
        <v>1632</v>
      </c>
      <c r="M191" s="21" t="s">
        <v>520</v>
      </c>
      <c r="N191" s="21"/>
      <c r="O191" s="21" t="s">
        <v>159</v>
      </c>
      <c r="P191" s="21"/>
    </row>
    <row r="192" ht="15.75" customHeight="1">
      <c r="A192" s="22" t="s">
        <v>1633</v>
      </c>
      <c r="B192" s="22" t="s">
        <v>1634</v>
      </c>
      <c r="C192" s="22" t="s">
        <v>1635</v>
      </c>
      <c r="D192" s="22" t="s">
        <v>1636</v>
      </c>
      <c r="E192" s="22" t="s">
        <v>1620</v>
      </c>
      <c r="F192" s="22" t="s">
        <v>363</v>
      </c>
      <c r="G192" s="22"/>
      <c r="H192" s="22" t="s">
        <v>1622</v>
      </c>
      <c r="I192" s="22" t="s">
        <v>1637</v>
      </c>
      <c r="J192" s="22" t="s">
        <v>57</v>
      </c>
      <c r="K192" s="22" t="s">
        <v>1638</v>
      </c>
      <c r="L192" s="22" t="s">
        <v>1639</v>
      </c>
      <c r="M192" s="22" t="s">
        <v>1324</v>
      </c>
      <c r="N192" s="22"/>
      <c r="O192" s="22" t="s">
        <v>596</v>
      </c>
      <c r="P192" s="22"/>
    </row>
    <row r="193" ht="15.75" customHeight="1">
      <c r="A193" s="20" t="s">
        <v>1640</v>
      </c>
      <c r="B193" s="20" t="s">
        <v>1641</v>
      </c>
      <c r="C193" s="20"/>
      <c r="D193" s="20" t="s">
        <v>1642</v>
      </c>
      <c r="E193" s="20" t="s">
        <v>1643</v>
      </c>
      <c r="F193" s="20" t="s">
        <v>378</v>
      </c>
      <c r="G193" s="20" t="s">
        <v>1644</v>
      </c>
      <c r="H193" s="20" t="s">
        <v>1645</v>
      </c>
      <c r="I193" s="20" t="s">
        <v>1646</v>
      </c>
      <c r="J193" s="20" t="s">
        <v>57</v>
      </c>
      <c r="K193" s="21" t="s">
        <v>1647</v>
      </c>
      <c r="L193" s="21" t="s">
        <v>1648</v>
      </c>
      <c r="M193" s="21" t="s">
        <v>1649</v>
      </c>
      <c r="N193" s="21"/>
      <c r="O193" s="21" t="s">
        <v>185</v>
      </c>
      <c r="P193" s="21"/>
    </row>
    <row r="194" ht="15.75" customHeight="1">
      <c r="A194" s="22" t="s">
        <v>1650</v>
      </c>
      <c r="B194" s="22" t="s">
        <v>1651</v>
      </c>
      <c r="C194" s="22"/>
      <c r="D194" s="22" t="s">
        <v>1652</v>
      </c>
      <c r="E194" s="22" t="s">
        <v>1653</v>
      </c>
      <c r="F194" s="22" t="s">
        <v>101</v>
      </c>
      <c r="G194" s="22"/>
      <c r="H194" s="22" t="s">
        <v>1654</v>
      </c>
      <c r="I194" s="22" t="s">
        <v>1655</v>
      </c>
      <c r="J194" s="22" t="s">
        <v>57</v>
      </c>
      <c r="K194" s="22" t="s">
        <v>1656</v>
      </c>
      <c r="L194" s="22" t="s">
        <v>1657</v>
      </c>
      <c r="M194" s="22"/>
      <c r="N194" s="22"/>
      <c r="O194" s="22" t="s">
        <v>1093</v>
      </c>
      <c r="P194" s="22"/>
    </row>
    <row r="195" ht="15.75" customHeight="1">
      <c r="A195" s="20" t="s">
        <v>1658</v>
      </c>
      <c r="B195" s="20" t="s">
        <v>1659</v>
      </c>
      <c r="C195" s="20"/>
      <c r="D195" s="20" t="s">
        <v>1660</v>
      </c>
      <c r="E195" s="20" t="s">
        <v>1620</v>
      </c>
      <c r="F195" s="20" t="s">
        <v>363</v>
      </c>
      <c r="G195" s="20" t="s">
        <v>1621</v>
      </c>
      <c r="H195" s="20" t="s">
        <v>1661</v>
      </c>
      <c r="I195" s="20" t="s">
        <v>1662</v>
      </c>
      <c r="J195" s="20" t="s">
        <v>57</v>
      </c>
      <c r="K195" s="21" t="s">
        <v>1663</v>
      </c>
      <c r="L195" s="21" t="s">
        <v>1664</v>
      </c>
      <c r="M195" s="21"/>
      <c r="N195" s="21"/>
      <c r="O195" s="21" t="s">
        <v>1665</v>
      </c>
      <c r="P195" s="21"/>
    </row>
    <row r="196" ht="15.75" customHeight="1">
      <c r="A196" s="22" t="s">
        <v>1666</v>
      </c>
      <c r="B196" s="22" t="s">
        <v>1667</v>
      </c>
      <c r="C196" s="22" t="s">
        <v>1668</v>
      </c>
      <c r="D196" s="22" t="s">
        <v>1669</v>
      </c>
      <c r="E196" s="22" t="s">
        <v>813</v>
      </c>
      <c r="F196" s="22" t="s">
        <v>101</v>
      </c>
      <c r="G196" s="22" t="s">
        <v>1670</v>
      </c>
      <c r="H196" s="22" t="s">
        <v>1671</v>
      </c>
      <c r="I196" s="22" t="s">
        <v>1672</v>
      </c>
      <c r="J196" s="22" t="s">
        <v>57</v>
      </c>
      <c r="K196" s="22" t="s">
        <v>1372</v>
      </c>
      <c r="L196" s="22" t="s">
        <v>1673</v>
      </c>
      <c r="M196" s="22" t="s">
        <v>268</v>
      </c>
      <c r="N196" s="22"/>
      <c r="O196" s="22" t="s">
        <v>258</v>
      </c>
      <c r="P196" s="22"/>
    </row>
    <row r="197" ht="15.75" customHeight="1">
      <c r="A197" s="20" t="s">
        <v>1674</v>
      </c>
      <c r="B197" s="20" t="s">
        <v>1675</v>
      </c>
      <c r="C197" s="20"/>
      <c r="D197" s="20" t="s">
        <v>1676</v>
      </c>
      <c r="E197" s="20" t="s">
        <v>55</v>
      </c>
      <c r="F197" s="20" t="s">
        <v>91</v>
      </c>
      <c r="G197" s="20" t="s">
        <v>55</v>
      </c>
      <c r="H197" s="20" t="s">
        <v>1677</v>
      </c>
      <c r="I197" s="20" t="s">
        <v>1678</v>
      </c>
      <c r="J197" s="20" t="s">
        <v>57</v>
      </c>
      <c r="K197" s="21"/>
      <c r="L197" s="21" t="s">
        <v>1679</v>
      </c>
      <c r="M197" s="21" t="s">
        <v>1680</v>
      </c>
      <c r="N197" s="21"/>
      <c r="O197" s="21" t="s">
        <v>269</v>
      </c>
      <c r="P197" s="21" t="s">
        <v>107</v>
      </c>
    </row>
    <row r="198" ht="15.75" customHeight="1">
      <c r="A198" s="22" t="s">
        <v>1681</v>
      </c>
      <c r="B198" s="22" t="s">
        <v>1682</v>
      </c>
      <c r="C198" s="22"/>
      <c r="D198" s="22" t="s">
        <v>1683</v>
      </c>
      <c r="E198" s="22" t="s">
        <v>55</v>
      </c>
      <c r="F198" s="22" t="s">
        <v>91</v>
      </c>
      <c r="G198" s="22" t="s">
        <v>1684</v>
      </c>
      <c r="H198" s="22" t="s">
        <v>1685</v>
      </c>
      <c r="I198" s="22" t="s">
        <v>1686</v>
      </c>
      <c r="J198" s="22" t="s">
        <v>57</v>
      </c>
      <c r="K198" s="22" t="s">
        <v>1687</v>
      </c>
      <c r="L198" s="22" t="s">
        <v>1688</v>
      </c>
      <c r="M198" s="22"/>
      <c r="N198" s="22"/>
      <c r="O198" s="22" t="s">
        <v>137</v>
      </c>
      <c r="P198" s="22"/>
    </row>
    <row r="199" ht="15.75" customHeight="1">
      <c r="A199" s="20" t="s">
        <v>1689</v>
      </c>
      <c r="B199" s="20" t="s">
        <v>287</v>
      </c>
      <c r="C199" s="20"/>
      <c r="D199" s="20" t="s">
        <v>1690</v>
      </c>
      <c r="E199" s="20" t="s">
        <v>1691</v>
      </c>
      <c r="F199" s="20" t="s">
        <v>101</v>
      </c>
      <c r="G199" s="20"/>
      <c r="H199" s="20" t="s">
        <v>1692</v>
      </c>
      <c r="I199" s="20" t="s">
        <v>1693</v>
      </c>
      <c r="J199" s="20" t="s">
        <v>57</v>
      </c>
      <c r="K199" s="21" t="s">
        <v>1694</v>
      </c>
      <c r="L199" s="21" t="s">
        <v>1695</v>
      </c>
      <c r="M199" s="21" t="s">
        <v>294</v>
      </c>
      <c r="N199" s="21"/>
      <c r="O199" s="21" t="s">
        <v>412</v>
      </c>
      <c r="P199" s="21"/>
    </row>
    <row r="200" ht="15.75" customHeight="1">
      <c r="A200" s="22" t="s">
        <v>1696</v>
      </c>
      <c r="B200" s="22" t="s">
        <v>1697</v>
      </c>
      <c r="C200" s="22" t="s">
        <v>1698</v>
      </c>
      <c r="D200" s="22" t="s">
        <v>1699</v>
      </c>
      <c r="E200" s="22" t="s">
        <v>1700</v>
      </c>
      <c r="F200" s="22" t="s">
        <v>112</v>
      </c>
      <c r="G200" s="22" t="s">
        <v>926</v>
      </c>
      <c r="H200" s="22" t="s">
        <v>1701</v>
      </c>
      <c r="I200" s="22" t="s">
        <v>1702</v>
      </c>
      <c r="J200" s="22" t="s">
        <v>57</v>
      </c>
      <c r="K200" s="22" t="s">
        <v>1703</v>
      </c>
      <c r="L200" s="22" t="s">
        <v>1704</v>
      </c>
      <c r="M200" s="22" t="s">
        <v>710</v>
      </c>
      <c r="N200" s="22"/>
      <c r="O200" s="22" t="s">
        <v>137</v>
      </c>
      <c r="P200" s="22"/>
    </row>
    <row r="201" ht="15.75" customHeight="1">
      <c r="A201" s="20" t="s">
        <v>1705</v>
      </c>
      <c r="B201" s="20" t="s">
        <v>1706</v>
      </c>
      <c r="C201" s="20"/>
      <c r="D201" s="20" t="s">
        <v>1707</v>
      </c>
      <c r="E201" s="20" t="s">
        <v>1708</v>
      </c>
      <c r="F201" s="20" t="s">
        <v>130</v>
      </c>
      <c r="G201" s="20" t="s">
        <v>1709</v>
      </c>
      <c r="H201" s="20" t="s">
        <v>1710</v>
      </c>
      <c r="I201" s="20" t="s">
        <v>1711</v>
      </c>
      <c r="J201" s="20" t="s">
        <v>57</v>
      </c>
      <c r="K201" s="21" t="s">
        <v>1712</v>
      </c>
      <c r="L201" s="21" t="s">
        <v>84</v>
      </c>
      <c r="M201" s="21"/>
      <c r="N201" s="21"/>
      <c r="O201" s="21" t="s">
        <v>137</v>
      </c>
      <c r="P201" s="21"/>
    </row>
    <row r="202" ht="15.75" customHeight="1">
      <c r="A202" s="22" t="s">
        <v>1713</v>
      </c>
      <c r="B202" s="22" t="s">
        <v>1714</v>
      </c>
      <c r="C202" s="22" t="s">
        <v>1715</v>
      </c>
      <c r="D202" s="22" t="s">
        <v>1716</v>
      </c>
      <c r="E202" s="22" t="s">
        <v>1717</v>
      </c>
      <c r="F202" s="22" t="s">
        <v>130</v>
      </c>
      <c r="G202" s="22" t="s">
        <v>1718</v>
      </c>
      <c r="H202" s="22"/>
      <c r="I202" s="22" t="s">
        <v>1719</v>
      </c>
      <c r="J202" s="22" t="s">
        <v>57</v>
      </c>
      <c r="K202" s="22" t="s">
        <v>124</v>
      </c>
      <c r="L202" s="22" t="s">
        <v>84</v>
      </c>
      <c r="M202" s="22" t="s">
        <v>304</v>
      </c>
      <c r="N202" s="22"/>
      <c r="O202" s="22" t="s">
        <v>137</v>
      </c>
      <c r="P202" s="22"/>
    </row>
    <row r="203" ht="15.75" customHeight="1">
      <c r="A203" s="20" t="s">
        <v>1720</v>
      </c>
      <c r="B203" s="20" t="s">
        <v>1721</v>
      </c>
      <c r="C203" s="20" t="s">
        <v>1722</v>
      </c>
      <c r="D203" s="20" t="s">
        <v>1723</v>
      </c>
      <c r="E203" s="20"/>
      <c r="F203" s="20" t="s">
        <v>130</v>
      </c>
      <c r="G203" s="20"/>
      <c r="H203" s="20"/>
      <c r="I203" s="20"/>
      <c r="J203" s="20" t="s">
        <v>57</v>
      </c>
      <c r="K203" s="21" t="s">
        <v>124</v>
      </c>
      <c r="L203" s="21" t="s">
        <v>84</v>
      </c>
      <c r="M203" s="21"/>
      <c r="N203" s="21"/>
      <c r="O203" s="21"/>
      <c r="P203" s="21"/>
    </row>
    <row r="204" ht="15.75" customHeight="1">
      <c r="A204" s="22" t="s">
        <v>1724</v>
      </c>
      <c r="B204" s="22" t="s">
        <v>1725</v>
      </c>
      <c r="C204" s="22" t="s">
        <v>1726</v>
      </c>
      <c r="D204" s="22"/>
      <c r="E204" s="22" t="s">
        <v>1517</v>
      </c>
      <c r="F204" s="22" t="s">
        <v>130</v>
      </c>
      <c r="G204" s="22" t="s">
        <v>1727</v>
      </c>
      <c r="H204" s="22"/>
      <c r="I204" s="22"/>
      <c r="J204" s="22" t="s">
        <v>57</v>
      </c>
      <c r="K204" s="22" t="s">
        <v>124</v>
      </c>
      <c r="L204" s="22" t="s">
        <v>84</v>
      </c>
      <c r="M204" s="22"/>
      <c r="N204" s="22"/>
      <c r="O204" s="22" t="s">
        <v>359</v>
      </c>
      <c r="P204" s="22"/>
    </row>
    <row r="205" ht="15.75" customHeight="1">
      <c r="A205" s="20" t="s">
        <v>1728</v>
      </c>
      <c r="B205" s="20" t="s">
        <v>1729</v>
      </c>
      <c r="C205" s="20"/>
      <c r="D205" s="20" t="s">
        <v>1730</v>
      </c>
      <c r="E205" s="20" t="s">
        <v>1731</v>
      </c>
      <c r="F205" s="20" t="s">
        <v>130</v>
      </c>
      <c r="G205" s="20" t="s">
        <v>1732</v>
      </c>
      <c r="H205" s="20" t="s">
        <v>1733</v>
      </c>
      <c r="I205" s="20" t="s">
        <v>1734</v>
      </c>
      <c r="J205" s="20" t="s">
        <v>57</v>
      </c>
      <c r="K205" s="21" t="s">
        <v>1735</v>
      </c>
      <c r="L205" s="21" t="s">
        <v>1736</v>
      </c>
      <c r="M205" s="21" t="s">
        <v>1737</v>
      </c>
      <c r="N205" s="21"/>
      <c r="O205" s="21" t="s">
        <v>148</v>
      </c>
      <c r="P205" s="21"/>
    </row>
    <row r="206" ht="15.75" customHeight="1">
      <c r="A206" s="22" t="s">
        <v>1738</v>
      </c>
      <c r="B206" s="22" t="s">
        <v>1739</v>
      </c>
      <c r="C206" s="22"/>
      <c r="D206" s="22" t="s">
        <v>1740</v>
      </c>
      <c r="E206" s="22" t="s">
        <v>1741</v>
      </c>
      <c r="F206" s="22" t="s">
        <v>79</v>
      </c>
      <c r="G206" s="22"/>
      <c r="H206" s="22" t="s">
        <v>1742</v>
      </c>
      <c r="I206" s="22" t="s">
        <v>1743</v>
      </c>
      <c r="J206" s="22" t="s">
        <v>57</v>
      </c>
      <c r="K206" s="22" t="s">
        <v>1744</v>
      </c>
      <c r="L206" s="22" t="s">
        <v>1745</v>
      </c>
      <c r="M206" s="22"/>
      <c r="N206" s="22"/>
      <c r="O206" s="22"/>
      <c r="P206" s="22"/>
    </row>
    <row r="207" ht="15.75" customHeight="1">
      <c r="A207" s="20" t="s">
        <v>1746</v>
      </c>
      <c r="B207" s="20" t="s">
        <v>1747</v>
      </c>
      <c r="C207" s="20"/>
      <c r="D207" s="20" t="s">
        <v>1748</v>
      </c>
      <c r="E207" s="20" t="s">
        <v>1749</v>
      </c>
      <c r="F207" s="20" t="s">
        <v>130</v>
      </c>
      <c r="G207" s="20"/>
      <c r="H207" s="20" t="s">
        <v>1750</v>
      </c>
      <c r="I207" s="20" t="s">
        <v>1751</v>
      </c>
      <c r="J207" s="20" t="s">
        <v>57</v>
      </c>
      <c r="K207" s="21" t="s">
        <v>1752</v>
      </c>
      <c r="L207" s="21" t="s">
        <v>1753</v>
      </c>
      <c r="M207" s="21" t="s">
        <v>1754</v>
      </c>
      <c r="N207" s="21"/>
      <c r="O207" s="21" t="s">
        <v>73</v>
      </c>
      <c r="P207" s="21"/>
    </row>
    <row r="208" ht="15.75" customHeight="1">
      <c r="A208" s="22" t="s">
        <v>1755</v>
      </c>
      <c r="B208" s="22" t="s">
        <v>1756</v>
      </c>
      <c r="C208" s="22"/>
      <c r="D208" s="22" t="s">
        <v>1757</v>
      </c>
      <c r="E208" s="22" t="s">
        <v>1758</v>
      </c>
      <c r="F208" s="22" t="s">
        <v>79</v>
      </c>
      <c r="G208" s="22" t="s">
        <v>1759</v>
      </c>
      <c r="H208" s="22"/>
      <c r="I208" s="22" t="s">
        <v>1760</v>
      </c>
      <c r="J208" s="22" t="s">
        <v>57</v>
      </c>
      <c r="K208" s="22" t="s">
        <v>1761</v>
      </c>
      <c r="L208" s="22" t="s">
        <v>1762</v>
      </c>
      <c r="M208" s="22"/>
      <c r="N208" s="22"/>
      <c r="O208" s="22"/>
      <c r="P208" s="22"/>
    </row>
    <row r="209" ht="15.75" customHeight="1">
      <c r="A209" s="20" t="s">
        <v>1763</v>
      </c>
      <c r="B209" s="20" t="s">
        <v>1764</v>
      </c>
      <c r="C209" s="20" t="s">
        <v>1765</v>
      </c>
      <c r="D209" s="20" t="s">
        <v>1766</v>
      </c>
      <c r="E209" s="20" t="s">
        <v>1767</v>
      </c>
      <c r="F209" s="20" t="s">
        <v>130</v>
      </c>
      <c r="G209" s="20" t="s">
        <v>1768</v>
      </c>
      <c r="H209" s="20" t="s">
        <v>1769</v>
      </c>
      <c r="I209" s="20" t="s">
        <v>1770</v>
      </c>
      <c r="J209" s="20" t="s">
        <v>57</v>
      </c>
      <c r="K209" s="21" t="s">
        <v>1771</v>
      </c>
      <c r="L209" s="21" t="s">
        <v>1772</v>
      </c>
      <c r="M209" s="21" t="s">
        <v>60</v>
      </c>
      <c r="N209" s="21"/>
      <c r="O209" s="21" t="s">
        <v>501</v>
      </c>
      <c r="P209" s="21"/>
    </row>
    <row r="210" ht="15.75" customHeight="1">
      <c r="A210" s="22" t="s">
        <v>1773</v>
      </c>
      <c r="B210" s="22" t="s">
        <v>1774</v>
      </c>
      <c r="C210" s="22"/>
      <c r="D210" s="22" t="s">
        <v>1775</v>
      </c>
      <c r="E210" s="22" t="s">
        <v>231</v>
      </c>
      <c r="F210" s="22" t="s">
        <v>79</v>
      </c>
      <c r="G210" s="22" t="s">
        <v>1776</v>
      </c>
      <c r="H210" s="22" t="s">
        <v>1777</v>
      </c>
      <c r="I210" s="22" t="s">
        <v>1778</v>
      </c>
      <c r="J210" s="22" t="s">
        <v>57</v>
      </c>
      <c r="K210" s="22" t="s">
        <v>1779</v>
      </c>
      <c r="L210" s="22" t="s">
        <v>583</v>
      </c>
      <c r="M210" s="22"/>
      <c r="N210" s="22"/>
      <c r="O210" s="22"/>
      <c r="P210" s="22"/>
    </row>
    <row r="211" ht="15.75" customHeight="1">
      <c r="A211" s="20" t="s">
        <v>1780</v>
      </c>
      <c r="B211" s="20" t="s">
        <v>1781</v>
      </c>
      <c r="C211" s="20" t="s">
        <v>1782</v>
      </c>
      <c r="D211" s="20" t="s">
        <v>1783</v>
      </c>
      <c r="E211" s="20" t="s">
        <v>1784</v>
      </c>
      <c r="F211" s="20" t="s">
        <v>79</v>
      </c>
      <c r="G211" s="20" t="s">
        <v>1785</v>
      </c>
      <c r="H211" s="20" t="s">
        <v>1786</v>
      </c>
      <c r="I211" s="20" t="s">
        <v>1787</v>
      </c>
      <c r="J211" s="20" t="s">
        <v>57</v>
      </c>
      <c r="K211" s="21" t="s">
        <v>430</v>
      </c>
      <c r="L211" s="21" t="s">
        <v>583</v>
      </c>
      <c r="M211" s="21" t="s">
        <v>879</v>
      </c>
      <c r="N211" s="21"/>
      <c r="O211" s="21" t="s">
        <v>258</v>
      </c>
      <c r="P211" s="21"/>
    </row>
    <row r="212" ht="15.75" customHeight="1">
      <c r="A212" s="22" t="s">
        <v>1788</v>
      </c>
      <c r="B212" s="22" t="s">
        <v>1789</v>
      </c>
      <c r="C212" s="22"/>
      <c r="D212" s="22" t="s">
        <v>1790</v>
      </c>
      <c r="E212" s="22" t="s">
        <v>1791</v>
      </c>
      <c r="F212" s="22" t="s">
        <v>101</v>
      </c>
      <c r="G212" s="22" t="s">
        <v>1014</v>
      </c>
      <c r="H212" s="22" t="s">
        <v>1792</v>
      </c>
      <c r="I212" s="22" t="s">
        <v>1793</v>
      </c>
      <c r="J212" s="22" t="s">
        <v>57</v>
      </c>
      <c r="K212" s="22" t="s">
        <v>1794</v>
      </c>
      <c r="L212" s="22" t="s">
        <v>1795</v>
      </c>
      <c r="M212" s="22" t="s">
        <v>1151</v>
      </c>
      <c r="N212" s="22"/>
      <c r="O212" s="22" t="s">
        <v>73</v>
      </c>
      <c r="P212" s="22"/>
    </row>
    <row r="213" ht="15.75" customHeight="1">
      <c r="A213" s="20" t="s">
        <v>1796</v>
      </c>
      <c r="B213" s="20" t="s">
        <v>1797</v>
      </c>
      <c r="C213" s="20"/>
      <c r="D213" s="20" t="s">
        <v>1798</v>
      </c>
      <c r="E213" s="20" t="s">
        <v>1799</v>
      </c>
      <c r="F213" s="20" t="s">
        <v>363</v>
      </c>
      <c r="G213" s="20" t="s">
        <v>1800</v>
      </c>
      <c r="H213" s="20" t="s">
        <v>1801</v>
      </c>
      <c r="I213" s="20" t="s">
        <v>1802</v>
      </c>
      <c r="J213" s="20" t="s">
        <v>57</v>
      </c>
      <c r="K213" s="21" t="s">
        <v>1803</v>
      </c>
      <c r="L213" s="21" t="s">
        <v>1804</v>
      </c>
      <c r="M213" s="21"/>
      <c r="N213" s="21"/>
      <c r="O213" s="21"/>
      <c r="P213" s="21"/>
    </row>
    <row r="214" ht="15.75" customHeight="1">
      <c r="A214" s="22" t="s">
        <v>1805</v>
      </c>
      <c r="B214" s="22" t="s">
        <v>1806</v>
      </c>
      <c r="C214" s="22"/>
      <c r="D214" s="22" t="s">
        <v>1807</v>
      </c>
      <c r="E214" s="22" t="s">
        <v>55</v>
      </c>
      <c r="F214" s="22" t="s">
        <v>91</v>
      </c>
      <c r="G214" s="22" t="s">
        <v>55</v>
      </c>
      <c r="H214" s="22" t="s">
        <v>1808</v>
      </c>
      <c r="I214" s="22" t="s">
        <v>1809</v>
      </c>
      <c r="J214" s="22" t="s">
        <v>57</v>
      </c>
      <c r="K214" s="22" t="s">
        <v>1810</v>
      </c>
      <c r="L214" s="22" t="s">
        <v>84</v>
      </c>
      <c r="M214" s="22"/>
      <c r="N214" s="22"/>
      <c r="O214" s="22" t="s">
        <v>450</v>
      </c>
      <c r="P214" s="22"/>
    </row>
    <row r="215" ht="15.75" customHeight="1">
      <c r="A215" s="20" t="s">
        <v>1811</v>
      </c>
      <c r="B215" s="20" t="s">
        <v>1812</v>
      </c>
      <c r="C215" s="20"/>
      <c r="D215" s="20" t="s">
        <v>1813</v>
      </c>
      <c r="E215" s="20" t="s">
        <v>1814</v>
      </c>
      <c r="F215" s="20" t="s">
        <v>79</v>
      </c>
      <c r="G215" s="20" t="s">
        <v>1815</v>
      </c>
      <c r="H215" s="20"/>
      <c r="I215" s="20" t="s">
        <v>1816</v>
      </c>
      <c r="J215" s="20" t="s">
        <v>57</v>
      </c>
      <c r="K215" s="21" t="s">
        <v>740</v>
      </c>
      <c r="L215" s="21" t="s">
        <v>1817</v>
      </c>
      <c r="M215" s="21"/>
      <c r="N215" s="21"/>
      <c r="O215" s="21" t="s">
        <v>185</v>
      </c>
      <c r="P215" s="21"/>
    </row>
    <row r="216" ht="15.75" customHeight="1">
      <c r="A216" s="22" t="s">
        <v>1818</v>
      </c>
      <c r="B216" s="22" t="s">
        <v>1819</v>
      </c>
      <c r="C216" s="22" t="s">
        <v>1820</v>
      </c>
      <c r="D216" s="22" t="s">
        <v>1821</v>
      </c>
      <c r="E216" s="22" t="s">
        <v>1822</v>
      </c>
      <c r="F216" s="22" t="s">
        <v>130</v>
      </c>
      <c r="G216" s="22" t="s">
        <v>220</v>
      </c>
      <c r="H216" s="22" t="s">
        <v>1823</v>
      </c>
      <c r="I216" s="22" t="s">
        <v>1824</v>
      </c>
      <c r="J216" s="22" t="s">
        <v>57</v>
      </c>
      <c r="K216" s="22" t="s">
        <v>604</v>
      </c>
      <c r="L216" s="22" t="s">
        <v>583</v>
      </c>
      <c r="M216" s="22"/>
      <c r="N216" s="22"/>
      <c r="O216" s="22"/>
      <c r="P216" s="22" t="s">
        <v>107</v>
      </c>
    </row>
    <row r="217" ht="15.75" customHeight="1">
      <c r="A217" s="20" t="s">
        <v>1825</v>
      </c>
      <c r="B217" s="20" t="s">
        <v>1826</v>
      </c>
      <c r="C217" s="20" t="s">
        <v>1827</v>
      </c>
      <c r="D217" s="20" t="s">
        <v>1828</v>
      </c>
      <c r="E217" s="20" t="s">
        <v>55</v>
      </c>
      <c r="F217" s="20" t="s">
        <v>91</v>
      </c>
      <c r="G217" s="20" t="s">
        <v>1829</v>
      </c>
      <c r="H217" s="20" t="s">
        <v>1830</v>
      </c>
      <c r="I217" s="20" t="s">
        <v>1831</v>
      </c>
      <c r="J217" s="20" t="s">
        <v>57</v>
      </c>
      <c r="K217" s="21" t="s">
        <v>248</v>
      </c>
      <c r="L217" s="21" t="s">
        <v>1832</v>
      </c>
      <c r="M217" s="21"/>
      <c r="N217" s="21"/>
      <c r="O217" s="21" t="s">
        <v>269</v>
      </c>
      <c r="P217" s="21" t="s">
        <v>107</v>
      </c>
    </row>
    <row r="218" ht="15.75" customHeight="1">
      <c r="A218" s="22" t="s">
        <v>1833</v>
      </c>
      <c r="B218" s="22" t="s">
        <v>1834</v>
      </c>
      <c r="C218" s="22"/>
      <c r="D218" s="22" t="s">
        <v>1835</v>
      </c>
      <c r="E218" s="22" t="s">
        <v>1836</v>
      </c>
      <c r="F218" s="22" t="s">
        <v>112</v>
      </c>
      <c r="G218" s="22" t="s">
        <v>1837</v>
      </c>
      <c r="H218" s="22" t="s">
        <v>1838</v>
      </c>
      <c r="I218" s="22" t="s">
        <v>1839</v>
      </c>
      <c r="J218" s="22" t="s">
        <v>57</v>
      </c>
      <c r="K218" s="22" t="s">
        <v>1840</v>
      </c>
      <c r="L218" s="22" t="s">
        <v>1841</v>
      </c>
      <c r="M218" s="22" t="s">
        <v>1842</v>
      </c>
      <c r="N218" s="22"/>
      <c r="O218" s="22" t="s">
        <v>73</v>
      </c>
      <c r="P218" s="22"/>
    </row>
    <row r="219" ht="15.75" customHeight="1">
      <c r="A219" s="20" t="s">
        <v>1843</v>
      </c>
      <c r="B219" s="20"/>
      <c r="C219" s="20"/>
      <c r="D219" s="20" t="s">
        <v>1844</v>
      </c>
      <c r="E219" s="20" t="s">
        <v>308</v>
      </c>
      <c r="F219" s="20" t="s">
        <v>101</v>
      </c>
      <c r="G219" s="20" t="s">
        <v>1845</v>
      </c>
      <c r="H219" s="20" t="s">
        <v>1846</v>
      </c>
      <c r="I219" s="20" t="s">
        <v>1847</v>
      </c>
      <c r="J219" s="20" t="s">
        <v>57</v>
      </c>
      <c r="K219" s="21" t="s">
        <v>1848</v>
      </c>
      <c r="L219" s="21" t="s">
        <v>84</v>
      </c>
      <c r="M219" s="21" t="s">
        <v>294</v>
      </c>
      <c r="N219" s="21"/>
      <c r="O219" s="21" t="s">
        <v>73</v>
      </c>
      <c r="P219" s="21" t="s">
        <v>107</v>
      </c>
    </row>
    <row r="220" ht="15.75" customHeight="1">
      <c r="A220" s="22" t="s">
        <v>1849</v>
      </c>
      <c r="B220" s="22" t="s">
        <v>1850</v>
      </c>
      <c r="C220" s="22"/>
      <c r="D220" s="22" t="s">
        <v>1851</v>
      </c>
      <c r="E220" s="22" t="s">
        <v>1852</v>
      </c>
      <c r="F220" s="22" t="s">
        <v>253</v>
      </c>
      <c r="G220" s="22" t="s">
        <v>1853</v>
      </c>
      <c r="H220" s="22" t="s">
        <v>1854</v>
      </c>
      <c r="I220" s="22" t="s">
        <v>1855</v>
      </c>
      <c r="J220" s="22" t="s">
        <v>57</v>
      </c>
      <c r="K220" s="22" t="s">
        <v>1856</v>
      </c>
      <c r="L220" s="22" t="s">
        <v>1857</v>
      </c>
      <c r="M220" s="22" t="s">
        <v>1858</v>
      </c>
      <c r="N220" s="22"/>
      <c r="O220" s="22" t="s">
        <v>596</v>
      </c>
      <c r="P220" s="22"/>
    </row>
    <row r="221" ht="15.75" customHeight="1">
      <c r="A221" s="20" t="s">
        <v>1859</v>
      </c>
      <c r="B221" s="20" t="s">
        <v>1860</v>
      </c>
      <c r="C221" s="20"/>
      <c r="D221" s="20" t="s">
        <v>1861</v>
      </c>
      <c r="E221" s="20" t="s">
        <v>1862</v>
      </c>
      <c r="F221" s="20" t="s">
        <v>352</v>
      </c>
      <c r="G221" s="20"/>
      <c r="H221" s="20" t="s">
        <v>1863</v>
      </c>
      <c r="I221" s="20" t="s">
        <v>1864</v>
      </c>
      <c r="J221" s="20" t="s">
        <v>57</v>
      </c>
      <c r="K221" s="21" t="s">
        <v>157</v>
      </c>
      <c r="L221" s="21" t="s">
        <v>84</v>
      </c>
      <c r="M221" s="21"/>
      <c r="N221" s="21"/>
      <c r="O221" s="21" t="s">
        <v>459</v>
      </c>
      <c r="P221" s="21"/>
    </row>
    <row r="222" ht="15.75" customHeight="1">
      <c r="A222" s="22" t="s">
        <v>1865</v>
      </c>
      <c r="B222" s="22" t="s">
        <v>1866</v>
      </c>
      <c r="C222" s="22" t="s">
        <v>1867</v>
      </c>
      <c r="D222" s="22" t="s">
        <v>1868</v>
      </c>
      <c r="E222" s="22" t="s">
        <v>1869</v>
      </c>
      <c r="F222" s="22" t="s">
        <v>101</v>
      </c>
      <c r="G222" s="22" t="s">
        <v>1870</v>
      </c>
      <c r="H222" s="22" t="s">
        <v>1871</v>
      </c>
      <c r="I222" s="22" t="s">
        <v>1872</v>
      </c>
      <c r="J222" s="22" t="s">
        <v>57</v>
      </c>
      <c r="K222" s="22" t="s">
        <v>1873</v>
      </c>
      <c r="L222" s="22" t="s">
        <v>1874</v>
      </c>
      <c r="M222" s="22" t="s">
        <v>623</v>
      </c>
      <c r="N222" s="22"/>
      <c r="O222" s="22" t="s">
        <v>412</v>
      </c>
      <c r="P222" s="22"/>
    </row>
    <row r="223" ht="15.75" customHeight="1">
      <c r="A223" s="20" t="s">
        <v>1875</v>
      </c>
      <c r="B223" s="20" t="s">
        <v>1046</v>
      </c>
      <c r="C223" s="20" t="s">
        <v>1047</v>
      </c>
      <c r="D223" s="20" t="s">
        <v>1876</v>
      </c>
      <c r="E223" s="20" t="s">
        <v>1049</v>
      </c>
      <c r="F223" s="20" t="s">
        <v>263</v>
      </c>
      <c r="G223" s="20" t="s">
        <v>1877</v>
      </c>
      <c r="H223" s="20" t="s">
        <v>1878</v>
      </c>
      <c r="I223" s="20" t="s">
        <v>1879</v>
      </c>
      <c r="J223" s="20" t="s">
        <v>57</v>
      </c>
      <c r="K223" s="21" t="s">
        <v>1880</v>
      </c>
      <c r="L223" s="21" t="s">
        <v>84</v>
      </c>
      <c r="M223" s="21" t="s">
        <v>1151</v>
      </c>
      <c r="N223" s="21"/>
      <c r="O223" s="21" t="s">
        <v>450</v>
      </c>
      <c r="P223" s="21"/>
    </row>
    <row r="224" ht="15.75" customHeight="1">
      <c r="A224" s="22" t="s">
        <v>1881</v>
      </c>
      <c r="B224" s="22"/>
      <c r="C224" s="22"/>
      <c r="D224" s="22" t="s">
        <v>1882</v>
      </c>
      <c r="E224" s="22" t="s">
        <v>1883</v>
      </c>
      <c r="F224" s="22" t="s">
        <v>406</v>
      </c>
      <c r="G224" s="22"/>
      <c r="H224" s="22"/>
      <c r="I224" s="22" t="s">
        <v>1884</v>
      </c>
      <c r="J224" s="22" t="s">
        <v>57</v>
      </c>
      <c r="K224" s="22" t="s">
        <v>105</v>
      </c>
      <c r="L224" s="22" t="s">
        <v>1885</v>
      </c>
      <c r="M224" s="22"/>
      <c r="N224" s="22"/>
      <c r="O224" s="22"/>
      <c r="P224" s="22"/>
    </row>
    <row r="225" ht="15.75" customHeight="1">
      <c r="A225" s="20" t="s">
        <v>1886</v>
      </c>
      <c r="B225" s="20" t="s">
        <v>1887</v>
      </c>
      <c r="C225" s="20" t="s">
        <v>1888</v>
      </c>
      <c r="D225" s="20" t="s">
        <v>1889</v>
      </c>
      <c r="E225" s="20" t="s">
        <v>163</v>
      </c>
      <c r="F225" s="20" t="s">
        <v>101</v>
      </c>
      <c r="G225" s="20"/>
      <c r="H225" s="20" t="s">
        <v>948</v>
      </c>
      <c r="I225" s="20" t="s">
        <v>1890</v>
      </c>
      <c r="J225" s="20" t="s">
        <v>57</v>
      </c>
      <c r="K225" s="21" t="s">
        <v>1891</v>
      </c>
      <c r="L225" s="21" t="s">
        <v>84</v>
      </c>
      <c r="M225" s="21"/>
      <c r="N225" s="21"/>
      <c r="O225" s="21"/>
      <c r="P225" s="21" t="s">
        <v>107</v>
      </c>
    </row>
    <row r="226" ht="15.75" customHeight="1">
      <c r="A226" s="22" t="s">
        <v>1892</v>
      </c>
      <c r="B226" s="22" t="s">
        <v>1893</v>
      </c>
      <c r="C226" s="22" t="s">
        <v>1894</v>
      </c>
      <c r="D226" s="22" t="s">
        <v>1895</v>
      </c>
      <c r="E226" s="22" t="s">
        <v>1896</v>
      </c>
      <c r="F226" s="22" t="s">
        <v>378</v>
      </c>
      <c r="G226" s="22" t="s">
        <v>1588</v>
      </c>
      <c r="H226" s="22" t="s">
        <v>1897</v>
      </c>
      <c r="I226" s="22" t="s">
        <v>1898</v>
      </c>
      <c r="J226" s="22" t="s">
        <v>57</v>
      </c>
      <c r="K226" s="22" t="s">
        <v>1899</v>
      </c>
      <c r="L226" s="22" t="s">
        <v>1900</v>
      </c>
      <c r="M226" s="22" t="s">
        <v>1901</v>
      </c>
      <c r="N226" s="22"/>
      <c r="O226" s="22" t="s">
        <v>213</v>
      </c>
      <c r="P226" s="22"/>
    </row>
    <row r="227" ht="15.75" customHeight="1">
      <c r="A227" s="20" t="s">
        <v>1902</v>
      </c>
      <c r="B227" s="20" t="s">
        <v>1903</v>
      </c>
      <c r="C227" s="20" t="s">
        <v>1904</v>
      </c>
      <c r="D227" s="20" t="s">
        <v>1905</v>
      </c>
      <c r="E227" s="20" t="s">
        <v>1906</v>
      </c>
      <c r="F227" s="20"/>
      <c r="G227" s="20" t="s">
        <v>1907</v>
      </c>
      <c r="H227" s="20" t="s">
        <v>1908</v>
      </c>
      <c r="I227" s="20" t="s">
        <v>1909</v>
      </c>
      <c r="J227" s="20" t="s">
        <v>57</v>
      </c>
      <c r="K227" s="21" t="s">
        <v>1873</v>
      </c>
      <c r="L227" s="21" t="s">
        <v>1910</v>
      </c>
      <c r="M227" s="21"/>
      <c r="N227" s="21"/>
      <c r="O227" s="21"/>
      <c r="P227" s="21"/>
    </row>
    <row r="228" ht="15.75" customHeight="1">
      <c r="A228" s="22" t="s">
        <v>1911</v>
      </c>
      <c r="B228" s="22" t="s">
        <v>1912</v>
      </c>
      <c r="C228" s="22" t="s">
        <v>1913</v>
      </c>
      <c r="D228" s="22" t="s">
        <v>1914</v>
      </c>
      <c r="E228" s="22" t="s">
        <v>1915</v>
      </c>
      <c r="F228" s="22" t="s">
        <v>378</v>
      </c>
      <c r="G228" s="22" t="s">
        <v>1916</v>
      </c>
      <c r="H228" s="22" t="s">
        <v>1917</v>
      </c>
      <c r="I228" s="22" t="s">
        <v>1918</v>
      </c>
      <c r="J228" s="22" t="s">
        <v>57</v>
      </c>
      <c r="K228" s="22" t="s">
        <v>1919</v>
      </c>
      <c r="L228" s="22" t="s">
        <v>1920</v>
      </c>
      <c r="M228" s="22" t="s">
        <v>136</v>
      </c>
      <c r="N228" s="22"/>
      <c r="O228" s="22" t="s">
        <v>501</v>
      </c>
      <c r="P228" s="22"/>
    </row>
    <row r="229" ht="15.75" customHeight="1">
      <c r="A229" s="20" t="s">
        <v>1921</v>
      </c>
      <c r="B229" s="20" t="s">
        <v>423</v>
      </c>
      <c r="C229" s="20" t="s">
        <v>424</v>
      </c>
      <c r="D229" s="20"/>
      <c r="E229" s="20" t="s">
        <v>1922</v>
      </c>
      <c r="F229" s="20" t="s">
        <v>263</v>
      </c>
      <c r="G229" s="20" t="s">
        <v>1923</v>
      </c>
      <c r="H229" s="20" t="s">
        <v>428</v>
      </c>
      <c r="I229" s="20" t="s">
        <v>1924</v>
      </c>
      <c r="J229" s="20" t="s">
        <v>57</v>
      </c>
      <c r="K229" s="21" t="s">
        <v>430</v>
      </c>
      <c r="L229" s="21" t="s">
        <v>1925</v>
      </c>
      <c r="M229" s="21"/>
      <c r="N229" s="21"/>
      <c r="O229" s="21" t="s">
        <v>61</v>
      </c>
      <c r="P229" s="21" t="s">
        <v>107</v>
      </c>
    </row>
    <row r="230" ht="15.75" customHeight="1">
      <c r="A230" s="22" t="s">
        <v>1926</v>
      </c>
      <c r="B230" s="22" t="s">
        <v>1927</v>
      </c>
      <c r="C230" s="22"/>
      <c r="D230" s="22" t="s">
        <v>1928</v>
      </c>
      <c r="E230" s="22" t="s">
        <v>1929</v>
      </c>
      <c r="F230" s="22" t="s">
        <v>263</v>
      </c>
      <c r="G230" s="22"/>
      <c r="H230" s="22" t="s">
        <v>1040</v>
      </c>
      <c r="I230" s="22" t="s">
        <v>1930</v>
      </c>
      <c r="J230" s="22" t="s">
        <v>57</v>
      </c>
      <c r="K230" s="22" t="s">
        <v>1931</v>
      </c>
      <c r="L230" s="22" t="s">
        <v>1932</v>
      </c>
      <c r="M230" s="22" t="s">
        <v>1933</v>
      </c>
      <c r="N230" s="22"/>
      <c r="O230" s="22" t="s">
        <v>495</v>
      </c>
      <c r="P230" s="22"/>
    </row>
    <row r="231" ht="15.75" customHeight="1">
      <c r="A231" s="20" t="s">
        <v>1934</v>
      </c>
      <c r="B231" s="20" t="s">
        <v>1935</v>
      </c>
      <c r="C231" s="20"/>
      <c r="D231" s="20" t="s">
        <v>1936</v>
      </c>
      <c r="E231" s="20" t="s">
        <v>1937</v>
      </c>
      <c r="F231" s="20" t="s">
        <v>112</v>
      </c>
      <c r="G231" s="20"/>
      <c r="H231" s="20" t="s">
        <v>1938</v>
      </c>
      <c r="I231" s="20" t="s">
        <v>1939</v>
      </c>
      <c r="J231" s="20" t="s">
        <v>57</v>
      </c>
      <c r="K231" s="21" t="s">
        <v>1940</v>
      </c>
      <c r="L231" s="21" t="s">
        <v>84</v>
      </c>
      <c r="M231" s="21" t="s">
        <v>72</v>
      </c>
      <c r="N231" s="21"/>
      <c r="O231" s="21" t="s">
        <v>159</v>
      </c>
      <c r="P231" s="21"/>
    </row>
    <row r="232" ht="15.75" customHeight="1">
      <c r="A232" s="22" t="s">
        <v>1941</v>
      </c>
      <c r="B232" s="22" t="s">
        <v>1942</v>
      </c>
      <c r="C232" s="22"/>
      <c r="D232" s="22" t="s">
        <v>1943</v>
      </c>
      <c r="E232" s="22" t="s">
        <v>1944</v>
      </c>
      <c r="F232" s="22" t="s">
        <v>219</v>
      </c>
      <c r="G232" s="22" t="s">
        <v>1945</v>
      </c>
      <c r="H232" s="22" t="s">
        <v>733</v>
      </c>
      <c r="I232" s="22" t="s">
        <v>1946</v>
      </c>
      <c r="J232" s="22" t="s">
        <v>57</v>
      </c>
      <c r="K232" s="22" t="s">
        <v>1947</v>
      </c>
      <c r="L232" s="22" t="s">
        <v>1948</v>
      </c>
      <c r="M232" s="22"/>
      <c r="N232" s="22"/>
      <c r="O232" s="22" t="s">
        <v>1498</v>
      </c>
      <c r="P232" s="22"/>
    </row>
    <row r="233" ht="15.75" customHeight="1">
      <c r="A233" s="20" t="s">
        <v>1949</v>
      </c>
      <c r="B233" s="20" t="s">
        <v>1950</v>
      </c>
      <c r="C233" s="20"/>
      <c r="D233" s="20" t="s">
        <v>1951</v>
      </c>
      <c r="E233" s="20" t="s">
        <v>1952</v>
      </c>
      <c r="F233" s="20" t="s">
        <v>79</v>
      </c>
      <c r="G233" s="20" t="s">
        <v>1953</v>
      </c>
      <c r="H233" s="20"/>
      <c r="I233" s="20" t="s">
        <v>1954</v>
      </c>
      <c r="J233" s="20" t="s">
        <v>57</v>
      </c>
      <c r="K233" s="21" t="s">
        <v>430</v>
      </c>
      <c r="L233" s="21" t="s">
        <v>1955</v>
      </c>
      <c r="M233" s="21"/>
      <c r="N233" s="21" t="s">
        <v>1956</v>
      </c>
      <c r="O233" s="21"/>
      <c r="P233" s="21"/>
    </row>
    <row r="234" ht="15.75" customHeight="1">
      <c r="A234" s="22" t="s">
        <v>1957</v>
      </c>
      <c r="B234" s="22" t="s">
        <v>1958</v>
      </c>
      <c r="C234" s="22" t="s">
        <v>1959</v>
      </c>
      <c r="D234" s="22" t="s">
        <v>1960</v>
      </c>
      <c r="E234" s="22" t="s">
        <v>1961</v>
      </c>
      <c r="F234" s="22" t="s">
        <v>363</v>
      </c>
      <c r="G234" s="22" t="s">
        <v>1961</v>
      </c>
      <c r="H234" s="22" t="s">
        <v>1962</v>
      </c>
      <c r="I234" s="22" t="s">
        <v>1963</v>
      </c>
      <c r="J234" s="22" t="s">
        <v>57</v>
      </c>
      <c r="K234" s="22" t="s">
        <v>430</v>
      </c>
      <c r="L234" s="22" t="s">
        <v>1964</v>
      </c>
      <c r="M234" s="22" t="s">
        <v>1965</v>
      </c>
      <c r="N234" s="22"/>
      <c r="O234" s="22" t="s">
        <v>148</v>
      </c>
      <c r="P234" s="22"/>
    </row>
    <row r="235" ht="15.75" customHeight="1">
      <c r="A235" s="20" t="s">
        <v>1966</v>
      </c>
      <c r="B235" s="20"/>
      <c r="C235" s="20"/>
      <c r="D235" s="20" t="s">
        <v>1967</v>
      </c>
      <c r="E235" s="20" t="s">
        <v>129</v>
      </c>
      <c r="F235" s="20" t="s">
        <v>130</v>
      </c>
      <c r="G235" s="20"/>
      <c r="H235" s="20"/>
      <c r="I235" s="20" t="s">
        <v>1968</v>
      </c>
      <c r="J235" s="20" t="s">
        <v>57</v>
      </c>
      <c r="K235" s="21" t="s">
        <v>124</v>
      </c>
      <c r="L235" s="21" t="s">
        <v>762</v>
      </c>
      <c r="M235" s="21"/>
      <c r="N235" s="21"/>
      <c r="O235" s="21"/>
      <c r="P235" s="21"/>
    </row>
    <row r="236" ht="15.75" customHeight="1">
      <c r="A236" s="22" t="s">
        <v>1969</v>
      </c>
      <c r="B236" s="22" t="s">
        <v>1970</v>
      </c>
      <c r="C236" s="22"/>
      <c r="D236" s="22" t="s">
        <v>1971</v>
      </c>
      <c r="E236" s="22" t="s">
        <v>1972</v>
      </c>
      <c r="F236" s="22" t="s">
        <v>66</v>
      </c>
      <c r="G236" s="22"/>
      <c r="H236" s="22"/>
      <c r="I236" s="22"/>
      <c r="J236" s="22" t="s">
        <v>57</v>
      </c>
      <c r="K236" s="22" t="s">
        <v>1174</v>
      </c>
      <c r="L236" s="22" t="s">
        <v>1973</v>
      </c>
      <c r="M236" s="22"/>
      <c r="N236" s="22"/>
      <c r="O236" s="22" t="s">
        <v>1498</v>
      </c>
      <c r="P236" s="22"/>
    </row>
    <row r="237" ht="15.75" customHeight="1">
      <c r="A237" s="20" t="s">
        <v>1974</v>
      </c>
      <c r="B237" s="20" t="s">
        <v>1975</v>
      </c>
      <c r="C237" s="20"/>
      <c r="D237" s="20" t="s">
        <v>1976</v>
      </c>
      <c r="E237" s="20" t="s">
        <v>926</v>
      </c>
      <c r="F237" s="20" t="s">
        <v>112</v>
      </c>
      <c r="G237" s="20" t="s">
        <v>926</v>
      </c>
      <c r="H237" s="20" t="s">
        <v>1977</v>
      </c>
      <c r="I237" s="20" t="s">
        <v>1978</v>
      </c>
      <c r="J237" s="20" t="s">
        <v>57</v>
      </c>
      <c r="K237" s="21" t="s">
        <v>124</v>
      </c>
      <c r="L237" s="21" t="s">
        <v>1979</v>
      </c>
      <c r="M237" s="21"/>
      <c r="N237" s="21"/>
      <c r="O237" s="21" t="s">
        <v>258</v>
      </c>
      <c r="P237" s="21"/>
    </row>
    <row r="238" ht="15.75" customHeight="1">
      <c r="A238" s="22" t="s">
        <v>1980</v>
      </c>
      <c r="B238" s="22" t="s">
        <v>1981</v>
      </c>
      <c r="C238" s="22" t="s">
        <v>1982</v>
      </c>
      <c r="D238" s="22" t="s">
        <v>1983</v>
      </c>
      <c r="E238" s="22" t="s">
        <v>1961</v>
      </c>
      <c r="F238" s="22" t="s">
        <v>363</v>
      </c>
      <c r="G238" s="22"/>
      <c r="H238" s="22" t="s">
        <v>1984</v>
      </c>
      <c r="I238" s="22" t="s">
        <v>1985</v>
      </c>
      <c r="J238" s="22" t="s">
        <v>57</v>
      </c>
      <c r="K238" s="22" t="s">
        <v>167</v>
      </c>
      <c r="L238" s="22" t="s">
        <v>84</v>
      </c>
      <c r="M238" s="22" t="s">
        <v>1986</v>
      </c>
      <c r="N238" s="22"/>
      <c r="O238" s="22" t="s">
        <v>159</v>
      </c>
      <c r="P238" s="22"/>
    </row>
    <row r="239" ht="15.75" customHeight="1">
      <c r="A239" s="20" t="s">
        <v>1987</v>
      </c>
      <c r="B239" s="20" t="s">
        <v>1988</v>
      </c>
      <c r="C239" s="20" t="s">
        <v>1989</v>
      </c>
      <c r="D239" s="20" t="s">
        <v>1990</v>
      </c>
      <c r="E239" s="20" t="s">
        <v>1991</v>
      </c>
      <c r="F239" s="20" t="s">
        <v>219</v>
      </c>
      <c r="G239" s="20" t="s">
        <v>1992</v>
      </c>
      <c r="H239" s="20" t="s">
        <v>1993</v>
      </c>
      <c r="I239" s="20" t="s">
        <v>1994</v>
      </c>
      <c r="J239" s="20" t="s">
        <v>57</v>
      </c>
      <c r="K239" s="21" t="s">
        <v>1372</v>
      </c>
      <c r="L239" s="21" t="s">
        <v>84</v>
      </c>
      <c r="M239" s="21"/>
      <c r="N239" s="21"/>
      <c r="O239" s="21" t="s">
        <v>185</v>
      </c>
      <c r="P239" s="21"/>
    </row>
    <row r="240" ht="15.75" customHeight="1">
      <c r="A240" s="22" t="s">
        <v>1995</v>
      </c>
      <c r="B240" s="22" t="s">
        <v>1996</v>
      </c>
      <c r="C240" s="22"/>
      <c r="D240" s="22" t="s">
        <v>1997</v>
      </c>
      <c r="E240" s="22" t="s">
        <v>1961</v>
      </c>
      <c r="F240" s="22" t="s">
        <v>363</v>
      </c>
      <c r="G240" s="22" t="s">
        <v>1998</v>
      </c>
      <c r="H240" s="22" t="s">
        <v>1999</v>
      </c>
      <c r="I240" s="22" t="s">
        <v>2000</v>
      </c>
      <c r="J240" s="22" t="s">
        <v>57</v>
      </c>
      <c r="K240" s="22" t="s">
        <v>248</v>
      </c>
      <c r="L240" s="22" t="s">
        <v>84</v>
      </c>
      <c r="M240" s="22"/>
      <c r="N240" s="22"/>
      <c r="O240" s="22" t="s">
        <v>469</v>
      </c>
      <c r="P240" s="22"/>
    </row>
    <row r="241" ht="15.75" customHeight="1">
      <c r="A241" s="20" t="s">
        <v>2001</v>
      </c>
      <c r="B241" s="20" t="s">
        <v>2002</v>
      </c>
      <c r="C241" s="20"/>
      <c r="D241" s="20" t="s">
        <v>2003</v>
      </c>
      <c r="E241" s="20" t="s">
        <v>2004</v>
      </c>
      <c r="F241" s="20" t="s">
        <v>363</v>
      </c>
      <c r="G241" s="20" t="s">
        <v>2005</v>
      </c>
      <c r="H241" s="20" t="s">
        <v>2006</v>
      </c>
      <c r="I241" s="20" t="s">
        <v>2007</v>
      </c>
      <c r="J241" s="20" t="s">
        <v>57</v>
      </c>
      <c r="K241" s="21" t="s">
        <v>2008</v>
      </c>
      <c r="L241" s="21" t="s">
        <v>84</v>
      </c>
      <c r="M241" s="21"/>
      <c r="N241" s="21"/>
      <c r="O241" s="21" t="s">
        <v>501</v>
      </c>
      <c r="P241" s="21"/>
    </row>
    <row r="242" ht="15.75" customHeight="1">
      <c r="A242" s="22" t="s">
        <v>2009</v>
      </c>
      <c r="B242" s="22"/>
      <c r="C242" s="22"/>
      <c r="D242" s="22" t="s">
        <v>2010</v>
      </c>
      <c r="E242" s="22" t="s">
        <v>2011</v>
      </c>
      <c r="F242" s="22" t="s">
        <v>363</v>
      </c>
      <c r="G242" s="22" t="s">
        <v>2012</v>
      </c>
      <c r="H242" s="22" t="s">
        <v>2013</v>
      </c>
      <c r="I242" s="22" t="s">
        <v>2014</v>
      </c>
      <c r="J242" s="22" t="s">
        <v>57</v>
      </c>
      <c r="K242" s="22" t="s">
        <v>1372</v>
      </c>
      <c r="L242" s="22" t="s">
        <v>84</v>
      </c>
      <c r="M242" s="22"/>
      <c r="N242" s="22"/>
      <c r="O242" s="22" t="s">
        <v>501</v>
      </c>
      <c r="P242" s="22"/>
    </row>
    <row r="243" ht="15.75" customHeight="1">
      <c r="A243" s="20" t="s">
        <v>48</v>
      </c>
      <c r="B243" s="20" t="s">
        <v>2015</v>
      </c>
      <c r="C243" s="20" t="s">
        <v>1698</v>
      </c>
      <c r="D243" s="20" t="s">
        <v>2016</v>
      </c>
      <c r="E243" s="20" t="s">
        <v>2017</v>
      </c>
      <c r="F243" s="20" t="s">
        <v>112</v>
      </c>
      <c r="G243" s="20"/>
      <c r="H243" s="20" t="s">
        <v>2018</v>
      </c>
      <c r="I243" s="20" t="s">
        <v>2019</v>
      </c>
      <c r="J243" s="20" t="s">
        <v>57</v>
      </c>
      <c r="K243" s="21" t="s">
        <v>2020</v>
      </c>
      <c r="L243" s="21" t="s">
        <v>2021</v>
      </c>
      <c r="M243" s="21" t="s">
        <v>60</v>
      </c>
      <c r="N243" s="21"/>
      <c r="O243" s="21" t="s">
        <v>495</v>
      </c>
      <c r="P243" s="21"/>
    </row>
    <row r="244" ht="15.75" customHeight="1">
      <c r="A244" s="22" t="s">
        <v>2022</v>
      </c>
      <c r="B244" s="22" t="s">
        <v>2023</v>
      </c>
      <c r="C244" s="22"/>
      <c r="D244" s="22" t="s">
        <v>2024</v>
      </c>
      <c r="E244" s="22" t="s">
        <v>1612</v>
      </c>
      <c r="F244" s="22" t="s">
        <v>129</v>
      </c>
      <c r="G244" s="22" t="s">
        <v>2025</v>
      </c>
      <c r="H244" s="22" t="s">
        <v>2026</v>
      </c>
      <c r="I244" s="22" t="s">
        <v>2027</v>
      </c>
      <c r="J244" s="22" t="s">
        <v>57</v>
      </c>
      <c r="K244" s="22" t="s">
        <v>2028</v>
      </c>
      <c r="L244" s="22" t="s">
        <v>1306</v>
      </c>
      <c r="M244" s="22"/>
      <c r="N244" s="22"/>
      <c r="O244" s="22" t="s">
        <v>159</v>
      </c>
      <c r="P244" s="22"/>
    </row>
    <row r="245" ht="15.75" customHeight="1">
      <c r="A245" s="20" t="s">
        <v>2029</v>
      </c>
      <c r="B245" s="20"/>
      <c r="C245" s="20" t="s">
        <v>2030</v>
      </c>
      <c r="D245" s="20" t="s">
        <v>2031</v>
      </c>
      <c r="E245" s="20" t="s">
        <v>2032</v>
      </c>
      <c r="F245" s="20" t="s">
        <v>130</v>
      </c>
      <c r="G245" s="20" t="s">
        <v>2033</v>
      </c>
      <c r="H245" s="20" t="s">
        <v>2034</v>
      </c>
      <c r="I245" s="20" t="s">
        <v>2035</v>
      </c>
      <c r="J245" s="20" t="s">
        <v>57</v>
      </c>
      <c r="K245" s="21" t="s">
        <v>105</v>
      </c>
      <c r="L245" s="21" t="s">
        <v>583</v>
      </c>
      <c r="M245" s="21"/>
      <c r="N245" s="21"/>
      <c r="O245" s="21"/>
      <c r="P245" s="21"/>
    </row>
    <row r="246" ht="15.75" customHeight="1">
      <c r="A246" s="22" t="s">
        <v>2036</v>
      </c>
      <c r="B246" s="22" t="s">
        <v>2037</v>
      </c>
      <c r="C246" s="22"/>
      <c r="D246" s="22" t="s">
        <v>2038</v>
      </c>
      <c r="E246" s="22" t="s">
        <v>2039</v>
      </c>
      <c r="F246" s="22"/>
      <c r="G246" s="22"/>
      <c r="H246" s="22" t="s">
        <v>2040</v>
      </c>
      <c r="I246" s="22" t="s">
        <v>2041</v>
      </c>
      <c r="J246" s="22" t="s">
        <v>57</v>
      </c>
      <c r="K246" s="22" t="s">
        <v>2042</v>
      </c>
      <c r="L246" s="22" t="s">
        <v>240</v>
      </c>
      <c r="M246" s="22"/>
      <c r="N246" s="22"/>
      <c r="O246" s="22" t="s">
        <v>1498</v>
      </c>
      <c r="P246" s="22"/>
    </row>
    <row r="247" ht="15.75" customHeight="1">
      <c r="A247" s="20" t="s">
        <v>2043</v>
      </c>
      <c r="B247" s="20" t="s">
        <v>2044</v>
      </c>
      <c r="C247" s="20"/>
      <c r="D247" s="20"/>
      <c r="E247" s="20" t="s">
        <v>2045</v>
      </c>
      <c r="F247" s="20" t="s">
        <v>2046</v>
      </c>
      <c r="G247" s="20"/>
      <c r="H247" s="20" t="s">
        <v>2047</v>
      </c>
      <c r="I247" s="20" t="s">
        <v>2048</v>
      </c>
      <c r="J247" s="20" t="s">
        <v>57</v>
      </c>
      <c r="K247" s="21" t="s">
        <v>2049</v>
      </c>
      <c r="L247" s="21" t="s">
        <v>2050</v>
      </c>
      <c r="M247" s="21" t="s">
        <v>147</v>
      </c>
      <c r="N247" s="21"/>
      <c r="O247" s="21" t="s">
        <v>159</v>
      </c>
      <c r="P247" s="21"/>
    </row>
    <row r="248" ht="15.75" customHeight="1">
      <c r="A248" s="22" t="s">
        <v>2051</v>
      </c>
      <c r="B248" s="22" t="s">
        <v>2052</v>
      </c>
      <c r="C248" s="22"/>
      <c r="D248" s="22"/>
      <c r="E248" s="22" t="s">
        <v>2053</v>
      </c>
      <c r="F248" s="22" t="s">
        <v>130</v>
      </c>
      <c r="G248" s="22"/>
      <c r="H248" s="22" t="s">
        <v>2047</v>
      </c>
      <c r="I248" s="22" t="s">
        <v>2048</v>
      </c>
      <c r="J248" s="22" t="s">
        <v>57</v>
      </c>
      <c r="K248" s="22" t="s">
        <v>2049</v>
      </c>
      <c r="L248" s="22" t="s">
        <v>2050</v>
      </c>
      <c r="M248" s="22" t="s">
        <v>2054</v>
      </c>
      <c r="N248" s="22"/>
      <c r="O248" s="22" t="s">
        <v>73</v>
      </c>
      <c r="P248" s="22"/>
    </row>
    <row r="249" ht="15.75" customHeight="1">
      <c r="A249" s="20" t="s">
        <v>2055</v>
      </c>
      <c r="B249" s="20" t="s">
        <v>2056</v>
      </c>
      <c r="C249" s="20" t="s">
        <v>2057</v>
      </c>
      <c r="D249" s="20" t="s">
        <v>2058</v>
      </c>
      <c r="E249" s="20" t="s">
        <v>2059</v>
      </c>
      <c r="F249" s="20" t="s">
        <v>130</v>
      </c>
      <c r="G249" s="20"/>
      <c r="H249" s="20" t="s">
        <v>2060</v>
      </c>
      <c r="I249" s="20" t="s">
        <v>2061</v>
      </c>
      <c r="J249" s="20" t="s">
        <v>57</v>
      </c>
      <c r="K249" s="21" t="s">
        <v>430</v>
      </c>
      <c r="L249" s="21" t="s">
        <v>2062</v>
      </c>
      <c r="M249" s="21"/>
      <c r="N249" s="21"/>
      <c r="O249" s="21"/>
      <c r="P249" s="21"/>
    </row>
    <row r="250" ht="15.75" customHeight="1">
      <c r="A250" s="22" t="s">
        <v>2063</v>
      </c>
      <c r="B250" s="22" t="s">
        <v>2064</v>
      </c>
      <c r="C250" s="22" t="s">
        <v>2065</v>
      </c>
      <c r="D250" s="22" t="s">
        <v>2066</v>
      </c>
      <c r="E250" s="22" t="s">
        <v>2067</v>
      </c>
      <c r="F250" s="22" t="s">
        <v>130</v>
      </c>
      <c r="G250" s="22"/>
      <c r="H250" s="22" t="s">
        <v>2068</v>
      </c>
      <c r="I250" s="22" t="s">
        <v>2069</v>
      </c>
      <c r="J250" s="22" t="s">
        <v>57</v>
      </c>
      <c r="K250" s="22" t="s">
        <v>2070</v>
      </c>
      <c r="L250" s="22" t="s">
        <v>84</v>
      </c>
      <c r="M250" s="22"/>
      <c r="N250" s="22"/>
      <c r="O250" s="22"/>
      <c r="P250" s="22"/>
    </row>
    <row r="251" ht="15.75" customHeight="1">
      <c r="A251" s="20" t="s">
        <v>2071</v>
      </c>
      <c r="B251" s="20" t="s">
        <v>2072</v>
      </c>
      <c r="C251" s="20" t="s">
        <v>2073</v>
      </c>
      <c r="D251" s="20" t="s">
        <v>2074</v>
      </c>
      <c r="E251" s="20" t="s">
        <v>2075</v>
      </c>
      <c r="F251" s="20" t="s">
        <v>112</v>
      </c>
      <c r="G251" s="20"/>
      <c r="H251" s="20" t="s">
        <v>2076</v>
      </c>
      <c r="I251" s="20" t="s">
        <v>2077</v>
      </c>
      <c r="J251" s="20" t="s">
        <v>57</v>
      </c>
      <c r="K251" s="21" t="s">
        <v>2078</v>
      </c>
      <c r="L251" s="21" t="s">
        <v>84</v>
      </c>
      <c r="M251" s="21" t="s">
        <v>710</v>
      </c>
      <c r="N251" s="21"/>
      <c r="O251" s="21" t="s">
        <v>159</v>
      </c>
      <c r="P251" s="21"/>
    </row>
    <row r="252" ht="15.75" customHeight="1">
      <c r="A252" s="22" t="s">
        <v>2079</v>
      </c>
      <c r="B252" s="22" t="s">
        <v>2080</v>
      </c>
      <c r="C252" s="22" t="s">
        <v>650</v>
      </c>
      <c r="D252" s="22" t="s">
        <v>2081</v>
      </c>
      <c r="E252" s="22" t="s">
        <v>2082</v>
      </c>
      <c r="F252" s="22" t="s">
        <v>130</v>
      </c>
      <c r="G252" s="22" t="s">
        <v>2083</v>
      </c>
      <c r="H252" s="22" t="s">
        <v>2084</v>
      </c>
      <c r="I252" s="22" t="s">
        <v>2085</v>
      </c>
      <c r="J252" s="22" t="s">
        <v>57</v>
      </c>
      <c r="K252" s="22" t="s">
        <v>2086</v>
      </c>
      <c r="L252" s="22" t="s">
        <v>2087</v>
      </c>
      <c r="M252" s="22"/>
      <c r="N252" s="22"/>
      <c r="O252" s="22" t="s">
        <v>185</v>
      </c>
      <c r="P252" s="22" t="s">
        <v>107</v>
      </c>
    </row>
    <row r="253" ht="15.75" customHeight="1">
      <c r="A253" s="20" t="s">
        <v>2088</v>
      </c>
      <c r="B253" s="20" t="s">
        <v>2089</v>
      </c>
      <c r="C253" s="20" t="s">
        <v>2090</v>
      </c>
      <c r="D253" s="20" t="s">
        <v>2091</v>
      </c>
      <c r="E253" s="20" t="s">
        <v>55</v>
      </c>
      <c r="F253" s="20" t="s">
        <v>91</v>
      </c>
      <c r="G253" s="20" t="s">
        <v>220</v>
      </c>
      <c r="H253" s="20" t="s">
        <v>2092</v>
      </c>
      <c r="I253" s="20" t="s">
        <v>2093</v>
      </c>
      <c r="J253" s="20" t="s">
        <v>57</v>
      </c>
      <c r="K253" s="21" t="s">
        <v>2094</v>
      </c>
      <c r="L253" s="21" t="s">
        <v>2095</v>
      </c>
      <c r="M253" s="21"/>
      <c r="N253" s="21"/>
      <c r="O253" s="21" t="s">
        <v>469</v>
      </c>
      <c r="P253" s="21"/>
    </row>
    <row r="254" ht="15.75" customHeight="1">
      <c r="A254" s="22" t="s">
        <v>2096</v>
      </c>
      <c r="B254" s="22"/>
      <c r="C254" s="22"/>
      <c r="D254" s="22" t="s">
        <v>2097</v>
      </c>
      <c r="E254" s="22" t="s">
        <v>2098</v>
      </c>
      <c r="F254" s="22" t="s">
        <v>79</v>
      </c>
      <c r="G254" s="22" t="s">
        <v>2099</v>
      </c>
      <c r="H254" s="22" t="s">
        <v>2100</v>
      </c>
      <c r="I254" s="22" t="s">
        <v>2101</v>
      </c>
      <c r="J254" s="22" t="s">
        <v>57</v>
      </c>
      <c r="K254" s="22" t="s">
        <v>604</v>
      </c>
      <c r="L254" s="22" t="s">
        <v>2102</v>
      </c>
      <c r="M254" s="22"/>
      <c r="N254" s="22"/>
      <c r="O254" s="22"/>
      <c r="P254" s="22"/>
    </row>
    <row r="255" ht="15.75" customHeight="1">
      <c r="A255" s="20" t="s">
        <v>2103</v>
      </c>
      <c r="B255" s="20" t="s">
        <v>2104</v>
      </c>
      <c r="C255" s="20"/>
      <c r="D255" s="20" t="s">
        <v>2105</v>
      </c>
      <c r="E255" s="20" t="s">
        <v>2106</v>
      </c>
      <c r="F255" s="20" t="s">
        <v>101</v>
      </c>
      <c r="G255" s="20"/>
      <c r="H255" s="20" t="s">
        <v>2107</v>
      </c>
      <c r="I255" s="20" t="s">
        <v>2108</v>
      </c>
      <c r="J255" s="20" t="s">
        <v>57</v>
      </c>
      <c r="K255" s="21" t="s">
        <v>2109</v>
      </c>
      <c r="L255" s="21" t="s">
        <v>1522</v>
      </c>
      <c r="M255" s="21" t="s">
        <v>2110</v>
      </c>
      <c r="N255" s="21"/>
      <c r="O255" s="21" t="s">
        <v>61</v>
      </c>
      <c r="P255" s="21" t="s">
        <v>107</v>
      </c>
    </row>
    <row r="256" ht="15.75" customHeight="1">
      <c r="A256" s="22" t="s">
        <v>2111</v>
      </c>
      <c r="B256" s="22"/>
      <c r="C256" s="22" t="s">
        <v>2112</v>
      </c>
      <c r="D256" s="22" t="s">
        <v>2113</v>
      </c>
      <c r="E256" s="22" t="s">
        <v>2114</v>
      </c>
      <c r="F256" s="22" t="s">
        <v>101</v>
      </c>
      <c r="G256" s="22" t="s">
        <v>2115</v>
      </c>
      <c r="H256" s="22"/>
      <c r="I256" s="22" t="s">
        <v>2116</v>
      </c>
      <c r="J256" s="22" t="s">
        <v>57</v>
      </c>
      <c r="K256" s="22" t="s">
        <v>816</v>
      </c>
      <c r="L256" s="22" t="s">
        <v>2117</v>
      </c>
      <c r="M256" s="22"/>
      <c r="N256" s="22"/>
      <c r="O256" s="22"/>
      <c r="P256" s="22"/>
    </row>
    <row r="257" ht="15.75" customHeight="1">
      <c r="A257" s="20" t="s">
        <v>2118</v>
      </c>
      <c r="B257" s="20" t="s">
        <v>2119</v>
      </c>
      <c r="C257" s="20" t="s">
        <v>2120</v>
      </c>
      <c r="D257" s="20" t="s">
        <v>2121</v>
      </c>
      <c r="E257" s="20" t="s">
        <v>1014</v>
      </c>
      <c r="F257" s="20" t="s">
        <v>101</v>
      </c>
      <c r="G257" s="20" t="s">
        <v>2122</v>
      </c>
      <c r="H257" s="20" t="s">
        <v>2123</v>
      </c>
      <c r="I257" s="20" t="s">
        <v>2124</v>
      </c>
      <c r="J257" s="20" t="s">
        <v>57</v>
      </c>
      <c r="K257" s="21" t="s">
        <v>410</v>
      </c>
      <c r="L257" s="21" t="s">
        <v>84</v>
      </c>
      <c r="M257" s="21"/>
      <c r="N257" s="21"/>
      <c r="O257" s="21"/>
      <c r="P257" s="21"/>
    </row>
    <row r="258" ht="15.75" customHeight="1">
      <c r="A258" s="22" t="s">
        <v>2125</v>
      </c>
      <c r="B258" s="22" t="s">
        <v>2126</v>
      </c>
      <c r="C258" s="22" t="s">
        <v>2127</v>
      </c>
      <c r="D258" s="22" t="s">
        <v>2128</v>
      </c>
      <c r="E258" s="22" t="s">
        <v>2129</v>
      </c>
      <c r="F258" s="22" t="s">
        <v>101</v>
      </c>
      <c r="G258" s="22" t="s">
        <v>2130</v>
      </c>
      <c r="H258" s="22" t="s">
        <v>2131</v>
      </c>
      <c r="I258" s="22" t="s">
        <v>2132</v>
      </c>
      <c r="J258" s="22" t="s">
        <v>57</v>
      </c>
      <c r="K258" s="22" t="s">
        <v>613</v>
      </c>
      <c r="L258" s="22" t="s">
        <v>84</v>
      </c>
      <c r="M258" s="22"/>
      <c r="N258" s="22"/>
      <c r="O258" s="22"/>
      <c r="P258" s="22"/>
    </row>
    <row r="259" ht="15.75" customHeight="1">
      <c r="A259" s="20" t="s">
        <v>2133</v>
      </c>
      <c r="B259" s="20" t="s">
        <v>2134</v>
      </c>
      <c r="C259" s="20"/>
      <c r="D259" s="20" t="s">
        <v>2135</v>
      </c>
      <c r="E259" s="20" t="s">
        <v>129</v>
      </c>
      <c r="F259" s="20" t="s">
        <v>130</v>
      </c>
      <c r="G259" s="20" t="s">
        <v>129</v>
      </c>
      <c r="H259" s="20" t="s">
        <v>2136</v>
      </c>
      <c r="I259" s="20" t="s">
        <v>2137</v>
      </c>
      <c r="J259" s="20" t="s">
        <v>57</v>
      </c>
      <c r="K259" s="21" t="s">
        <v>2138</v>
      </c>
      <c r="L259" s="21" t="s">
        <v>2139</v>
      </c>
      <c r="M259" s="21" t="s">
        <v>401</v>
      </c>
      <c r="N259" s="21"/>
      <c r="O259" s="21" t="s">
        <v>258</v>
      </c>
      <c r="P259" s="21" t="s">
        <v>107</v>
      </c>
    </row>
    <row r="260" ht="15.75" customHeight="1">
      <c r="A260" s="22" t="s">
        <v>2140</v>
      </c>
      <c r="B260" s="22" t="s">
        <v>2141</v>
      </c>
      <c r="C260" s="22" t="s">
        <v>2142</v>
      </c>
      <c r="D260" s="22" t="s">
        <v>2143</v>
      </c>
      <c r="E260" s="22" t="s">
        <v>2144</v>
      </c>
      <c r="F260" s="22" t="s">
        <v>352</v>
      </c>
      <c r="G260" s="22" t="s">
        <v>2145</v>
      </c>
      <c r="H260" s="22" t="s">
        <v>2146</v>
      </c>
      <c r="I260" s="22" t="s">
        <v>2147</v>
      </c>
      <c r="J260" s="22" t="s">
        <v>57</v>
      </c>
      <c r="K260" s="22" t="s">
        <v>2148</v>
      </c>
      <c r="L260" s="22" t="s">
        <v>71</v>
      </c>
      <c r="M260" s="22" t="s">
        <v>2149</v>
      </c>
      <c r="N260" s="22"/>
      <c r="O260" s="22" t="s">
        <v>359</v>
      </c>
      <c r="P260" s="22"/>
    </row>
    <row r="261" ht="15.75" customHeight="1">
      <c r="A261" s="20" t="s">
        <v>2150</v>
      </c>
      <c r="B261" s="20" t="s">
        <v>2151</v>
      </c>
      <c r="C261" s="20"/>
      <c r="D261" s="20" t="s">
        <v>2152</v>
      </c>
      <c r="E261" s="20" t="s">
        <v>2153</v>
      </c>
      <c r="F261" s="20" t="s">
        <v>363</v>
      </c>
      <c r="G261" s="20" t="s">
        <v>2154</v>
      </c>
      <c r="H261" s="20" t="s">
        <v>2155</v>
      </c>
      <c r="I261" s="20" t="s">
        <v>2156</v>
      </c>
      <c r="J261" s="20" t="s">
        <v>57</v>
      </c>
      <c r="K261" s="21" t="s">
        <v>2157</v>
      </c>
      <c r="L261" s="21" t="s">
        <v>84</v>
      </c>
      <c r="M261" s="21"/>
      <c r="N261" s="21"/>
      <c r="O261" s="21" t="s">
        <v>117</v>
      </c>
      <c r="P261" s="21"/>
    </row>
    <row r="262" ht="15.75" customHeight="1">
      <c r="A262" s="22" t="s">
        <v>2158</v>
      </c>
      <c r="B262" s="22" t="s">
        <v>2159</v>
      </c>
      <c r="C262" s="22" t="s">
        <v>2160</v>
      </c>
      <c r="D262" s="22" t="s">
        <v>2161</v>
      </c>
      <c r="E262" s="22" t="s">
        <v>2162</v>
      </c>
      <c r="F262" s="22" t="s">
        <v>2163</v>
      </c>
      <c r="G262" s="22" t="s">
        <v>2162</v>
      </c>
      <c r="H262" s="22" t="s">
        <v>2164</v>
      </c>
      <c r="I262" s="22" t="s">
        <v>2165</v>
      </c>
      <c r="J262" s="22" t="s">
        <v>57</v>
      </c>
      <c r="K262" s="22" t="s">
        <v>1372</v>
      </c>
      <c r="L262" s="22" t="s">
        <v>975</v>
      </c>
      <c r="M262" s="22" t="s">
        <v>147</v>
      </c>
      <c r="N262" s="22"/>
      <c r="O262" s="22" t="s">
        <v>1134</v>
      </c>
      <c r="P262" s="22" t="s">
        <v>107</v>
      </c>
    </row>
    <row r="263" ht="15.75" customHeight="1">
      <c r="A263" s="20" t="s">
        <v>2166</v>
      </c>
      <c r="B263" s="20" t="s">
        <v>2167</v>
      </c>
      <c r="C263" s="20" t="s">
        <v>2168</v>
      </c>
      <c r="D263" s="20" t="s">
        <v>2169</v>
      </c>
      <c r="E263" s="20" t="s">
        <v>2170</v>
      </c>
      <c r="F263" s="20" t="s">
        <v>112</v>
      </c>
      <c r="G263" s="20"/>
      <c r="H263" s="20" t="s">
        <v>2171</v>
      </c>
      <c r="I263" s="20" t="s">
        <v>2172</v>
      </c>
      <c r="J263" s="20" t="s">
        <v>57</v>
      </c>
      <c r="K263" s="21" t="s">
        <v>2173</v>
      </c>
      <c r="L263" s="21" t="s">
        <v>2174</v>
      </c>
      <c r="M263" s="21" t="s">
        <v>2175</v>
      </c>
      <c r="N263" s="21" t="s">
        <v>2176</v>
      </c>
      <c r="O263" s="21" t="s">
        <v>1084</v>
      </c>
      <c r="P263" s="21"/>
    </row>
    <row r="264" ht="15.75" customHeight="1">
      <c r="A264" s="22" t="s">
        <v>2177</v>
      </c>
      <c r="B264" s="22" t="s">
        <v>2178</v>
      </c>
      <c r="C264" s="22" t="s">
        <v>2179</v>
      </c>
      <c r="D264" s="22" t="s">
        <v>2180</v>
      </c>
      <c r="E264" s="22" t="s">
        <v>2181</v>
      </c>
      <c r="F264" s="22" t="s">
        <v>112</v>
      </c>
      <c r="G264" s="22" t="s">
        <v>2182</v>
      </c>
      <c r="H264" s="22" t="s">
        <v>2183</v>
      </c>
      <c r="I264" s="22" t="s">
        <v>2184</v>
      </c>
      <c r="J264" s="22" t="s">
        <v>57</v>
      </c>
      <c r="K264" s="22" t="s">
        <v>2185</v>
      </c>
      <c r="L264" s="22" t="s">
        <v>2186</v>
      </c>
      <c r="M264" s="22"/>
      <c r="N264" s="22"/>
      <c r="O264" s="22" t="s">
        <v>2187</v>
      </c>
      <c r="P264" s="22"/>
    </row>
    <row r="265" ht="15.75" customHeight="1">
      <c r="A265" s="20" t="s">
        <v>2188</v>
      </c>
      <c r="B265" s="20" t="s">
        <v>2189</v>
      </c>
      <c r="C265" s="20" t="s">
        <v>2190</v>
      </c>
      <c r="D265" s="20" t="s">
        <v>2191</v>
      </c>
      <c r="E265" s="20" t="s">
        <v>2154</v>
      </c>
      <c r="F265" s="20" t="s">
        <v>363</v>
      </c>
      <c r="G265" s="20"/>
      <c r="H265" s="20" t="s">
        <v>2192</v>
      </c>
      <c r="I265" s="20" t="s">
        <v>2193</v>
      </c>
      <c r="J265" s="20" t="s">
        <v>57</v>
      </c>
      <c r="K265" s="21" t="s">
        <v>430</v>
      </c>
      <c r="L265" s="21" t="s">
        <v>2194</v>
      </c>
      <c r="M265" s="21"/>
      <c r="N265" s="21"/>
      <c r="O265" s="21" t="s">
        <v>2195</v>
      </c>
      <c r="P265" s="21"/>
    </row>
    <row r="266" ht="15.75" customHeight="1">
      <c r="A266" s="22" t="s">
        <v>2196</v>
      </c>
      <c r="B266" s="22" t="s">
        <v>2197</v>
      </c>
      <c r="C266" s="22" t="s">
        <v>2198</v>
      </c>
      <c r="D266" s="22" t="s">
        <v>2199</v>
      </c>
      <c r="E266" s="22" t="s">
        <v>1009</v>
      </c>
      <c r="F266" s="22" t="s">
        <v>79</v>
      </c>
      <c r="G266" s="22" t="s">
        <v>2200</v>
      </c>
      <c r="H266" s="22" t="s">
        <v>2201</v>
      </c>
      <c r="I266" s="22" t="s">
        <v>2202</v>
      </c>
      <c r="J266" s="22" t="s">
        <v>57</v>
      </c>
      <c r="K266" s="22" t="s">
        <v>105</v>
      </c>
      <c r="L266" s="22" t="s">
        <v>2203</v>
      </c>
      <c r="M266" s="22"/>
      <c r="N266" s="22"/>
      <c r="O266" s="22"/>
      <c r="P266" s="22" t="s">
        <v>107</v>
      </c>
    </row>
    <row r="267" ht="15.75" customHeight="1">
      <c r="A267" s="20" t="s">
        <v>2204</v>
      </c>
      <c r="B267" s="20" t="s">
        <v>2205</v>
      </c>
      <c r="C267" s="20" t="s">
        <v>2206</v>
      </c>
      <c r="D267" s="20" t="s">
        <v>2207</v>
      </c>
      <c r="E267" s="20" t="s">
        <v>2208</v>
      </c>
      <c r="F267" s="20" t="s">
        <v>112</v>
      </c>
      <c r="G267" s="20" t="s">
        <v>2209</v>
      </c>
      <c r="H267" s="20" t="s">
        <v>2210</v>
      </c>
      <c r="I267" s="20" t="s">
        <v>2211</v>
      </c>
      <c r="J267" s="20" t="s">
        <v>57</v>
      </c>
      <c r="K267" s="21" t="s">
        <v>2212</v>
      </c>
      <c r="L267" s="21" t="s">
        <v>2213</v>
      </c>
      <c r="M267" s="21"/>
      <c r="N267" s="21"/>
      <c r="O267" s="21" t="s">
        <v>2214</v>
      </c>
      <c r="P267" s="21" t="s">
        <v>107</v>
      </c>
    </row>
    <row r="268" ht="15.75" customHeight="1">
      <c r="A268" s="22" t="s">
        <v>2215</v>
      </c>
      <c r="B268" s="22" t="s">
        <v>2216</v>
      </c>
      <c r="C268" s="22"/>
      <c r="D268" s="22" t="s">
        <v>2217</v>
      </c>
      <c r="E268" s="22" t="s">
        <v>2218</v>
      </c>
      <c r="F268" s="22" t="s">
        <v>130</v>
      </c>
      <c r="G268" s="22" t="s">
        <v>2219</v>
      </c>
      <c r="H268" s="22" t="s">
        <v>2136</v>
      </c>
      <c r="I268" s="22" t="s">
        <v>2220</v>
      </c>
      <c r="J268" s="22" t="s">
        <v>57</v>
      </c>
      <c r="K268" s="22" t="s">
        <v>1398</v>
      </c>
      <c r="L268" s="22" t="s">
        <v>84</v>
      </c>
      <c r="M268" s="22"/>
      <c r="N268" s="22"/>
      <c r="O268" s="22" t="s">
        <v>469</v>
      </c>
      <c r="P268" s="22" t="s">
        <v>107</v>
      </c>
    </row>
    <row r="269" ht="15.75" customHeight="1">
      <c r="A269" s="20" t="s">
        <v>2221</v>
      </c>
      <c r="B269" s="20" t="s">
        <v>2222</v>
      </c>
      <c r="C269" s="20" t="s">
        <v>2223</v>
      </c>
      <c r="D269" s="20" t="s">
        <v>2224</v>
      </c>
      <c r="E269" s="20" t="s">
        <v>1009</v>
      </c>
      <c r="F269" s="20" t="s">
        <v>79</v>
      </c>
      <c r="G269" s="20" t="s">
        <v>2225</v>
      </c>
      <c r="H269" s="20"/>
      <c r="I269" s="20" t="s">
        <v>2226</v>
      </c>
      <c r="J269" s="20" t="s">
        <v>57</v>
      </c>
      <c r="K269" s="21" t="s">
        <v>320</v>
      </c>
      <c r="L269" s="21" t="s">
        <v>2227</v>
      </c>
      <c r="M269" s="21"/>
      <c r="N269" s="21"/>
      <c r="O269" s="21" t="s">
        <v>469</v>
      </c>
      <c r="P269" s="21"/>
    </row>
    <row r="270" ht="15.75" customHeight="1">
      <c r="A270" s="22" t="s">
        <v>2228</v>
      </c>
      <c r="B270" s="22" t="s">
        <v>2229</v>
      </c>
      <c r="C270" s="22"/>
      <c r="D270" s="22" t="s">
        <v>2230</v>
      </c>
      <c r="E270" s="22" t="s">
        <v>2231</v>
      </c>
      <c r="F270" s="22" t="s">
        <v>2163</v>
      </c>
      <c r="G270" s="22"/>
      <c r="H270" s="22" t="s">
        <v>2232</v>
      </c>
      <c r="I270" s="22"/>
      <c r="J270" s="22" t="s">
        <v>57</v>
      </c>
      <c r="K270" s="22" t="s">
        <v>2233</v>
      </c>
      <c r="L270" s="22" t="s">
        <v>2234</v>
      </c>
      <c r="M270" s="22" t="s">
        <v>401</v>
      </c>
      <c r="N270" s="22"/>
      <c r="O270" s="22" t="s">
        <v>1167</v>
      </c>
      <c r="P270" s="22"/>
    </row>
    <row r="271" ht="15.75" customHeight="1">
      <c r="A271" s="20" t="s">
        <v>2235</v>
      </c>
      <c r="B271" s="20" t="s">
        <v>2236</v>
      </c>
      <c r="C271" s="20"/>
      <c r="D271" s="20" t="s">
        <v>2237</v>
      </c>
      <c r="E271" s="20" t="s">
        <v>2238</v>
      </c>
      <c r="F271" s="20" t="s">
        <v>79</v>
      </c>
      <c r="G271" s="20"/>
      <c r="H271" s="20" t="s">
        <v>2239</v>
      </c>
      <c r="I271" s="20"/>
      <c r="J271" s="20" t="s">
        <v>57</v>
      </c>
      <c r="K271" s="21" t="s">
        <v>2240</v>
      </c>
      <c r="L271" s="21" t="s">
        <v>2241</v>
      </c>
      <c r="M271" s="21" t="s">
        <v>337</v>
      </c>
      <c r="N271" s="21"/>
      <c r="O271" s="21" t="s">
        <v>2242</v>
      </c>
      <c r="P271" s="21"/>
    </row>
    <row r="272" ht="15.75" customHeight="1">
      <c r="A272" s="22" t="s">
        <v>2243</v>
      </c>
      <c r="B272" s="22" t="s">
        <v>2244</v>
      </c>
      <c r="C272" s="22"/>
      <c r="D272" s="22" t="s">
        <v>2245</v>
      </c>
      <c r="E272" s="22" t="s">
        <v>1009</v>
      </c>
      <c r="F272" s="22" t="s">
        <v>79</v>
      </c>
      <c r="G272" s="22" t="s">
        <v>2246</v>
      </c>
      <c r="H272" s="22" t="s">
        <v>2247</v>
      </c>
      <c r="I272" s="22" t="s">
        <v>2248</v>
      </c>
      <c r="J272" s="22" t="s">
        <v>57</v>
      </c>
      <c r="K272" s="22" t="s">
        <v>2049</v>
      </c>
      <c r="L272" s="22" t="s">
        <v>2249</v>
      </c>
      <c r="M272" s="22" t="s">
        <v>2250</v>
      </c>
      <c r="N272" s="22"/>
      <c r="O272" s="22" t="s">
        <v>2214</v>
      </c>
      <c r="P272" s="22" t="s">
        <v>107</v>
      </c>
    </row>
    <row r="273" ht="15.75" customHeight="1">
      <c r="A273" s="20" t="s">
        <v>2251</v>
      </c>
      <c r="B273" s="20" t="s">
        <v>2252</v>
      </c>
      <c r="C273" s="20" t="s">
        <v>2253</v>
      </c>
      <c r="D273" s="20" t="s">
        <v>2254</v>
      </c>
      <c r="E273" s="20" t="s">
        <v>2255</v>
      </c>
      <c r="F273" s="20" t="s">
        <v>475</v>
      </c>
      <c r="G273" s="20" t="s">
        <v>635</v>
      </c>
      <c r="H273" s="20" t="s">
        <v>2256</v>
      </c>
      <c r="I273" s="20" t="s">
        <v>2257</v>
      </c>
      <c r="J273" s="20" t="s">
        <v>57</v>
      </c>
      <c r="K273" s="21" t="s">
        <v>2258</v>
      </c>
      <c r="L273" s="21" t="s">
        <v>2259</v>
      </c>
      <c r="M273" s="21" t="s">
        <v>2260</v>
      </c>
      <c r="N273" s="21" t="s">
        <v>2261</v>
      </c>
      <c r="O273" s="21" t="s">
        <v>2262</v>
      </c>
      <c r="P273" s="21"/>
    </row>
    <row r="274" ht="15.75" customHeight="1">
      <c r="A274" s="22" t="s">
        <v>2263</v>
      </c>
      <c r="B274" s="22"/>
      <c r="C274" s="22" t="s">
        <v>2264</v>
      </c>
      <c r="D274" s="22" t="s">
        <v>2265</v>
      </c>
      <c r="E274" s="22" t="s">
        <v>2266</v>
      </c>
      <c r="F274" s="22" t="s">
        <v>263</v>
      </c>
      <c r="G274" s="22" t="s">
        <v>2267</v>
      </c>
      <c r="H274" s="22" t="s">
        <v>2268</v>
      </c>
      <c r="I274" s="22" t="s">
        <v>2269</v>
      </c>
      <c r="J274" s="22" t="s">
        <v>57</v>
      </c>
      <c r="K274" s="22" t="s">
        <v>1069</v>
      </c>
      <c r="L274" s="22" t="s">
        <v>2270</v>
      </c>
      <c r="M274" s="22"/>
      <c r="N274" s="22"/>
      <c r="O274" s="22" t="s">
        <v>450</v>
      </c>
      <c r="P274" s="22"/>
    </row>
    <row r="275" ht="15.75" customHeight="1">
      <c r="A275" s="20" t="s">
        <v>2271</v>
      </c>
      <c r="B275" s="20" t="s">
        <v>2272</v>
      </c>
      <c r="C275" s="20"/>
      <c r="D275" s="20" t="s">
        <v>2273</v>
      </c>
      <c r="E275" s="20" t="s">
        <v>2274</v>
      </c>
      <c r="F275" s="20" t="s">
        <v>79</v>
      </c>
      <c r="G275" s="20" t="s">
        <v>2275</v>
      </c>
      <c r="H275" s="20" t="s">
        <v>2276</v>
      </c>
      <c r="I275" s="20" t="s">
        <v>2277</v>
      </c>
      <c r="J275" s="20" t="s">
        <v>57</v>
      </c>
      <c r="K275" s="21" t="s">
        <v>2278</v>
      </c>
      <c r="L275" s="21" t="s">
        <v>1772</v>
      </c>
      <c r="M275" s="21"/>
      <c r="N275" s="21"/>
      <c r="O275" s="21" t="s">
        <v>501</v>
      </c>
      <c r="P275" s="21"/>
    </row>
    <row r="276" ht="15.75" customHeight="1">
      <c r="A276" s="22" t="s">
        <v>2279</v>
      </c>
      <c r="B276" s="22"/>
      <c r="C276" s="22"/>
      <c r="D276" s="22"/>
      <c r="E276" s="22" t="s">
        <v>1731</v>
      </c>
      <c r="F276" s="22" t="s">
        <v>130</v>
      </c>
      <c r="G276" s="22"/>
      <c r="H276" s="22" t="s">
        <v>2280</v>
      </c>
      <c r="I276" s="22"/>
      <c r="J276" s="22" t="s">
        <v>57</v>
      </c>
      <c r="K276" s="22" t="s">
        <v>2281</v>
      </c>
      <c r="L276" s="22" t="s">
        <v>84</v>
      </c>
      <c r="M276" s="22"/>
      <c r="N276" s="22"/>
      <c r="O276" s="22"/>
      <c r="P276" s="22"/>
    </row>
    <row r="277" ht="15.75" customHeight="1">
      <c r="A277" s="20" t="s">
        <v>2282</v>
      </c>
      <c r="B277" s="20" t="s">
        <v>2283</v>
      </c>
      <c r="C277" s="20" t="s">
        <v>2284</v>
      </c>
      <c r="D277" s="20" t="s">
        <v>2285</v>
      </c>
      <c r="E277" s="20" t="s">
        <v>2286</v>
      </c>
      <c r="F277" s="20" t="s">
        <v>112</v>
      </c>
      <c r="G277" s="20" t="s">
        <v>2287</v>
      </c>
      <c r="H277" s="20" t="s">
        <v>2288</v>
      </c>
      <c r="I277" s="20" t="s">
        <v>2289</v>
      </c>
      <c r="J277" s="20" t="s">
        <v>57</v>
      </c>
      <c r="K277" s="21" t="s">
        <v>2290</v>
      </c>
      <c r="L277" s="21" t="s">
        <v>84</v>
      </c>
      <c r="M277" s="21" t="s">
        <v>60</v>
      </c>
      <c r="N277" s="21"/>
      <c r="O277" s="21" t="s">
        <v>359</v>
      </c>
      <c r="P277" s="21" t="s">
        <v>107</v>
      </c>
    </row>
    <row r="278" ht="15.75" customHeight="1">
      <c r="A278" s="22" t="s">
        <v>2291</v>
      </c>
      <c r="B278" s="22" t="s">
        <v>2292</v>
      </c>
      <c r="C278" s="22"/>
      <c r="D278" s="22" t="s">
        <v>2293</v>
      </c>
      <c r="E278" s="22" t="s">
        <v>2294</v>
      </c>
      <c r="F278" s="22" t="s">
        <v>406</v>
      </c>
      <c r="G278" s="22"/>
      <c r="H278" s="22" t="s">
        <v>2295</v>
      </c>
      <c r="I278" s="22" t="s">
        <v>2296</v>
      </c>
      <c r="J278" s="22" t="s">
        <v>57</v>
      </c>
      <c r="K278" s="22" t="s">
        <v>1372</v>
      </c>
      <c r="L278" s="22" t="s">
        <v>240</v>
      </c>
      <c r="M278" s="22" t="s">
        <v>2054</v>
      </c>
      <c r="N278" s="22"/>
      <c r="O278" s="22" t="s">
        <v>269</v>
      </c>
      <c r="P278" s="22"/>
    </row>
    <row r="279" ht="15.75" customHeight="1">
      <c r="A279" s="20" t="s">
        <v>2297</v>
      </c>
      <c r="B279" s="20" t="s">
        <v>2298</v>
      </c>
      <c r="C279" s="20" t="s">
        <v>2299</v>
      </c>
      <c r="D279" s="20" t="s">
        <v>2300</v>
      </c>
      <c r="E279" s="20" t="s">
        <v>2301</v>
      </c>
      <c r="F279" s="20" t="s">
        <v>101</v>
      </c>
      <c r="G279" s="20" t="s">
        <v>2302</v>
      </c>
      <c r="H279" s="20" t="s">
        <v>1113</v>
      </c>
      <c r="I279" s="20" t="s">
        <v>2303</v>
      </c>
      <c r="J279" s="20" t="s">
        <v>57</v>
      </c>
      <c r="K279" s="21" t="s">
        <v>2304</v>
      </c>
      <c r="L279" s="21" t="s">
        <v>2305</v>
      </c>
      <c r="M279" s="21" t="s">
        <v>531</v>
      </c>
      <c r="N279" s="21"/>
      <c r="O279" s="21" t="s">
        <v>258</v>
      </c>
      <c r="P279" s="21"/>
    </row>
    <row r="280" ht="15.75" customHeight="1">
      <c r="A280" s="22" t="s">
        <v>2306</v>
      </c>
      <c r="B280" s="22" t="s">
        <v>2307</v>
      </c>
      <c r="C280" s="22" t="s">
        <v>2308</v>
      </c>
      <c r="D280" s="22" t="s">
        <v>2309</v>
      </c>
      <c r="E280" s="22" t="s">
        <v>2310</v>
      </c>
      <c r="F280" s="22" t="s">
        <v>253</v>
      </c>
      <c r="G280" s="22" t="s">
        <v>2311</v>
      </c>
      <c r="H280" s="22" t="s">
        <v>2312</v>
      </c>
      <c r="I280" s="22" t="s">
        <v>2313</v>
      </c>
      <c r="J280" s="22" t="s">
        <v>57</v>
      </c>
      <c r="K280" s="22" t="s">
        <v>816</v>
      </c>
      <c r="L280" s="22" t="s">
        <v>2314</v>
      </c>
      <c r="M280" s="22" t="s">
        <v>2315</v>
      </c>
      <c r="N280" s="22"/>
      <c r="O280" s="22" t="s">
        <v>258</v>
      </c>
      <c r="P280" s="22"/>
    </row>
    <row r="281" ht="15.75" customHeight="1">
      <c r="A281" s="20" t="s">
        <v>2316</v>
      </c>
      <c r="B281" s="20" t="s">
        <v>2317</v>
      </c>
      <c r="C281" s="20"/>
      <c r="D281" s="20" t="s">
        <v>2318</v>
      </c>
      <c r="E281" s="20" t="s">
        <v>2319</v>
      </c>
      <c r="F281" s="20" t="s">
        <v>363</v>
      </c>
      <c r="G281" s="20" t="s">
        <v>2320</v>
      </c>
      <c r="H281" s="20" t="s">
        <v>2321</v>
      </c>
      <c r="I281" s="20" t="s">
        <v>2322</v>
      </c>
      <c r="J281" s="20" t="s">
        <v>57</v>
      </c>
      <c r="K281" s="21" t="s">
        <v>248</v>
      </c>
      <c r="L281" s="21" t="s">
        <v>84</v>
      </c>
      <c r="M281" s="21" t="s">
        <v>304</v>
      </c>
      <c r="N281" s="21"/>
      <c r="O281" s="21" t="s">
        <v>137</v>
      </c>
      <c r="P281" s="21"/>
    </row>
    <row r="282" ht="15.75" customHeight="1">
      <c r="A282" s="22" t="s">
        <v>2323</v>
      </c>
      <c r="B282" s="22" t="s">
        <v>2324</v>
      </c>
      <c r="C282" s="22" t="s">
        <v>2325</v>
      </c>
      <c r="D282" s="22" t="s">
        <v>2326</v>
      </c>
      <c r="E282" s="22" t="s">
        <v>2327</v>
      </c>
      <c r="F282" s="22" t="s">
        <v>263</v>
      </c>
      <c r="G282" s="22"/>
      <c r="H282" s="22" t="s">
        <v>2328</v>
      </c>
      <c r="I282" s="22"/>
      <c r="J282" s="22" t="s">
        <v>57</v>
      </c>
      <c r="K282" s="22" t="s">
        <v>2329</v>
      </c>
      <c r="L282" s="22" t="s">
        <v>84</v>
      </c>
      <c r="M282" s="22" t="s">
        <v>294</v>
      </c>
      <c r="N282" s="22"/>
      <c r="O282" s="22" t="s">
        <v>469</v>
      </c>
      <c r="P282" s="22"/>
    </row>
    <row r="283" ht="15.75" customHeight="1">
      <c r="A283" s="20" t="s">
        <v>2330</v>
      </c>
      <c r="B283" s="20" t="s">
        <v>2331</v>
      </c>
      <c r="C283" s="20" t="s">
        <v>2332</v>
      </c>
      <c r="D283" s="20" t="s">
        <v>2333</v>
      </c>
      <c r="E283" s="20" t="s">
        <v>2334</v>
      </c>
      <c r="F283" s="20" t="s">
        <v>91</v>
      </c>
      <c r="G283" s="20"/>
      <c r="H283" s="20" t="s">
        <v>2335</v>
      </c>
      <c r="I283" s="20" t="s">
        <v>2336</v>
      </c>
      <c r="J283" s="20" t="s">
        <v>57</v>
      </c>
      <c r="K283" s="21" t="s">
        <v>2337</v>
      </c>
      <c r="L283" s="21" t="s">
        <v>2338</v>
      </c>
      <c r="M283" s="21"/>
      <c r="N283" s="21"/>
      <c r="O283" s="21" t="s">
        <v>495</v>
      </c>
      <c r="P283" s="21"/>
    </row>
    <row r="284" ht="15.75" customHeight="1">
      <c r="A284" s="22" t="s">
        <v>2339</v>
      </c>
      <c r="B284" s="22" t="s">
        <v>2340</v>
      </c>
      <c r="C284" s="22" t="s">
        <v>2341</v>
      </c>
      <c r="D284" s="22" t="s">
        <v>2342</v>
      </c>
      <c r="E284" s="22" t="s">
        <v>813</v>
      </c>
      <c r="F284" s="22" t="s">
        <v>101</v>
      </c>
      <c r="G284" s="22"/>
      <c r="H284" s="22" t="s">
        <v>2343</v>
      </c>
      <c r="I284" s="22" t="s">
        <v>2344</v>
      </c>
      <c r="J284" s="22" t="s">
        <v>57</v>
      </c>
      <c r="K284" s="22" t="s">
        <v>2345</v>
      </c>
      <c r="L284" s="22" t="s">
        <v>2346</v>
      </c>
      <c r="M284" s="22"/>
      <c r="N284" s="22"/>
      <c r="O284" s="22" t="s">
        <v>269</v>
      </c>
      <c r="P284" s="22" t="s">
        <v>107</v>
      </c>
    </row>
    <row r="285" ht="15.75" customHeight="1">
      <c r="A285" s="20" t="s">
        <v>2347</v>
      </c>
      <c r="B285" s="20" t="s">
        <v>2348</v>
      </c>
      <c r="C285" s="20"/>
      <c r="D285" s="20" t="s">
        <v>2349</v>
      </c>
      <c r="E285" s="20" t="s">
        <v>2350</v>
      </c>
      <c r="F285" s="20" t="s">
        <v>418</v>
      </c>
      <c r="G285" s="20" t="s">
        <v>2351</v>
      </c>
      <c r="H285" s="20" t="s">
        <v>2352</v>
      </c>
      <c r="I285" s="20" t="s">
        <v>2353</v>
      </c>
      <c r="J285" s="20" t="s">
        <v>57</v>
      </c>
      <c r="K285" s="21" t="s">
        <v>663</v>
      </c>
      <c r="L285" s="21" t="s">
        <v>2354</v>
      </c>
      <c r="M285" s="21"/>
      <c r="N285" s="21"/>
      <c r="O285" s="21" t="s">
        <v>258</v>
      </c>
      <c r="P285" s="21"/>
    </row>
    <row r="286" ht="15.75" customHeight="1">
      <c r="A286" s="22" t="s">
        <v>2355</v>
      </c>
      <c r="B286" s="22" t="s">
        <v>2356</v>
      </c>
      <c r="C286" s="22"/>
      <c r="D286" s="22" t="s">
        <v>2357</v>
      </c>
      <c r="E286" s="22" t="s">
        <v>2358</v>
      </c>
      <c r="F286" s="22" t="s">
        <v>130</v>
      </c>
      <c r="G286" s="22" t="s">
        <v>2359</v>
      </c>
      <c r="H286" s="22" t="s">
        <v>2360</v>
      </c>
      <c r="I286" s="22" t="s">
        <v>2361</v>
      </c>
      <c r="J286" s="22" t="s">
        <v>57</v>
      </c>
      <c r="K286" s="22" t="s">
        <v>2362</v>
      </c>
      <c r="L286" s="22" t="s">
        <v>84</v>
      </c>
      <c r="M286" s="22" t="s">
        <v>1754</v>
      </c>
      <c r="N286" s="22"/>
      <c r="O286" s="22" t="s">
        <v>185</v>
      </c>
      <c r="P286" s="22"/>
    </row>
    <row r="287" ht="15.75" customHeight="1">
      <c r="A287" s="20" t="s">
        <v>2363</v>
      </c>
      <c r="B287" s="20" t="s">
        <v>2364</v>
      </c>
      <c r="C287" s="20" t="s">
        <v>2365</v>
      </c>
      <c r="D287" s="20" t="s">
        <v>2366</v>
      </c>
      <c r="E287" s="20" t="s">
        <v>2367</v>
      </c>
      <c r="F287" s="20" t="s">
        <v>130</v>
      </c>
      <c r="G287" s="20" t="s">
        <v>2368</v>
      </c>
      <c r="H287" s="20" t="s">
        <v>2369</v>
      </c>
      <c r="I287" s="20" t="s">
        <v>2370</v>
      </c>
      <c r="J287" s="20" t="s">
        <v>57</v>
      </c>
      <c r="K287" s="21" t="s">
        <v>248</v>
      </c>
      <c r="L287" s="21" t="s">
        <v>84</v>
      </c>
      <c r="M287" s="21"/>
      <c r="N287" s="21"/>
      <c r="O287" s="21" t="s">
        <v>469</v>
      </c>
      <c r="P287" s="21"/>
    </row>
    <row r="288" ht="15.75" customHeight="1">
      <c r="A288" s="22" t="s">
        <v>2371</v>
      </c>
      <c r="B288" s="22" t="s">
        <v>2372</v>
      </c>
      <c r="C288" s="22"/>
      <c r="D288" s="22" t="s">
        <v>2373</v>
      </c>
      <c r="E288" s="22" t="s">
        <v>2374</v>
      </c>
      <c r="F288" s="22" t="s">
        <v>101</v>
      </c>
      <c r="G288" s="22" t="s">
        <v>2375</v>
      </c>
      <c r="H288" s="22"/>
      <c r="I288" s="22" t="s">
        <v>2376</v>
      </c>
      <c r="J288" s="22" t="s">
        <v>57</v>
      </c>
      <c r="K288" s="22" t="s">
        <v>2377</v>
      </c>
      <c r="L288" s="22" t="s">
        <v>2378</v>
      </c>
      <c r="M288" s="22"/>
      <c r="N288" s="22"/>
      <c r="O288" s="22"/>
      <c r="P288" s="22"/>
    </row>
    <row r="289" ht="15.75" customHeight="1">
      <c r="A289" s="20" t="s">
        <v>2379</v>
      </c>
      <c r="B289" s="20" t="s">
        <v>2380</v>
      </c>
      <c r="C289" s="20" t="s">
        <v>2381</v>
      </c>
      <c r="D289" s="20" t="s">
        <v>2382</v>
      </c>
      <c r="E289" s="20" t="s">
        <v>2383</v>
      </c>
      <c r="F289" s="20" t="s">
        <v>475</v>
      </c>
      <c r="G289" s="20" t="s">
        <v>2384</v>
      </c>
      <c r="H289" s="20" t="s">
        <v>2385</v>
      </c>
      <c r="I289" s="20" t="s">
        <v>2386</v>
      </c>
      <c r="J289" s="20" t="s">
        <v>57</v>
      </c>
      <c r="K289" s="21" t="s">
        <v>2387</v>
      </c>
      <c r="L289" s="21" t="s">
        <v>84</v>
      </c>
      <c r="M289" s="21"/>
      <c r="N289" s="21"/>
      <c r="O289" s="21" t="s">
        <v>148</v>
      </c>
      <c r="P289" s="21"/>
    </row>
    <row r="290" ht="15.75" customHeight="1">
      <c r="A290" s="22" t="s">
        <v>2388</v>
      </c>
      <c r="B290" s="22" t="s">
        <v>2389</v>
      </c>
      <c r="C290" s="22"/>
      <c r="D290" s="22" t="s">
        <v>2390</v>
      </c>
      <c r="E290" s="22" t="s">
        <v>2391</v>
      </c>
      <c r="F290" s="22" t="s">
        <v>101</v>
      </c>
      <c r="G290" s="22" t="s">
        <v>2392</v>
      </c>
      <c r="H290" s="22" t="s">
        <v>2393</v>
      </c>
      <c r="I290" s="22" t="s">
        <v>2394</v>
      </c>
      <c r="J290" s="22" t="s">
        <v>57</v>
      </c>
      <c r="K290" s="22" t="s">
        <v>2395</v>
      </c>
      <c r="L290" s="22" t="s">
        <v>762</v>
      </c>
      <c r="M290" s="22"/>
      <c r="N290" s="22"/>
      <c r="O290" s="22" t="s">
        <v>61</v>
      </c>
      <c r="P290" s="22"/>
    </row>
    <row r="291" ht="15.75" customHeight="1">
      <c r="A291" s="20" t="s">
        <v>2396</v>
      </c>
      <c r="B291" s="20" t="s">
        <v>2397</v>
      </c>
      <c r="C291" s="20" t="s">
        <v>2398</v>
      </c>
      <c r="D291" s="20" t="s">
        <v>2399</v>
      </c>
      <c r="E291" s="20" t="s">
        <v>1612</v>
      </c>
      <c r="F291" s="20" t="s">
        <v>130</v>
      </c>
      <c r="G291" s="20" t="s">
        <v>2400</v>
      </c>
      <c r="H291" s="20" t="s">
        <v>2401</v>
      </c>
      <c r="I291" s="20" t="s">
        <v>2402</v>
      </c>
      <c r="J291" s="20" t="s">
        <v>57</v>
      </c>
      <c r="K291" s="21" t="s">
        <v>2403</v>
      </c>
      <c r="L291" s="21" t="s">
        <v>84</v>
      </c>
      <c r="M291" s="21" t="s">
        <v>72</v>
      </c>
      <c r="N291" s="21"/>
      <c r="O291" s="21" t="s">
        <v>73</v>
      </c>
      <c r="P291" s="21"/>
    </row>
    <row r="292" ht="15.75" customHeight="1">
      <c r="A292" s="22" t="s">
        <v>2404</v>
      </c>
      <c r="B292" s="22" t="s">
        <v>2405</v>
      </c>
      <c r="C292" s="22"/>
      <c r="D292" s="22" t="s">
        <v>2406</v>
      </c>
      <c r="E292" s="22" t="s">
        <v>2407</v>
      </c>
      <c r="F292" s="22" t="s">
        <v>580</v>
      </c>
      <c r="G292" s="22" t="s">
        <v>2408</v>
      </c>
      <c r="H292" s="22" t="s">
        <v>2409</v>
      </c>
      <c r="I292" s="22" t="s">
        <v>2410</v>
      </c>
      <c r="J292" s="22" t="s">
        <v>57</v>
      </c>
      <c r="K292" s="22" t="s">
        <v>248</v>
      </c>
      <c r="L292" s="22" t="s">
        <v>411</v>
      </c>
      <c r="M292" s="22" t="s">
        <v>72</v>
      </c>
      <c r="N292" s="22"/>
      <c r="O292" s="22" t="s">
        <v>159</v>
      </c>
      <c r="P292" s="22"/>
    </row>
    <row r="293" ht="15.75" customHeight="1">
      <c r="A293" s="20" t="s">
        <v>2411</v>
      </c>
      <c r="B293" s="20" t="s">
        <v>2412</v>
      </c>
      <c r="C293" s="20"/>
      <c r="D293" s="20" t="s">
        <v>2413</v>
      </c>
      <c r="E293" s="20" t="s">
        <v>1352</v>
      </c>
      <c r="F293" s="20" t="s">
        <v>363</v>
      </c>
      <c r="G293" s="20" t="s">
        <v>2414</v>
      </c>
      <c r="H293" s="20" t="s">
        <v>2415</v>
      </c>
      <c r="I293" s="20" t="s">
        <v>2416</v>
      </c>
      <c r="J293" s="20" t="s">
        <v>57</v>
      </c>
      <c r="K293" s="21" t="s">
        <v>1899</v>
      </c>
      <c r="L293" s="21" t="s">
        <v>2417</v>
      </c>
      <c r="M293" s="21" t="s">
        <v>520</v>
      </c>
      <c r="N293" s="21"/>
      <c r="O293" s="21" t="s">
        <v>137</v>
      </c>
      <c r="P293" s="21"/>
    </row>
    <row r="294" ht="15.75" customHeight="1">
      <c r="A294" s="22" t="s">
        <v>2418</v>
      </c>
      <c r="B294" s="22" t="s">
        <v>2419</v>
      </c>
      <c r="C294" s="22"/>
      <c r="D294" s="22" t="s">
        <v>2420</v>
      </c>
      <c r="E294" s="22" t="s">
        <v>2421</v>
      </c>
      <c r="F294" s="22" t="s">
        <v>91</v>
      </c>
      <c r="G294" s="22" t="s">
        <v>55</v>
      </c>
      <c r="H294" s="22" t="s">
        <v>2422</v>
      </c>
      <c r="I294" s="22" t="s">
        <v>2423</v>
      </c>
      <c r="J294" s="22" t="s">
        <v>57</v>
      </c>
      <c r="K294" s="22" t="s">
        <v>248</v>
      </c>
      <c r="L294" s="22" t="s">
        <v>84</v>
      </c>
      <c r="M294" s="22" t="s">
        <v>337</v>
      </c>
      <c r="N294" s="22"/>
      <c r="O294" s="22" t="s">
        <v>73</v>
      </c>
      <c r="P294" s="22"/>
    </row>
    <row r="295" ht="15.75" customHeight="1">
      <c r="A295" s="20" t="s">
        <v>2424</v>
      </c>
      <c r="B295" s="20" t="s">
        <v>2425</v>
      </c>
      <c r="C295" s="20" t="s">
        <v>2426</v>
      </c>
      <c r="D295" s="20" t="s">
        <v>2427</v>
      </c>
      <c r="E295" s="20" t="s">
        <v>2428</v>
      </c>
      <c r="F295" s="20" t="s">
        <v>378</v>
      </c>
      <c r="G295" s="20" t="s">
        <v>2429</v>
      </c>
      <c r="H295" s="20" t="s">
        <v>2430</v>
      </c>
      <c r="I295" s="20" t="s">
        <v>2431</v>
      </c>
      <c r="J295" s="20" t="s">
        <v>57</v>
      </c>
      <c r="K295" s="21" t="s">
        <v>2432</v>
      </c>
      <c r="L295" s="21" t="s">
        <v>2433</v>
      </c>
      <c r="M295" s="21" t="s">
        <v>985</v>
      </c>
      <c r="N295" s="21"/>
      <c r="O295" s="21" t="s">
        <v>258</v>
      </c>
      <c r="P295" s="21"/>
    </row>
    <row r="296" ht="15.75" customHeight="1">
      <c r="A296" s="22" t="s">
        <v>2434</v>
      </c>
      <c r="B296" s="22" t="s">
        <v>2435</v>
      </c>
      <c r="C296" s="22"/>
      <c r="D296" s="22" t="s">
        <v>2436</v>
      </c>
      <c r="E296" s="22" t="s">
        <v>2437</v>
      </c>
      <c r="F296" s="22" t="s">
        <v>130</v>
      </c>
      <c r="G296" s="22" t="s">
        <v>2438</v>
      </c>
      <c r="H296" s="22"/>
      <c r="I296" s="22" t="s">
        <v>2439</v>
      </c>
      <c r="J296" s="22" t="s">
        <v>57</v>
      </c>
      <c r="K296" s="22" t="s">
        <v>2440</v>
      </c>
      <c r="L296" s="22" t="s">
        <v>2441</v>
      </c>
      <c r="M296" s="22"/>
      <c r="N296" s="22"/>
      <c r="O296" s="22" t="s">
        <v>1093</v>
      </c>
      <c r="P296" s="22"/>
    </row>
    <row r="297" ht="15.75" customHeight="1">
      <c r="A297" s="20" t="s">
        <v>2442</v>
      </c>
      <c r="B297" s="20"/>
      <c r="C297" s="20" t="s">
        <v>2443</v>
      </c>
      <c r="D297" s="20" t="s">
        <v>2444</v>
      </c>
      <c r="E297" s="20" t="s">
        <v>2445</v>
      </c>
      <c r="F297" s="20" t="s">
        <v>130</v>
      </c>
      <c r="G297" s="20" t="s">
        <v>2446</v>
      </c>
      <c r="H297" s="20" t="s">
        <v>2447</v>
      </c>
      <c r="I297" s="20" t="s">
        <v>2448</v>
      </c>
      <c r="J297" s="20" t="s">
        <v>57</v>
      </c>
      <c r="K297" s="21" t="s">
        <v>248</v>
      </c>
      <c r="L297" s="21" t="s">
        <v>2449</v>
      </c>
      <c r="M297" s="21"/>
      <c r="N297" s="21"/>
      <c r="O297" s="21" t="s">
        <v>159</v>
      </c>
      <c r="P297" s="21"/>
    </row>
    <row r="298" ht="15.75" customHeight="1">
      <c r="A298" s="22" t="s">
        <v>2450</v>
      </c>
      <c r="B298" s="22" t="s">
        <v>2451</v>
      </c>
      <c r="C298" s="22"/>
      <c r="D298" s="22" t="s">
        <v>2452</v>
      </c>
      <c r="E298" s="22" t="s">
        <v>55</v>
      </c>
      <c r="F298" s="22" t="s">
        <v>91</v>
      </c>
      <c r="G298" s="22" t="s">
        <v>55</v>
      </c>
      <c r="H298" s="22" t="s">
        <v>2453</v>
      </c>
      <c r="I298" s="22" t="s">
        <v>2454</v>
      </c>
      <c r="J298" s="22" t="s">
        <v>57</v>
      </c>
      <c r="K298" s="22" t="s">
        <v>2455</v>
      </c>
      <c r="L298" s="22" t="s">
        <v>856</v>
      </c>
      <c r="M298" s="22" t="s">
        <v>1842</v>
      </c>
      <c r="N298" s="22"/>
      <c r="O298" s="22" t="s">
        <v>159</v>
      </c>
      <c r="P298" s="22"/>
    </row>
    <row r="299" ht="15.75" customHeight="1">
      <c r="A299" s="20" t="s">
        <v>2456</v>
      </c>
      <c r="B299" s="20" t="s">
        <v>2457</v>
      </c>
      <c r="C299" s="20"/>
      <c r="D299" s="20" t="s">
        <v>2458</v>
      </c>
      <c r="E299" s="20" t="s">
        <v>2459</v>
      </c>
      <c r="F299" s="20" t="s">
        <v>378</v>
      </c>
      <c r="G299" s="20" t="s">
        <v>220</v>
      </c>
      <c r="H299" s="20"/>
      <c r="I299" s="20"/>
      <c r="J299" s="20" t="s">
        <v>57</v>
      </c>
      <c r="K299" s="21" t="s">
        <v>950</v>
      </c>
      <c r="L299" s="21" t="s">
        <v>2021</v>
      </c>
      <c r="M299" s="21"/>
      <c r="N299" s="21"/>
      <c r="O299" s="21" t="s">
        <v>346</v>
      </c>
      <c r="P299" s="21"/>
    </row>
    <row r="300" ht="15.75" customHeight="1">
      <c r="A300" s="22" t="s">
        <v>2460</v>
      </c>
      <c r="B300" s="22" t="s">
        <v>2461</v>
      </c>
      <c r="C300" s="22" t="s">
        <v>2462</v>
      </c>
      <c r="D300" s="22" t="s">
        <v>2463</v>
      </c>
      <c r="E300" s="22" t="s">
        <v>2459</v>
      </c>
      <c r="F300" s="22" t="s">
        <v>378</v>
      </c>
      <c r="G300" s="22" t="s">
        <v>2464</v>
      </c>
      <c r="H300" s="22" t="s">
        <v>2465</v>
      </c>
      <c r="I300" s="22" t="s">
        <v>2466</v>
      </c>
      <c r="J300" s="22" t="s">
        <v>57</v>
      </c>
      <c r="K300" s="22" t="s">
        <v>2467</v>
      </c>
      <c r="L300" s="22" t="s">
        <v>1505</v>
      </c>
      <c r="M300" s="22"/>
      <c r="N300" s="22" t="s">
        <v>2468</v>
      </c>
      <c r="O300" s="22" t="s">
        <v>137</v>
      </c>
      <c r="P300" s="22"/>
    </row>
    <row r="301" ht="15.75" customHeight="1">
      <c r="A301" s="20" t="s">
        <v>2469</v>
      </c>
      <c r="B301" s="20" t="s">
        <v>2470</v>
      </c>
      <c r="C301" s="20" t="s">
        <v>2471</v>
      </c>
      <c r="D301" s="20" t="s">
        <v>2472</v>
      </c>
      <c r="E301" s="20" t="s">
        <v>2473</v>
      </c>
      <c r="F301" s="20" t="s">
        <v>55</v>
      </c>
      <c r="G301" s="20" t="s">
        <v>55</v>
      </c>
      <c r="H301" s="20" t="s">
        <v>2474</v>
      </c>
      <c r="I301" s="20" t="s">
        <v>2475</v>
      </c>
      <c r="J301" s="20" t="s">
        <v>57</v>
      </c>
      <c r="K301" s="21" t="s">
        <v>2476</v>
      </c>
      <c r="L301" s="21" t="s">
        <v>2477</v>
      </c>
      <c r="M301" s="21" t="s">
        <v>85</v>
      </c>
      <c r="N301" s="21"/>
      <c r="O301" s="21" t="s">
        <v>185</v>
      </c>
      <c r="P301" s="21"/>
    </row>
    <row r="302" ht="15.75" customHeight="1">
      <c r="A302" s="22" t="s">
        <v>2478</v>
      </c>
      <c r="B302" s="22" t="s">
        <v>2479</v>
      </c>
      <c r="C302" s="22"/>
      <c r="D302" s="22" t="s">
        <v>2480</v>
      </c>
      <c r="E302" s="22" t="s">
        <v>1883</v>
      </c>
      <c r="F302" s="22" t="s">
        <v>406</v>
      </c>
      <c r="G302" s="22" t="s">
        <v>724</v>
      </c>
      <c r="H302" s="22" t="s">
        <v>2453</v>
      </c>
      <c r="I302" s="22" t="s">
        <v>2481</v>
      </c>
      <c r="J302" s="22" t="s">
        <v>57</v>
      </c>
      <c r="K302" s="22" t="s">
        <v>2467</v>
      </c>
      <c r="L302" s="22" t="s">
        <v>2482</v>
      </c>
      <c r="M302" s="22" t="s">
        <v>225</v>
      </c>
      <c r="N302" s="22"/>
      <c r="O302" s="22" t="s">
        <v>137</v>
      </c>
      <c r="P302" s="22"/>
    </row>
    <row r="303" ht="15.75" customHeight="1">
      <c r="A303" s="20" t="s">
        <v>2483</v>
      </c>
      <c r="B303" s="20" t="s">
        <v>2484</v>
      </c>
      <c r="C303" s="20" t="s">
        <v>2485</v>
      </c>
      <c r="D303" s="20" t="s">
        <v>2486</v>
      </c>
      <c r="E303" s="20" t="s">
        <v>723</v>
      </c>
      <c r="F303" s="20" t="s">
        <v>406</v>
      </c>
      <c r="G303" s="20" t="s">
        <v>2487</v>
      </c>
      <c r="H303" s="20" t="s">
        <v>2488</v>
      </c>
      <c r="I303" s="20" t="s">
        <v>2489</v>
      </c>
      <c r="J303" s="20" t="s">
        <v>57</v>
      </c>
      <c r="K303" s="21" t="s">
        <v>157</v>
      </c>
      <c r="L303" s="21" t="s">
        <v>84</v>
      </c>
      <c r="M303" s="21" t="s">
        <v>1324</v>
      </c>
      <c r="N303" s="21"/>
      <c r="O303" s="21" t="s">
        <v>73</v>
      </c>
      <c r="P303" s="21"/>
    </row>
    <row r="304" ht="15.75" customHeight="1">
      <c r="A304" s="22" t="s">
        <v>2490</v>
      </c>
      <c r="B304" s="22" t="s">
        <v>2491</v>
      </c>
      <c r="C304" s="22" t="s">
        <v>2492</v>
      </c>
      <c r="D304" s="22" t="s">
        <v>2493</v>
      </c>
      <c r="E304" s="22" t="s">
        <v>1883</v>
      </c>
      <c r="F304" s="22" t="s">
        <v>406</v>
      </c>
      <c r="G304" s="22" t="s">
        <v>724</v>
      </c>
      <c r="H304" s="22" t="s">
        <v>2494</v>
      </c>
      <c r="I304" s="22" t="s">
        <v>2495</v>
      </c>
      <c r="J304" s="22" t="s">
        <v>57</v>
      </c>
      <c r="K304" s="22" t="s">
        <v>2496</v>
      </c>
      <c r="L304" s="22" t="s">
        <v>84</v>
      </c>
      <c r="M304" s="22" t="s">
        <v>147</v>
      </c>
      <c r="N304" s="22"/>
      <c r="O304" s="22" t="s">
        <v>501</v>
      </c>
      <c r="P304" s="22"/>
    </row>
    <row r="305" ht="15.75" customHeight="1">
      <c r="A305" s="20" t="s">
        <v>2497</v>
      </c>
      <c r="B305" s="20" t="s">
        <v>2498</v>
      </c>
      <c r="C305" s="20"/>
      <c r="D305" s="20" t="s">
        <v>2499</v>
      </c>
      <c r="E305" s="20" t="s">
        <v>2500</v>
      </c>
      <c r="F305" s="20" t="s">
        <v>352</v>
      </c>
      <c r="G305" s="20"/>
      <c r="H305" s="20" t="s">
        <v>2501</v>
      </c>
      <c r="I305" s="20" t="s">
        <v>2502</v>
      </c>
      <c r="J305" s="20" t="s">
        <v>57</v>
      </c>
      <c r="K305" s="21" t="s">
        <v>1597</v>
      </c>
      <c r="L305" s="21" t="s">
        <v>2503</v>
      </c>
      <c r="M305" s="21" t="s">
        <v>212</v>
      </c>
      <c r="N305" s="21"/>
      <c r="O305" s="21" t="s">
        <v>459</v>
      </c>
      <c r="P305" s="21"/>
    </row>
    <row r="306" ht="15.75" customHeight="1">
      <c r="A306" s="22" t="s">
        <v>2504</v>
      </c>
      <c r="B306" s="22" t="s">
        <v>2505</v>
      </c>
      <c r="C306" s="22" t="s">
        <v>2506</v>
      </c>
      <c r="D306" s="22" t="s">
        <v>2507</v>
      </c>
      <c r="E306" s="22" t="s">
        <v>2508</v>
      </c>
      <c r="F306" s="22" t="s">
        <v>253</v>
      </c>
      <c r="G306" s="22" t="s">
        <v>2509</v>
      </c>
      <c r="H306" s="22" t="s">
        <v>2510</v>
      </c>
      <c r="I306" s="22" t="s">
        <v>2511</v>
      </c>
      <c r="J306" s="22" t="s">
        <v>57</v>
      </c>
      <c r="K306" s="22" t="s">
        <v>430</v>
      </c>
      <c r="L306" s="22" t="s">
        <v>84</v>
      </c>
      <c r="M306" s="22"/>
      <c r="N306" s="22"/>
      <c r="O306" s="22"/>
      <c r="P306" s="22"/>
    </row>
    <row r="307" ht="15.75" customHeight="1">
      <c r="A307" s="20" t="s">
        <v>2512</v>
      </c>
      <c r="B307" s="20" t="s">
        <v>2513</v>
      </c>
      <c r="C307" s="20" t="s">
        <v>2514</v>
      </c>
      <c r="D307" s="20" t="s">
        <v>2515</v>
      </c>
      <c r="E307" s="20" t="s">
        <v>489</v>
      </c>
      <c r="F307" s="20" t="s">
        <v>475</v>
      </c>
      <c r="G307" s="20" t="s">
        <v>2516</v>
      </c>
      <c r="H307" s="20" t="s">
        <v>2517</v>
      </c>
      <c r="I307" s="20"/>
      <c r="J307" s="20" t="s">
        <v>57</v>
      </c>
      <c r="K307" s="21" t="s">
        <v>1744</v>
      </c>
      <c r="L307" s="21" t="s">
        <v>2518</v>
      </c>
      <c r="M307" s="21"/>
      <c r="N307" s="21"/>
      <c r="O307" s="21"/>
      <c r="P307" s="21"/>
    </row>
    <row r="308" ht="15.75" customHeight="1">
      <c r="A308" s="22" t="s">
        <v>2519</v>
      </c>
      <c r="B308" s="22" t="s">
        <v>2520</v>
      </c>
      <c r="C308" s="22"/>
      <c r="D308" s="22" t="s">
        <v>2521</v>
      </c>
      <c r="E308" s="22" t="s">
        <v>1014</v>
      </c>
      <c r="F308" s="22" t="s">
        <v>101</v>
      </c>
      <c r="G308" s="22"/>
      <c r="H308" s="22" t="s">
        <v>2522</v>
      </c>
      <c r="I308" s="22" t="s">
        <v>2523</v>
      </c>
      <c r="J308" s="22" t="s">
        <v>57</v>
      </c>
      <c r="K308" s="22" t="s">
        <v>2524</v>
      </c>
      <c r="L308" s="22" t="s">
        <v>2525</v>
      </c>
      <c r="M308" s="22"/>
      <c r="N308" s="22"/>
      <c r="O308" s="22"/>
      <c r="P308" s="22"/>
    </row>
    <row r="309" ht="15.75" customHeight="1">
      <c r="A309" s="20" t="s">
        <v>2526</v>
      </c>
      <c r="B309" s="20" t="s">
        <v>2527</v>
      </c>
      <c r="C309" s="20"/>
      <c r="D309" s="20" t="s">
        <v>2528</v>
      </c>
      <c r="E309" s="20" t="s">
        <v>1014</v>
      </c>
      <c r="F309" s="20" t="s">
        <v>101</v>
      </c>
      <c r="G309" s="20" t="s">
        <v>2529</v>
      </c>
      <c r="H309" s="20" t="s">
        <v>445</v>
      </c>
      <c r="I309" s="20" t="s">
        <v>2530</v>
      </c>
      <c r="J309" s="20" t="s">
        <v>57</v>
      </c>
      <c r="K309" s="21" t="s">
        <v>2531</v>
      </c>
      <c r="L309" s="21" t="s">
        <v>2532</v>
      </c>
      <c r="M309" s="21" t="s">
        <v>2533</v>
      </c>
      <c r="N309" s="21"/>
      <c r="O309" s="21" t="s">
        <v>501</v>
      </c>
      <c r="P309" s="21" t="s">
        <v>107</v>
      </c>
    </row>
    <row r="310" ht="15.75" customHeight="1">
      <c r="A310" s="22" t="s">
        <v>2534</v>
      </c>
      <c r="B310" s="22" t="s">
        <v>2535</v>
      </c>
      <c r="C310" s="22" t="s">
        <v>2536</v>
      </c>
      <c r="D310" s="22" t="s">
        <v>2537</v>
      </c>
      <c r="E310" s="22" t="s">
        <v>2538</v>
      </c>
      <c r="F310" s="22" t="s">
        <v>263</v>
      </c>
      <c r="G310" s="22" t="s">
        <v>2539</v>
      </c>
      <c r="H310" s="22" t="s">
        <v>2540</v>
      </c>
      <c r="I310" s="22" t="s">
        <v>2541</v>
      </c>
      <c r="J310" s="22" t="s">
        <v>57</v>
      </c>
      <c r="K310" s="22" t="s">
        <v>2542</v>
      </c>
      <c r="L310" s="22" t="s">
        <v>2021</v>
      </c>
      <c r="M310" s="22"/>
      <c r="N310" s="22"/>
      <c r="O310" s="22" t="s">
        <v>185</v>
      </c>
      <c r="P310" s="22"/>
    </row>
    <row r="311" ht="15.75" customHeight="1">
      <c r="A311" s="20" t="s">
        <v>2543</v>
      </c>
      <c r="B311" s="20" t="s">
        <v>2544</v>
      </c>
      <c r="C311" s="20"/>
      <c r="D311" s="20" t="s">
        <v>2545</v>
      </c>
      <c r="E311" s="20" t="s">
        <v>2546</v>
      </c>
      <c r="F311" s="20"/>
      <c r="G311" s="20" t="s">
        <v>1281</v>
      </c>
      <c r="H311" s="20" t="s">
        <v>2547</v>
      </c>
      <c r="I311" s="20" t="s">
        <v>2548</v>
      </c>
      <c r="J311" s="20" t="s">
        <v>57</v>
      </c>
      <c r="K311" s="21" t="s">
        <v>1284</v>
      </c>
      <c r="L311" s="21" t="s">
        <v>2549</v>
      </c>
      <c r="M311" s="21"/>
      <c r="N311" s="21"/>
      <c r="O311" s="21"/>
      <c r="P311" s="21"/>
    </row>
    <row r="312" ht="15.75" customHeight="1">
      <c r="A312" s="22" t="s">
        <v>2550</v>
      </c>
      <c r="B312" s="22"/>
      <c r="C312" s="22" t="s">
        <v>2551</v>
      </c>
      <c r="D312" s="22" t="s">
        <v>2552</v>
      </c>
      <c r="E312" s="22" t="s">
        <v>231</v>
      </c>
      <c r="F312" s="22" t="s">
        <v>79</v>
      </c>
      <c r="G312" s="22" t="s">
        <v>2553</v>
      </c>
      <c r="H312" s="22" t="s">
        <v>2554</v>
      </c>
      <c r="I312" s="22" t="s">
        <v>2555</v>
      </c>
      <c r="J312" s="22" t="s">
        <v>57</v>
      </c>
      <c r="K312" s="22" t="s">
        <v>105</v>
      </c>
      <c r="L312" s="22" t="s">
        <v>2556</v>
      </c>
      <c r="M312" s="22"/>
      <c r="N312" s="22"/>
      <c r="O312" s="22"/>
      <c r="P312" s="22"/>
    </row>
    <row r="313" ht="15.75" customHeight="1">
      <c r="A313" s="20" t="s">
        <v>2557</v>
      </c>
      <c r="B313" s="20" t="s">
        <v>2558</v>
      </c>
      <c r="C313" s="20"/>
      <c r="D313" s="20" t="s">
        <v>2559</v>
      </c>
      <c r="E313" s="20" t="s">
        <v>2560</v>
      </c>
      <c r="F313" s="20" t="s">
        <v>475</v>
      </c>
      <c r="G313" s="20" t="s">
        <v>2561</v>
      </c>
      <c r="H313" s="20" t="s">
        <v>2562</v>
      </c>
      <c r="I313" s="20" t="s">
        <v>2563</v>
      </c>
      <c r="J313" s="20" t="s">
        <v>57</v>
      </c>
      <c r="K313" s="21" t="s">
        <v>2564</v>
      </c>
      <c r="L313" s="21" t="s">
        <v>84</v>
      </c>
      <c r="M313" s="21"/>
      <c r="N313" s="21"/>
      <c r="O313" s="21" t="s">
        <v>359</v>
      </c>
      <c r="P313" s="21"/>
    </row>
    <row r="314" ht="15.75" customHeight="1">
      <c r="A314" s="22" t="s">
        <v>2565</v>
      </c>
      <c r="B314" s="22" t="s">
        <v>2566</v>
      </c>
      <c r="C314" s="22" t="s">
        <v>2567</v>
      </c>
      <c r="D314" s="22" t="s">
        <v>2568</v>
      </c>
      <c r="E314" s="22" t="s">
        <v>55</v>
      </c>
      <c r="F314" s="22" t="s">
        <v>91</v>
      </c>
      <c r="G314" s="22" t="s">
        <v>55</v>
      </c>
      <c r="H314" s="22" t="s">
        <v>2569</v>
      </c>
      <c r="I314" s="22" t="s">
        <v>2570</v>
      </c>
      <c r="J314" s="22" t="s">
        <v>57</v>
      </c>
      <c r="K314" s="22"/>
      <c r="L314" s="22" t="s">
        <v>2571</v>
      </c>
      <c r="M314" s="22"/>
      <c r="N314" s="22"/>
      <c r="O314" s="22" t="s">
        <v>258</v>
      </c>
      <c r="P314" s="22"/>
    </row>
    <row r="315" ht="15.75" customHeight="1">
      <c r="A315" s="20" t="s">
        <v>2572</v>
      </c>
      <c r="B315" s="20" t="s">
        <v>2573</v>
      </c>
      <c r="C315" s="20" t="s">
        <v>2574</v>
      </c>
      <c r="D315" s="20" t="s">
        <v>2575</v>
      </c>
      <c r="E315" s="20" t="s">
        <v>2576</v>
      </c>
      <c r="F315" s="20" t="s">
        <v>363</v>
      </c>
      <c r="G315" s="20" t="s">
        <v>2577</v>
      </c>
      <c r="H315" s="20" t="s">
        <v>2578</v>
      </c>
      <c r="I315" s="20" t="s">
        <v>2579</v>
      </c>
      <c r="J315" s="20" t="s">
        <v>57</v>
      </c>
      <c r="K315" s="21" t="s">
        <v>2580</v>
      </c>
      <c r="L315" s="21" t="s">
        <v>84</v>
      </c>
      <c r="M315" s="21" t="s">
        <v>710</v>
      </c>
      <c r="N315" s="21"/>
      <c r="O315" s="21" t="s">
        <v>269</v>
      </c>
      <c r="P315" s="21"/>
    </row>
    <row r="316" ht="15.75" customHeight="1">
      <c r="A316" s="22" t="s">
        <v>2581</v>
      </c>
      <c r="B316" s="22" t="s">
        <v>1507</v>
      </c>
      <c r="C316" s="22" t="s">
        <v>2198</v>
      </c>
      <c r="D316" s="22" t="s">
        <v>2582</v>
      </c>
      <c r="E316" s="22" t="s">
        <v>231</v>
      </c>
      <c r="F316" s="22" t="s">
        <v>79</v>
      </c>
      <c r="G316" s="22" t="s">
        <v>2583</v>
      </c>
      <c r="H316" s="22" t="s">
        <v>662</v>
      </c>
      <c r="I316" s="22" t="s">
        <v>2584</v>
      </c>
      <c r="J316" s="22" t="s">
        <v>57</v>
      </c>
      <c r="K316" s="22" t="s">
        <v>2585</v>
      </c>
      <c r="L316" s="22" t="s">
        <v>2586</v>
      </c>
      <c r="M316" s="22" t="s">
        <v>2587</v>
      </c>
      <c r="N316" s="22"/>
      <c r="O316" s="22" t="s">
        <v>346</v>
      </c>
      <c r="P316" s="22" t="s">
        <v>107</v>
      </c>
    </row>
    <row r="317" ht="15.75" customHeight="1">
      <c r="A317" s="20" t="s">
        <v>2588</v>
      </c>
      <c r="B317" s="20" t="s">
        <v>2589</v>
      </c>
      <c r="C317" s="20" t="s">
        <v>2590</v>
      </c>
      <c r="D317" s="20" t="s">
        <v>2591</v>
      </c>
      <c r="E317" s="20" t="s">
        <v>1486</v>
      </c>
      <c r="F317" s="20" t="s">
        <v>378</v>
      </c>
      <c r="G317" s="20"/>
      <c r="H317" s="20" t="s">
        <v>2592</v>
      </c>
      <c r="I317" s="20" t="s">
        <v>2593</v>
      </c>
      <c r="J317" s="20" t="s">
        <v>57</v>
      </c>
      <c r="K317" s="21" t="s">
        <v>2078</v>
      </c>
      <c r="L317" s="21" t="s">
        <v>1841</v>
      </c>
      <c r="M317" s="21" t="s">
        <v>278</v>
      </c>
      <c r="N317" s="21"/>
      <c r="O317" s="21" t="s">
        <v>159</v>
      </c>
      <c r="P317" s="21"/>
    </row>
    <row r="318" ht="15.75" customHeight="1">
      <c r="A318" s="22" t="s">
        <v>2594</v>
      </c>
      <c r="B318" s="22"/>
      <c r="C318" s="22"/>
      <c r="D318" s="22"/>
      <c r="E318" s="22" t="s">
        <v>2595</v>
      </c>
      <c r="F318" s="22" t="s">
        <v>112</v>
      </c>
      <c r="G318" s="22" t="s">
        <v>2596</v>
      </c>
      <c r="H318" s="22"/>
      <c r="I318" s="22"/>
      <c r="J318" s="22" t="s">
        <v>57</v>
      </c>
      <c r="K318" s="22" t="s">
        <v>430</v>
      </c>
      <c r="L318" s="22" t="s">
        <v>2597</v>
      </c>
      <c r="M318" s="22"/>
      <c r="N318" s="22"/>
      <c r="O318" s="22"/>
      <c r="P318" s="22"/>
    </row>
    <row r="319" ht="15.75" customHeight="1">
      <c r="A319" s="20" t="s">
        <v>2598</v>
      </c>
      <c r="B319" s="20" t="s">
        <v>2599</v>
      </c>
      <c r="C319" s="20" t="s">
        <v>2600</v>
      </c>
      <c r="D319" s="20" t="s">
        <v>2601</v>
      </c>
      <c r="E319" s="20" t="s">
        <v>2428</v>
      </c>
      <c r="F319" s="20" t="s">
        <v>378</v>
      </c>
      <c r="G319" s="20"/>
      <c r="H319" s="20" t="s">
        <v>248</v>
      </c>
      <c r="I319" s="20"/>
      <c r="J319" s="20" t="s">
        <v>57</v>
      </c>
      <c r="K319" s="21" t="s">
        <v>248</v>
      </c>
      <c r="L319" s="21" t="s">
        <v>84</v>
      </c>
      <c r="M319" s="21"/>
      <c r="N319" s="21"/>
      <c r="O319" s="21" t="s">
        <v>450</v>
      </c>
      <c r="P319" s="21"/>
    </row>
    <row r="320" ht="15.75" customHeight="1">
      <c r="A320" s="22" t="s">
        <v>2602</v>
      </c>
      <c r="B320" s="22" t="s">
        <v>2603</v>
      </c>
      <c r="C320" s="22" t="s">
        <v>2604</v>
      </c>
      <c r="D320" s="22" t="s">
        <v>2605</v>
      </c>
      <c r="E320" s="22" t="s">
        <v>2606</v>
      </c>
      <c r="F320" s="22" t="s">
        <v>91</v>
      </c>
      <c r="G320" s="22" t="s">
        <v>2607</v>
      </c>
      <c r="H320" s="22" t="s">
        <v>246</v>
      </c>
      <c r="I320" s="22" t="s">
        <v>2608</v>
      </c>
      <c r="J320" s="22" t="s">
        <v>57</v>
      </c>
      <c r="K320" s="22" t="s">
        <v>124</v>
      </c>
      <c r="L320" s="22" t="s">
        <v>2609</v>
      </c>
      <c r="M320" s="22"/>
      <c r="N320" s="22"/>
      <c r="O320" s="22"/>
      <c r="P320" s="22" t="s">
        <v>107</v>
      </c>
    </row>
    <row r="321" ht="15.75" customHeight="1">
      <c r="A321" s="20" t="s">
        <v>2610</v>
      </c>
      <c r="B321" s="20" t="s">
        <v>2611</v>
      </c>
      <c r="C321" s="20"/>
      <c r="D321" s="20" t="s">
        <v>2612</v>
      </c>
      <c r="E321" s="20" t="s">
        <v>55</v>
      </c>
      <c r="F321" s="20" t="s">
        <v>91</v>
      </c>
      <c r="G321" s="20" t="s">
        <v>55</v>
      </c>
      <c r="H321" s="20" t="s">
        <v>2613</v>
      </c>
      <c r="I321" s="20" t="s">
        <v>2614</v>
      </c>
      <c r="J321" s="20" t="s">
        <v>57</v>
      </c>
      <c r="K321" s="21" t="s">
        <v>124</v>
      </c>
      <c r="L321" s="21" t="s">
        <v>84</v>
      </c>
      <c r="M321" s="21"/>
      <c r="N321" s="21"/>
      <c r="O321" s="21" t="s">
        <v>159</v>
      </c>
      <c r="P321" s="21"/>
    </row>
    <row r="322" ht="15.75" customHeight="1">
      <c r="A322" s="22" t="s">
        <v>2615</v>
      </c>
      <c r="B322" s="22" t="s">
        <v>2616</v>
      </c>
      <c r="C322" s="22"/>
      <c r="D322" s="22" t="s">
        <v>2617</v>
      </c>
      <c r="E322" s="22" t="s">
        <v>2618</v>
      </c>
      <c r="F322" s="22" t="s">
        <v>253</v>
      </c>
      <c r="G322" s="22" t="s">
        <v>2619</v>
      </c>
      <c r="H322" s="22" t="s">
        <v>2620</v>
      </c>
      <c r="I322" s="22" t="s">
        <v>2621</v>
      </c>
      <c r="J322" s="22" t="s">
        <v>57</v>
      </c>
      <c r="K322" s="22" t="s">
        <v>2622</v>
      </c>
      <c r="L322" s="22" t="s">
        <v>2623</v>
      </c>
      <c r="M322" s="22" t="s">
        <v>304</v>
      </c>
      <c r="N322" s="22"/>
      <c r="O322" s="22" t="s">
        <v>412</v>
      </c>
      <c r="P322" s="22"/>
    </row>
    <row r="323" ht="15.75" customHeight="1">
      <c r="A323" s="20" t="s">
        <v>2624</v>
      </c>
      <c r="B323" s="20" t="s">
        <v>2625</v>
      </c>
      <c r="C323" s="20"/>
      <c r="D323" s="20" t="s">
        <v>2626</v>
      </c>
      <c r="E323" s="20" t="s">
        <v>2627</v>
      </c>
      <c r="F323" s="20" t="s">
        <v>91</v>
      </c>
      <c r="G323" s="20" t="s">
        <v>2628</v>
      </c>
      <c r="H323" s="20" t="s">
        <v>2629</v>
      </c>
      <c r="I323" s="20"/>
      <c r="J323" s="20" t="s">
        <v>57</v>
      </c>
      <c r="K323" s="21" t="s">
        <v>248</v>
      </c>
      <c r="L323" s="21" t="s">
        <v>1648</v>
      </c>
      <c r="M323" s="21" t="s">
        <v>60</v>
      </c>
      <c r="N323" s="21"/>
      <c r="O323" s="21" t="s">
        <v>258</v>
      </c>
      <c r="P323" s="21"/>
    </row>
    <row r="324" ht="15.75" customHeight="1">
      <c r="A324" s="22" t="s">
        <v>2630</v>
      </c>
      <c r="B324" s="22" t="s">
        <v>2631</v>
      </c>
      <c r="C324" s="22" t="s">
        <v>2632</v>
      </c>
      <c r="D324" s="22" t="s">
        <v>2633</v>
      </c>
      <c r="E324" s="22" t="s">
        <v>2266</v>
      </c>
      <c r="F324" s="22" t="s">
        <v>263</v>
      </c>
      <c r="G324" s="22"/>
      <c r="H324" s="22" t="s">
        <v>2634</v>
      </c>
      <c r="I324" s="22" t="s">
        <v>2635</v>
      </c>
      <c r="J324" s="22" t="s">
        <v>57</v>
      </c>
      <c r="K324" s="22" t="s">
        <v>727</v>
      </c>
      <c r="L324" s="22" t="s">
        <v>84</v>
      </c>
      <c r="M324" s="22" t="s">
        <v>1737</v>
      </c>
      <c r="N324" s="22"/>
      <c r="O324" s="22" t="s">
        <v>137</v>
      </c>
      <c r="P324" s="22" t="s">
        <v>107</v>
      </c>
    </row>
    <row r="325" ht="15.75" customHeight="1">
      <c r="A325" s="20" t="s">
        <v>2636</v>
      </c>
      <c r="B325" s="20" t="s">
        <v>2637</v>
      </c>
      <c r="C325" s="20" t="s">
        <v>2638</v>
      </c>
      <c r="D325" s="20" t="s">
        <v>2639</v>
      </c>
      <c r="E325" s="20" t="s">
        <v>2640</v>
      </c>
      <c r="F325" s="20" t="s">
        <v>378</v>
      </c>
      <c r="G325" s="20" t="s">
        <v>1613</v>
      </c>
      <c r="H325" s="20" t="s">
        <v>2641</v>
      </c>
      <c r="I325" s="20" t="s">
        <v>2642</v>
      </c>
      <c r="J325" s="20" t="s">
        <v>57</v>
      </c>
      <c r="K325" s="21" t="s">
        <v>2643</v>
      </c>
      <c r="L325" s="21" t="s">
        <v>2644</v>
      </c>
      <c r="M325" s="21" t="s">
        <v>2645</v>
      </c>
      <c r="N325" s="21" t="s">
        <v>2646</v>
      </c>
      <c r="O325" s="21" t="s">
        <v>2647</v>
      </c>
      <c r="P325" s="21"/>
    </row>
    <row r="326" ht="15.75" customHeight="1">
      <c r="A326" s="22" t="s">
        <v>2648</v>
      </c>
      <c r="B326" s="22" t="s">
        <v>2649</v>
      </c>
      <c r="C326" s="22" t="s">
        <v>2650</v>
      </c>
      <c r="D326" s="22" t="s">
        <v>2651</v>
      </c>
      <c r="E326" s="22" t="s">
        <v>2652</v>
      </c>
      <c r="F326" s="22" t="s">
        <v>352</v>
      </c>
      <c r="G326" s="22" t="s">
        <v>2653</v>
      </c>
      <c r="H326" s="22" t="s">
        <v>2654</v>
      </c>
      <c r="I326" s="22" t="s">
        <v>2655</v>
      </c>
      <c r="J326" s="22" t="s">
        <v>57</v>
      </c>
      <c r="K326" s="22" t="s">
        <v>157</v>
      </c>
      <c r="L326" s="22" t="s">
        <v>2656</v>
      </c>
      <c r="M326" s="22"/>
      <c r="N326" s="22"/>
      <c r="O326" s="22" t="s">
        <v>73</v>
      </c>
      <c r="P326" s="22"/>
    </row>
    <row r="327" ht="15.75" customHeight="1">
      <c r="A327" s="20" t="s">
        <v>2657</v>
      </c>
      <c r="B327" s="20" t="s">
        <v>2658</v>
      </c>
      <c r="C327" s="20"/>
      <c r="D327" s="20" t="s">
        <v>2659</v>
      </c>
      <c r="E327" s="20" t="s">
        <v>2660</v>
      </c>
      <c r="F327" s="20" t="s">
        <v>2163</v>
      </c>
      <c r="G327" s="20"/>
      <c r="H327" s="20"/>
      <c r="I327" s="20" t="s">
        <v>2661</v>
      </c>
      <c r="J327" s="20" t="s">
        <v>57</v>
      </c>
      <c r="K327" s="21" t="s">
        <v>2662</v>
      </c>
      <c r="L327" s="21" t="s">
        <v>84</v>
      </c>
      <c r="M327" s="21" t="s">
        <v>2663</v>
      </c>
      <c r="N327" s="21"/>
      <c r="O327" s="21" t="s">
        <v>2664</v>
      </c>
      <c r="P327" s="21"/>
    </row>
    <row r="328" ht="15.75" customHeight="1">
      <c r="A328" s="22" t="s">
        <v>2665</v>
      </c>
      <c r="B328" s="22" t="s">
        <v>2666</v>
      </c>
      <c r="C328" s="22"/>
      <c r="D328" s="22" t="s">
        <v>2667</v>
      </c>
      <c r="E328" s="22" t="s">
        <v>231</v>
      </c>
      <c r="F328" s="22" t="s">
        <v>79</v>
      </c>
      <c r="G328" s="22" t="s">
        <v>2668</v>
      </c>
      <c r="H328" s="22"/>
      <c r="I328" s="22" t="s">
        <v>2669</v>
      </c>
      <c r="J328" s="22" t="s">
        <v>57</v>
      </c>
      <c r="K328" s="22" t="s">
        <v>2670</v>
      </c>
      <c r="L328" s="22" t="s">
        <v>84</v>
      </c>
      <c r="M328" s="22"/>
      <c r="N328" s="22"/>
      <c r="O328" s="22"/>
      <c r="P328" s="22"/>
    </row>
    <row r="329" ht="15.75" customHeight="1">
      <c r="A329" s="20" t="s">
        <v>2671</v>
      </c>
      <c r="B329" s="20" t="s">
        <v>2672</v>
      </c>
      <c r="C329" s="20" t="s">
        <v>2673</v>
      </c>
      <c r="D329" s="20" t="s">
        <v>2674</v>
      </c>
      <c r="E329" s="20" t="s">
        <v>2675</v>
      </c>
      <c r="F329" s="20" t="s">
        <v>91</v>
      </c>
      <c r="G329" s="20" t="s">
        <v>2676</v>
      </c>
      <c r="H329" s="20" t="s">
        <v>2677</v>
      </c>
      <c r="I329" s="20" t="s">
        <v>2678</v>
      </c>
      <c r="J329" s="20" t="s">
        <v>57</v>
      </c>
      <c r="K329" s="21" t="s">
        <v>248</v>
      </c>
      <c r="L329" s="21" t="s">
        <v>84</v>
      </c>
      <c r="M329" s="21"/>
      <c r="N329" s="21"/>
      <c r="O329" s="21"/>
      <c r="P329" s="21" t="s">
        <v>107</v>
      </c>
    </row>
    <row r="330" ht="15.75" customHeight="1">
      <c r="A330" s="22" t="s">
        <v>2679</v>
      </c>
      <c r="B330" s="22" t="s">
        <v>1401</v>
      </c>
      <c r="C330" s="22" t="s">
        <v>2680</v>
      </c>
      <c r="D330" s="22" t="s">
        <v>2681</v>
      </c>
      <c r="E330" s="22" t="s">
        <v>2682</v>
      </c>
      <c r="F330" s="22" t="s">
        <v>580</v>
      </c>
      <c r="G330" s="22" t="s">
        <v>2683</v>
      </c>
      <c r="H330" s="22" t="s">
        <v>2684</v>
      </c>
      <c r="I330" s="22" t="s">
        <v>2685</v>
      </c>
      <c r="J330" s="22" t="s">
        <v>57</v>
      </c>
      <c r="K330" s="22" t="s">
        <v>2686</v>
      </c>
      <c r="L330" s="22" t="s">
        <v>2687</v>
      </c>
      <c r="M330" s="22" t="s">
        <v>195</v>
      </c>
      <c r="N330" s="22"/>
      <c r="O330" s="22" t="s">
        <v>159</v>
      </c>
      <c r="P330" s="22" t="s">
        <v>107</v>
      </c>
    </row>
    <row r="331" ht="15.75" customHeight="1">
      <c r="A331" s="20" t="s">
        <v>2688</v>
      </c>
      <c r="B331" s="20" t="s">
        <v>2689</v>
      </c>
      <c r="C331" s="20" t="s">
        <v>2690</v>
      </c>
      <c r="D331" s="20" t="s">
        <v>2691</v>
      </c>
      <c r="E331" s="20" t="s">
        <v>2692</v>
      </c>
      <c r="F331" s="20" t="s">
        <v>406</v>
      </c>
      <c r="G331" s="20" t="s">
        <v>2693</v>
      </c>
      <c r="H331" s="20" t="s">
        <v>2694</v>
      </c>
      <c r="I331" s="20" t="s">
        <v>2695</v>
      </c>
      <c r="J331" s="20" t="s">
        <v>57</v>
      </c>
      <c r="K331" s="21" t="s">
        <v>2696</v>
      </c>
      <c r="L331" s="21" t="s">
        <v>2697</v>
      </c>
      <c r="M331" s="21" t="s">
        <v>623</v>
      </c>
      <c r="N331" s="21"/>
      <c r="O331" s="21" t="s">
        <v>73</v>
      </c>
      <c r="P331" s="21"/>
    </row>
    <row r="332" ht="15.75" customHeight="1">
      <c r="A332" s="22" t="s">
        <v>2698</v>
      </c>
      <c r="B332" s="22" t="s">
        <v>2699</v>
      </c>
      <c r="C332" s="22"/>
      <c r="D332" s="22" t="s">
        <v>2700</v>
      </c>
      <c r="E332" s="22" t="s">
        <v>253</v>
      </c>
      <c r="F332" s="22" t="s">
        <v>253</v>
      </c>
      <c r="G332" s="22" t="s">
        <v>2701</v>
      </c>
      <c r="H332" s="22" t="s">
        <v>2702</v>
      </c>
      <c r="I332" s="22" t="s">
        <v>2703</v>
      </c>
      <c r="J332" s="22" t="s">
        <v>57</v>
      </c>
      <c r="K332" s="22" t="s">
        <v>2704</v>
      </c>
      <c r="L332" s="22" t="s">
        <v>2449</v>
      </c>
      <c r="M332" s="22" t="s">
        <v>225</v>
      </c>
      <c r="N332" s="22"/>
      <c r="O332" s="22" t="s">
        <v>159</v>
      </c>
      <c r="P332" s="22"/>
    </row>
    <row r="333" ht="15.75" customHeight="1">
      <c r="A333" s="20" t="s">
        <v>2705</v>
      </c>
      <c r="B333" s="20" t="s">
        <v>2706</v>
      </c>
      <c r="C333" s="20" t="s">
        <v>2707</v>
      </c>
      <c r="D333" s="20" t="s">
        <v>2708</v>
      </c>
      <c r="E333" s="20" t="s">
        <v>1929</v>
      </c>
      <c r="F333" s="20" t="s">
        <v>263</v>
      </c>
      <c r="G333" s="20" t="s">
        <v>2709</v>
      </c>
      <c r="H333" s="20" t="s">
        <v>2710</v>
      </c>
      <c r="I333" s="20" t="s">
        <v>2711</v>
      </c>
      <c r="J333" s="20" t="s">
        <v>57</v>
      </c>
      <c r="K333" s="21" t="s">
        <v>2712</v>
      </c>
      <c r="L333" s="21" t="s">
        <v>2713</v>
      </c>
      <c r="M333" s="21" t="s">
        <v>304</v>
      </c>
      <c r="N333" s="21"/>
      <c r="O333" s="21" t="s">
        <v>450</v>
      </c>
      <c r="P333" s="21"/>
    </row>
    <row r="334" ht="15.75" customHeight="1">
      <c r="A334" s="22" t="s">
        <v>2714</v>
      </c>
      <c r="B334" s="22" t="s">
        <v>2715</v>
      </c>
      <c r="C334" s="22" t="s">
        <v>2716</v>
      </c>
      <c r="D334" s="22" t="s">
        <v>2717</v>
      </c>
      <c r="E334" s="22" t="s">
        <v>2718</v>
      </c>
      <c r="F334" s="22" t="s">
        <v>363</v>
      </c>
      <c r="G334" s="22"/>
      <c r="H334" s="22" t="s">
        <v>2719</v>
      </c>
      <c r="I334" s="22" t="s">
        <v>2720</v>
      </c>
      <c r="J334" s="22" t="s">
        <v>57</v>
      </c>
      <c r="K334" s="22" t="s">
        <v>2721</v>
      </c>
      <c r="L334" s="22" t="s">
        <v>2722</v>
      </c>
      <c r="M334" s="22" t="s">
        <v>985</v>
      </c>
      <c r="N334" s="22"/>
      <c r="O334" s="22" t="s">
        <v>185</v>
      </c>
      <c r="P334" s="22"/>
    </row>
    <row r="335" ht="15.75" customHeight="1">
      <c r="A335" s="20" t="s">
        <v>2723</v>
      </c>
      <c r="B335" s="20" t="s">
        <v>2724</v>
      </c>
      <c r="C335" s="20" t="s">
        <v>1888</v>
      </c>
      <c r="D335" s="20" t="s">
        <v>2725</v>
      </c>
      <c r="E335" s="20" t="s">
        <v>163</v>
      </c>
      <c r="F335" s="20" t="s">
        <v>101</v>
      </c>
      <c r="G335" s="20" t="s">
        <v>163</v>
      </c>
      <c r="H335" s="20" t="s">
        <v>948</v>
      </c>
      <c r="I335" s="20" t="s">
        <v>2726</v>
      </c>
      <c r="J335" s="20" t="s">
        <v>57</v>
      </c>
      <c r="K335" s="21" t="s">
        <v>105</v>
      </c>
      <c r="L335" s="21" t="s">
        <v>2727</v>
      </c>
      <c r="M335" s="21"/>
      <c r="N335" s="21"/>
      <c r="O335" s="21" t="s">
        <v>213</v>
      </c>
      <c r="P335" s="21" t="s">
        <v>107</v>
      </c>
    </row>
    <row r="336" ht="15.75" customHeight="1">
      <c r="A336" s="22" t="s">
        <v>2728</v>
      </c>
      <c r="B336" s="22" t="s">
        <v>2729</v>
      </c>
      <c r="C336" s="22" t="s">
        <v>2730</v>
      </c>
      <c r="D336" s="22" t="s">
        <v>2731</v>
      </c>
      <c r="E336" s="22" t="s">
        <v>2732</v>
      </c>
      <c r="F336" s="22" t="s">
        <v>79</v>
      </c>
      <c r="G336" s="22" t="s">
        <v>2733</v>
      </c>
      <c r="H336" s="22" t="s">
        <v>2734</v>
      </c>
      <c r="I336" s="22" t="s">
        <v>2735</v>
      </c>
      <c r="J336" s="22" t="s">
        <v>57</v>
      </c>
      <c r="K336" s="22" t="s">
        <v>105</v>
      </c>
      <c r="L336" s="22" t="s">
        <v>84</v>
      </c>
      <c r="M336" s="22"/>
      <c r="N336" s="22"/>
      <c r="O336" s="22"/>
      <c r="P336" s="22" t="s">
        <v>107</v>
      </c>
    </row>
    <row r="337" ht="15.75" customHeight="1">
      <c r="A337" s="20" t="s">
        <v>2736</v>
      </c>
      <c r="B337" s="20" t="s">
        <v>2737</v>
      </c>
      <c r="C337" s="20" t="s">
        <v>2738</v>
      </c>
      <c r="D337" s="20" t="s">
        <v>2739</v>
      </c>
      <c r="E337" s="20" t="s">
        <v>2740</v>
      </c>
      <c r="F337" s="20" t="s">
        <v>475</v>
      </c>
      <c r="G337" s="20" t="s">
        <v>2741</v>
      </c>
      <c r="H337" s="20" t="s">
        <v>2742</v>
      </c>
      <c r="I337" s="20"/>
      <c r="J337" s="20" t="s">
        <v>57</v>
      </c>
      <c r="K337" s="21" t="s">
        <v>410</v>
      </c>
      <c r="L337" s="21" t="s">
        <v>2743</v>
      </c>
      <c r="M337" s="21"/>
      <c r="N337" s="21"/>
      <c r="O337" s="21" t="s">
        <v>450</v>
      </c>
      <c r="P337" s="21"/>
    </row>
    <row r="338" ht="15.75" customHeight="1">
      <c r="A338" s="22" t="s">
        <v>2744</v>
      </c>
      <c r="B338" s="22" t="s">
        <v>2745</v>
      </c>
      <c r="C338" s="22" t="s">
        <v>2746</v>
      </c>
      <c r="D338" s="22" t="s">
        <v>2747</v>
      </c>
      <c r="E338" s="22" t="s">
        <v>2748</v>
      </c>
      <c r="F338" s="22" t="s">
        <v>130</v>
      </c>
      <c r="G338" s="22" t="s">
        <v>2749</v>
      </c>
      <c r="H338" s="22" t="s">
        <v>2750</v>
      </c>
      <c r="I338" s="22" t="s">
        <v>2751</v>
      </c>
      <c r="J338" s="22" t="s">
        <v>57</v>
      </c>
      <c r="K338" s="22" t="s">
        <v>604</v>
      </c>
      <c r="L338" s="22" t="s">
        <v>2752</v>
      </c>
      <c r="M338" s="22" t="s">
        <v>1151</v>
      </c>
      <c r="N338" s="22"/>
      <c r="O338" s="22" t="s">
        <v>185</v>
      </c>
      <c r="P338" s="22"/>
    </row>
    <row r="339" ht="15.75" customHeight="1">
      <c r="A339" s="20" t="s">
        <v>2753</v>
      </c>
      <c r="B339" s="20" t="s">
        <v>2754</v>
      </c>
      <c r="C339" s="20" t="s">
        <v>2755</v>
      </c>
      <c r="D339" s="20" t="s">
        <v>2756</v>
      </c>
      <c r="E339" s="20" t="s">
        <v>2757</v>
      </c>
      <c r="F339" s="20" t="s">
        <v>101</v>
      </c>
      <c r="G339" s="20" t="s">
        <v>2758</v>
      </c>
      <c r="H339" s="20" t="s">
        <v>2759</v>
      </c>
      <c r="I339" s="20" t="s">
        <v>2760</v>
      </c>
      <c r="J339" s="20" t="s">
        <v>57</v>
      </c>
      <c r="K339" s="21" t="s">
        <v>2761</v>
      </c>
      <c r="L339" s="21" t="s">
        <v>2762</v>
      </c>
      <c r="M339" s="21" t="s">
        <v>60</v>
      </c>
      <c r="N339" s="21"/>
      <c r="O339" s="21" t="s">
        <v>501</v>
      </c>
      <c r="P339" s="21"/>
    </row>
    <row r="340" ht="15.75" customHeight="1">
      <c r="A340" s="22" t="s">
        <v>2763</v>
      </c>
      <c r="B340" s="22" t="s">
        <v>2764</v>
      </c>
      <c r="C340" s="22"/>
      <c r="D340" s="22" t="s">
        <v>2765</v>
      </c>
      <c r="E340" s="22" t="s">
        <v>2766</v>
      </c>
      <c r="F340" s="22" t="s">
        <v>418</v>
      </c>
      <c r="G340" s="22" t="s">
        <v>2767</v>
      </c>
      <c r="H340" s="22" t="s">
        <v>2768</v>
      </c>
      <c r="I340" s="22" t="s">
        <v>2769</v>
      </c>
      <c r="J340" s="22" t="s">
        <v>57</v>
      </c>
      <c r="K340" s="22" t="s">
        <v>2770</v>
      </c>
      <c r="L340" s="22" t="s">
        <v>84</v>
      </c>
      <c r="M340" s="22"/>
      <c r="N340" s="22"/>
      <c r="O340" s="22" t="s">
        <v>185</v>
      </c>
      <c r="P340" s="22"/>
    </row>
    <row r="341" ht="15.75" customHeight="1">
      <c r="A341" s="20" t="s">
        <v>2771</v>
      </c>
      <c r="B341" s="20" t="s">
        <v>2772</v>
      </c>
      <c r="C341" s="20" t="s">
        <v>2773</v>
      </c>
      <c r="D341" s="20" t="s">
        <v>2774</v>
      </c>
      <c r="E341" s="20" t="s">
        <v>1420</v>
      </c>
      <c r="F341" s="20" t="s">
        <v>418</v>
      </c>
      <c r="G341" s="20" t="s">
        <v>2775</v>
      </c>
      <c r="H341" s="20"/>
      <c r="I341" s="20" t="s">
        <v>2776</v>
      </c>
      <c r="J341" s="20" t="s">
        <v>57</v>
      </c>
      <c r="K341" s="21" t="s">
        <v>248</v>
      </c>
      <c r="L341" s="21" t="s">
        <v>2777</v>
      </c>
      <c r="M341" s="21"/>
      <c r="N341" s="21"/>
      <c r="O341" s="21"/>
      <c r="P341" s="21"/>
    </row>
    <row r="342" ht="15.75" customHeight="1">
      <c r="A342" s="22" t="s">
        <v>2778</v>
      </c>
      <c r="B342" s="22" t="s">
        <v>2779</v>
      </c>
      <c r="C342" s="22" t="s">
        <v>2780</v>
      </c>
      <c r="D342" s="22" t="s">
        <v>2781</v>
      </c>
      <c r="E342" s="22" t="s">
        <v>1420</v>
      </c>
      <c r="F342" s="22" t="s">
        <v>418</v>
      </c>
      <c r="G342" s="22" t="s">
        <v>2782</v>
      </c>
      <c r="H342" s="22" t="s">
        <v>2783</v>
      </c>
      <c r="I342" s="22" t="s">
        <v>2784</v>
      </c>
      <c r="J342" s="22" t="s">
        <v>57</v>
      </c>
      <c r="K342" s="22" t="s">
        <v>2785</v>
      </c>
      <c r="L342" s="22" t="s">
        <v>84</v>
      </c>
      <c r="M342" s="22"/>
      <c r="N342" s="22"/>
      <c r="O342" s="22"/>
      <c r="P342" s="22"/>
    </row>
    <row r="343" ht="15.75" customHeight="1">
      <c r="A343" s="20" t="s">
        <v>2786</v>
      </c>
      <c r="B343" s="20" t="s">
        <v>2787</v>
      </c>
      <c r="C343" s="20"/>
      <c r="D343" s="20" t="s">
        <v>2788</v>
      </c>
      <c r="E343" s="20" t="s">
        <v>2789</v>
      </c>
      <c r="F343" s="20" t="s">
        <v>130</v>
      </c>
      <c r="G343" s="20" t="s">
        <v>2790</v>
      </c>
      <c r="H343" s="20" t="s">
        <v>2791</v>
      </c>
      <c r="I343" s="20" t="s">
        <v>2792</v>
      </c>
      <c r="J343" s="20" t="s">
        <v>57</v>
      </c>
      <c r="K343" s="21" t="s">
        <v>2793</v>
      </c>
      <c r="L343" s="21" t="s">
        <v>2794</v>
      </c>
      <c r="M343" s="21" t="s">
        <v>1933</v>
      </c>
      <c r="N343" s="21"/>
      <c r="O343" s="21" t="s">
        <v>495</v>
      </c>
      <c r="P343" s="21"/>
    </row>
    <row r="344" ht="15.75" customHeight="1">
      <c r="A344" s="22" t="s">
        <v>2795</v>
      </c>
      <c r="B344" s="22" t="s">
        <v>2796</v>
      </c>
      <c r="C344" s="22" t="s">
        <v>2797</v>
      </c>
      <c r="D344" s="22" t="s">
        <v>2798</v>
      </c>
      <c r="E344" s="22" t="s">
        <v>111</v>
      </c>
      <c r="F344" s="22" t="s">
        <v>112</v>
      </c>
      <c r="G344" s="22"/>
      <c r="H344" s="22" t="s">
        <v>2799</v>
      </c>
      <c r="I344" s="22" t="s">
        <v>2800</v>
      </c>
      <c r="J344" s="22" t="s">
        <v>57</v>
      </c>
      <c r="K344" s="22" t="s">
        <v>2801</v>
      </c>
      <c r="L344" s="22" t="s">
        <v>84</v>
      </c>
      <c r="M344" s="22"/>
      <c r="N344" s="22"/>
      <c r="O344" s="22" t="s">
        <v>137</v>
      </c>
      <c r="P344" s="22"/>
    </row>
    <row r="345" ht="15.75" customHeight="1">
      <c r="A345" s="20" t="s">
        <v>2802</v>
      </c>
      <c r="B345" s="20" t="s">
        <v>2803</v>
      </c>
      <c r="C345" s="20"/>
      <c r="D345" s="20" t="s">
        <v>2804</v>
      </c>
      <c r="E345" s="20" t="s">
        <v>2805</v>
      </c>
      <c r="F345" s="20" t="s">
        <v>112</v>
      </c>
      <c r="G345" s="20"/>
      <c r="H345" s="20" t="s">
        <v>2806</v>
      </c>
      <c r="I345" s="20"/>
      <c r="J345" s="20" t="s">
        <v>57</v>
      </c>
      <c r="K345" s="21" t="s">
        <v>2807</v>
      </c>
      <c r="L345" s="21" t="s">
        <v>958</v>
      </c>
      <c r="M345" s="21" t="s">
        <v>147</v>
      </c>
      <c r="N345" s="21"/>
      <c r="O345" s="21" t="s">
        <v>185</v>
      </c>
      <c r="P345" s="21"/>
    </row>
    <row r="346" ht="15.75" customHeight="1">
      <c r="A346" s="22" t="s">
        <v>2808</v>
      </c>
      <c r="B346" s="22" t="s">
        <v>2809</v>
      </c>
      <c r="C346" s="22"/>
      <c r="D346" s="22" t="s">
        <v>2810</v>
      </c>
      <c r="E346" s="22" t="s">
        <v>2811</v>
      </c>
      <c r="F346" s="22" t="s">
        <v>101</v>
      </c>
      <c r="G346" s="22" t="s">
        <v>2812</v>
      </c>
      <c r="H346" s="22" t="s">
        <v>2813</v>
      </c>
      <c r="I346" s="22" t="s">
        <v>2814</v>
      </c>
      <c r="J346" s="22" t="s">
        <v>57</v>
      </c>
      <c r="K346" s="22" t="s">
        <v>2815</v>
      </c>
      <c r="L346" s="22" t="s">
        <v>2816</v>
      </c>
      <c r="M346" s="22" t="s">
        <v>304</v>
      </c>
      <c r="N346" s="22"/>
      <c r="O346" s="22" t="s">
        <v>1093</v>
      </c>
      <c r="P346" s="22"/>
    </row>
    <row r="347" ht="15.75" customHeight="1">
      <c r="A347" s="20" t="s">
        <v>2817</v>
      </c>
      <c r="B347" s="20" t="s">
        <v>2818</v>
      </c>
      <c r="C347" s="20"/>
      <c r="D347" s="20" t="s">
        <v>2819</v>
      </c>
      <c r="E347" s="20" t="s">
        <v>723</v>
      </c>
      <c r="F347" s="20" t="s">
        <v>406</v>
      </c>
      <c r="G347" s="20" t="s">
        <v>724</v>
      </c>
      <c r="H347" s="20" t="s">
        <v>2820</v>
      </c>
      <c r="I347" s="20" t="s">
        <v>2821</v>
      </c>
      <c r="J347" s="20" t="s">
        <v>57</v>
      </c>
      <c r="K347" s="21" t="s">
        <v>124</v>
      </c>
      <c r="L347" s="21" t="s">
        <v>2822</v>
      </c>
      <c r="M347" s="21" t="s">
        <v>1151</v>
      </c>
      <c r="N347" s="21"/>
      <c r="O347" s="21" t="s">
        <v>137</v>
      </c>
      <c r="P347" s="21"/>
    </row>
    <row r="348" ht="15.75" customHeight="1">
      <c r="A348" s="22" t="s">
        <v>2823</v>
      </c>
      <c r="B348" s="22" t="s">
        <v>2824</v>
      </c>
      <c r="C348" s="22"/>
      <c r="D348" s="22" t="s">
        <v>2825</v>
      </c>
      <c r="E348" s="22" t="s">
        <v>2826</v>
      </c>
      <c r="F348" s="22" t="s">
        <v>363</v>
      </c>
      <c r="G348" s="22"/>
      <c r="H348" s="22"/>
      <c r="I348" s="22" t="s">
        <v>2827</v>
      </c>
      <c r="J348" s="22" t="s">
        <v>57</v>
      </c>
      <c r="K348" s="22" t="s">
        <v>366</v>
      </c>
      <c r="L348" s="22" t="s">
        <v>84</v>
      </c>
      <c r="M348" s="22"/>
      <c r="N348" s="22"/>
      <c r="O348" s="22"/>
      <c r="P348" s="22"/>
    </row>
    <row r="349" ht="15.75" customHeight="1">
      <c r="A349" s="20" t="s">
        <v>2828</v>
      </c>
      <c r="B349" s="20"/>
      <c r="C349" s="20"/>
      <c r="D349" s="20" t="s">
        <v>2829</v>
      </c>
      <c r="E349" s="20" t="s">
        <v>2830</v>
      </c>
      <c r="F349" s="20" t="s">
        <v>79</v>
      </c>
      <c r="G349" s="20" t="s">
        <v>2831</v>
      </c>
      <c r="H349" s="20" t="s">
        <v>2832</v>
      </c>
      <c r="I349" s="20" t="s">
        <v>2833</v>
      </c>
      <c r="J349" s="20" t="s">
        <v>57</v>
      </c>
      <c r="K349" s="21" t="s">
        <v>157</v>
      </c>
      <c r="L349" s="21" t="s">
        <v>2532</v>
      </c>
      <c r="M349" s="21" t="s">
        <v>304</v>
      </c>
      <c r="N349" s="21"/>
      <c r="O349" s="21" t="s">
        <v>148</v>
      </c>
      <c r="P349" s="21"/>
    </row>
    <row r="350" ht="15.75" customHeight="1">
      <c r="A350" s="22" t="s">
        <v>2834</v>
      </c>
      <c r="B350" s="22" t="s">
        <v>2835</v>
      </c>
      <c r="C350" s="22"/>
      <c r="D350" s="22" t="s">
        <v>2836</v>
      </c>
      <c r="E350" s="22" t="s">
        <v>2837</v>
      </c>
      <c r="F350" s="22" t="s">
        <v>580</v>
      </c>
      <c r="G350" s="22"/>
      <c r="H350" s="22" t="s">
        <v>2838</v>
      </c>
      <c r="I350" s="22" t="s">
        <v>2839</v>
      </c>
      <c r="J350" s="22" t="s">
        <v>57</v>
      </c>
      <c r="K350" s="22" t="s">
        <v>1880</v>
      </c>
      <c r="L350" s="22" t="s">
        <v>2840</v>
      </c>
      <c r="M350" s="22" t="s">
        <v>2841</v>
      </c>
      <c r="N350" s="22"/>
      <c r="O350" s="22" t="s">
        <v>269</v>
      </c>
      <c r="P350" s="22"/>
    </row>
    <row r="351" ht="15.75" customHeight="1">
      <c r="A351" s="20" t="s">
        <v>2842</v>
      </c>
      <c r="B351" s="20" t="s">
        <v>2843</v>
      </c>
      <c r="C351" s="20" t="s">
        <v>2844</v>
      </c>
      <c r="D351" s="20" t="s">
        <v>2845</v>
      </c>
      <c r="E351" s="20" t="s">
        <v>813</v>
      </c>
      <c r="F351" s="20" t="s">
        <v>101</v>
      </c>
      <c r="G351" s="20" t="s">
        <v>813</v>
      </c>
      <c r="H351" s="20" t="s">
        <v>445</v>
      </c>
      <c r="I351" s="20" t="s">
        <v>2846</v>
      </c>
      <c r="J351" s="20" t="s">
        <v>57</v>
      </c>
      <c r="K351" s="21" t="s">
        <v>2847</v>
      </c>
      <c r="L351" s="21" t="s">
        <v>2848</v>
      </c>
      <c r="M351" s="21" t="s">
        <v>401</v>
      </c>
      <c r="N351" s="21"/>
      <c r="O351" s="21" t="s">
        <v>159</v>
      </c>
      <c r="P351" s="21" t="s">
        <v>107</v>
      </c>
    </row>
    <row r="352" ht="15.75" customHeight="1">
      <c r="A352" s="22" t="s">
        <v>2849</v>
      </c>
      <c r="B352" s="22" t="s">
        <v>2850</v>
      </c>
      <c r="C352" s="22" t="s">
        <v>2851</v>
      </c>
      <c r="D352" s="22" t="s">
        <v>2852</v>
      </c>
      <c r="E352" s="22" t="s">
        <v>2853</v>
      </c>
      <c r="F352" s="22" t="s">
        <v>130</v>
      </c>
      <c r="G352" s="22" t="s">
        <v>2854</v>
      </c>
      <c r="H352" s="22" t="s">
        <v>2855</v>
      </c>
      <c r="I352" s="22" t="s">
        <v>2856</v>
      </c>
      <c r="J352" s="22" t="s">
        <v>57</v>
      </c>
      <c r="K352" s="22" t="s">
        <v>2857</v>
      </c>
      <c r="L352" s="22" t="s">
        <v>84</v>
      </c>
      <c r="M352" s="22" t="s">
        <v>2175</v>
      </c>
      <c r="N352" s="22"/>
      <c r="O352" s="22" t="s">
        <v>159</v>
      </c>
      <c r="P352" s="22"/>
    </row>
    <row r="353" ht="15.75" customHeight="1">
      <c r="A353" s="20" t="s">
        <v>2858</v>
      </c>
      <c r="B353" s="20" t="s">
        <v>2859</v>
      </c>
      <c r="C353" s="20" t="s">
        <v>2860</v>
      </c>
      <c r="D353" s="20" t="s">
        <v>2861</v>
      </c>
      <c r="E353" s="20" t="s">
        <v>2862</v>
      </c>
      <c r="F353" s="20" t="s">
        <v>101</v>
      </c>
      <c r="G353" s="20" t="s">
        <v>2863</v>
      </c>
      <c r="H353" s="20" t="s">
        <v>2864</v>
      </c>
      <c r="I353" s="20" t="s">
        <v>2865</v>
      </c>
      <c r="J353" s="20" t="s">
        <v>57</v>
      </c>
      <c r="K353" s="21" t="s">
        <v>2866</v>
      </c>
      <c r="L353" s="21" t="s">
        <v>84</v>
      </c>
      <c r="M353" s="21" t="s">
        <v>304</v>
      </c>
      <c r="N353" s="21"/>
      <c r="O353" s="21" t="s">
        <v>137</v>
      </c>
      <c r="P353" s="21"/>
    </row>
    <row r="354" ht="15.75" customHeight="1">
      <c r="A354" s="22" t="s">
        <v>2867</v>
      </c>
      <c r="B354" s="22" t="s">
        <v>2868</v>
      </c>
      <c r="C354" s="22" t="s">
        <v>2869</v>
      </c>
      <c r="D354" s="22" t="s">
        <v>2870</v>
      </c>
      <c r="E354" s="22" t="s">
        <v>1352</v>
      </c>
      <c r="F354" s="22" t="s">
        <v>363</v>
      </c>
      <c r="G354" s="22" t="s">
        <v>2871</v>
      </c>
      <c r="H354" s="22" t="s">
        <v>2872</v>
      </c>
      <c r="I354" s="22" t="s">
        <v>2873</v>
      </c>
      <c r="J354" s="22" t="s">
        <v>57</v>
      </c>
      <c r="K354" s="22" t="s">
        <v>430</v>
      </c>
      <c r="L354" s="22" t="s">
        <v>2874</v>
      </c>
      <c r="M354" s="22" t="s">
        <v>147</v>
      </c>
      <c r="N354" s="22"/>
      <c r="O354" s="22" t="s">
        <v>73</v>
      </c>
      <c r="P354" s="22" t="s">
        <v>107</v>
      </c>
    </row>
    <row r="355" ht="15.75" customHeight="1">
      <c r="A355" s="20" t="s">
        <v>2875</v>
      </c>
      <c r="B355" s="20" t="s">
        <v>2876</v>
      </c>
      <c r="C355" s="20"/>
      <c r="D355" s="20" t="s">
        <v>2877</v>
      </c>
      <c r="E355" s="20" t="s">
        <v>2878</v>
      </c>
      <c r="F355" s="20" t="s">
        <v>2879</v>
      </c>
      <c r="G355" s="20" t="s">
        <v>55</v>
      </c>
      <c r="H355" s="20" t="s">
        <v>2880</v>
      </c>
      <c r="I355" s="20" t="s">
        <v>2881</v>
      </c>
      <c r="J355" s="20" t="s">
        <v>57</v>
      </c>
      <c r="K355" s="21" t="s">
        <v>2882</v>
      </c>
      <c r="L355" s="21" t="s">
        <v>2883</v>
      </c>
      <c r="M355" s="21" t="s">
        <v>184</v>
      </c>
      <c r="N355" s="21"/>
      <c r="O355" s="21" t="s">
        <v>159</v>
      </c>
      <c r="P355" s="21" t="s">
        <v>107</v>
      </c>
    </row>
    <row r="356" ht="15.75" customHeight="1">
      <c r="A356" s="22" t="s">
        <v>2884</v>
      </c>
      <c r="B356" s="22"/>
      <c r="C356" s="22"/>
      <c r="D356" s="22" t="s">
        <v>2885</v>
      </c>
      <c r="E356" s="22" t="s">
        <v>231</v>
      </c>
      <c r="F356" s="22" t="s">
        <v>79</v>
      </c>
      <c r="G356" s="22"/>
      <c r="H356" s="22" t="s">
        <v>2884</v>
      </c>
      <c r="I356" s="22"/>
      <c r="J356" s="22" t="s">
        <v>57</v>
      </c>
      <c r="K356" s="22" t="s">
        <v>410</v>
      </c>
      <c r="L356" s="22" t="s">
        <v>583</v>
      </c>
      <c r="M356" s="22"/>
      <c r="N356" s="22"/>
      <c r="O356" s="22" t="s">
        <v>159</v>
      </c>
      <c r="P356" s="22"/>
    </row>
    <row r="357" ht="15.75" customHeight="1">
      <c r="A357" s="20" t="s">
        <v>2886</v>
      </c>
      <c r="B357" s="20" t="s">
        <v>2887</v>
      </c>
      <c r="C357" s="20" t="s">
        <v>2888</v>
      </c>
      <c r="D357" s="20" t="s">
        <v>2889</v>
      </c>
      <c r="E357" s="20" t="s">
        <v>1915</v>
      </c>
      <c r="F357" s="20" t="s">
        <v>378</v>
      </c>
      <c r="G357" s="20" t="s">
        <v>2890</v>
      </c>
      <c r="H357" s="20" t="s">
        <v>2891</v>
      </c>
      <c r="I357" s="20" t="s">
        <v>2892</v>
      </c>
      <c r="J357" s="20" t="s">
        <v>57</v>
      </c>
      <c r="K357" s="21" t="s">
        <v>604</v>
      </c>
      <c r="L357" s="21" t="s">
        <v>84</v>
      </c>
      <c r="M357" s="21"/>
      <c r="N357" s="21"/>
      <c r="O357" s="21" t="s">
        <v>450</v>
      </c>
      <c r="P357" s="21"/>
    </row>
    <row r="358" ht="15.75" customHeight="1">
      <c r="A358" s="22" t="s">
        <v>2893</v>
      </c>
      <c r="B358" s="22" t="s">
        <v>2894</v>
      </c>
      <c r="C358" s="22" t="s">
        <v>2895</v>
      </c>
      <c r="D358" s="22" t="s">
        <v>2896</v>
      </c>
      <c r="E358" s="22" t="s">
        <v>1163</v>
      </c>
      <c r="F358" s="22" t="s">
        <v>253</v>
      </c>
      <c r="G358" s="22" t="s">
        <v>2897</v>
      </c>
      <c r="H358" s="22" t="s">
        <v>2898</v>
      </c>
      <c r="I358" s="22" t="s">
        <v>2899</v>
      </c>
      <c r="J358" s="22" t="s">
        <v>57</v>
      </c>
      <c r="K358" s="22" t="s">
        <v>1193</v>
      </c>
      <c r="L358" s="22" t="s">
        <v>2900</v>
      </c>
      <c r="M358" s="22" t="s">
        <v>2901</v>
      </c>
      <c r="N358" s="22"/>
      <c r="O358" s="22" t="s">
        <v>159</v>
      </c>
      <c r="P358" s="22"/>
    </row>
    <row r="359" ht="15.75" customHeight="1">
      <c r="A359" s="20" t="s">
        <v>2902</v>
      </c>
      <c r="B359" s="20" t="s">
        <v>2903</v>
      </c>
      <c r="C359" s="20" t="s">
        <v>2904</v>
      </c>
      <c r="D359" s="20" t="s">
        <v>2905</v>
      </c>
      <c r="E359" s="20" t="s">
        <v>386</v>
      </c>
      <c r="F359" s="20" t="s">
        <v>101</v>
      </c>
      <c r="G359" s="20" t="s">
        <v>2906</v>
      </c>
      <c r="H359" s="20" t="s">
        <v>2907</v>
      </c>
      <c r="I359" s="20" t="s">
        <v>2908</v>
      </c>
      <c r="J359" s="20" t="s">
        <v>57</v>
      </c>
      <c r="K359" s="21" t="s">
        <v>2909</v>
      </c>
      <c r="L359" s="21" t="s">
        <v>583</v>
      </c>
      <c r="M359" s="21" t="s">
        <v>2910</v>
      </c>
      <c r="N359" s="21"/>
      <c r="O359" s="21" t="s">
        <v>159</v>
      </c>
      <c r="P359" s="21" t="s">
        <v>107</v>
      </c>
    </row>
    <row r="360" ht="15.75" customHeight="1">
      <c r="A360" s="22" t="s">
        <v>2911</v>
      </c>
      <c r="B360" s="22" t="s">
        <v>2912</v>
      </c>
      <c r="C360" s="22" t="s">
        <v>2913</v>
      </c>
      <c r="D360" s="22" t="s">
        <v>2914</v>
      </c>
      <c r="E360" s="22" t="s">
        <v>2915</v>
      </c>
      <c r="F360" s="22" t="s">
        <v>79</v>
      </c>
      <c r="G360" s="22"/>
      <c r="H360" s="22" t="s">
        <v>2916</v>
      </c>
      <c r="I360" s="22" t="s">
        <v>2917</v>
      </c>
      <c r="J360" s="22" t="s">
        <v>57</v>
      </c>
      <c r="K360" s="22" t="s">
        <v>430</v>
      </c>
      <c r="L360" s="22" t="s">
        <v>2918</v>
      </c>
      <c r="M360" s="22" t="s">
        <v>985</v>
      </c>
      <c r="N360" s="22"/>
      <c r="O360" s="22"/>
      <c r="P360" s="22"/>
    </row>
    <row r="361" ht="15.75" customHeight="1">
      <c r="A361" s="20" t="s">
        <v>2919</v>
      </c>
      <c r="B361" s="20" t="s">
        <v>2920</v>
      </c>
      <c r="C361" s="20" t="s">
        <v>2921</v>
      </c>
      <c r="D361" s="20" t="s">
        <v>2922</v>
      </c>
      <c r="E361" s="20" t="s">
        <v>2923</v>
      </c>
      <c r="F361" s="20" t="s">
        <v>79</v>
      </c>
      <c r="G361" s="20" t="s">
        <v>2924</v>
      </c>
      <c r="H361" s="20" t="s">
        <v>2925</v>
      </c>
      <c r="I361" s="20" t="s">
        <v>2926</v>
      </c>
      <c r="J361" s="20" t="s">
        <v>57</v>
      </c>
      <c r="K361" s="21" t="s">
        <v>2049</v>
      </c>
      <c r="L361" s="21" t="s">
        <v>2927</v>
      </c>
      <c r="M361" s="21" t="s">
        <v>2928</v>
      </c>
      <c r="N361" s="21" t="s">
        <v>2929</v>
      </c>
      <c r="O361" s="21" t="s">
        <v>501</v>
      </c>
      <c r="P361" s="21" t="s">
        <v>107</v>
      </c>
    </row>
    <row r="362" ht="15.75" customHeight="1">
      <c r="A362" s="22" t="s">
        <v>2930</v>
      </c>
      <c r="B362" s="22" t="s">
        <v>2931</v>
      </c>
      <c r="C362" s="22" t="s">
        <v>2932</v>
      </c>
      <c r="D362" s="22" t="s">
        <v>2933</v>
      </c>
      <c r="E362" s="22" t="s">
        <v>2934</v>
      </c>
      <c r="F362" s="22" t="s">
        <v>79</v>
      </c>
      <c r="G362" s="22" t="s">
        <v>2935</v>
      </c>
      <c r="H362" s="22" t="s">
        <v>2936</v>
      </c>
      <c r="I362" s="22" t="s">
        <v>2937</v>
      </c>
      <c r="J362" s="22" t="s">
        <v>57</v>
      </c>
      <c r="K362" s="22" t="s">
        <v>2938</v>
      </c>
      <c r="L362" s="22" t="s">
        <v>2939</v>
      </c>
      <c r="M362" s="22" t="s">
        <v>1324</v>
      </c>
      <c r="N362" s="22"/>
      <c r="O362" s="22" t="s">
        <v>137</v>
      </c>
      <c r="P362" s="22" t="s">
        <v>107</v>
      </c>
    </row>
    <row r="363" ht="15.75" customHeight="1">
      <c r="A363" s="20" t="s">
        <v>2940</v>
      </c>
      <c r="B363" s="20" t="s">
        <v>2941</v>
      </c>
      <c r="C363" s="20"/>
      <c r="D363" s="20" t="s">
        <v>2942</v>
      </c>
      <c r="E363" s="20" t="s">
        <v>2943</v>
      </c>
      <c r="F363" s="20" t="s">
        <v>378</v>
      </c>
      <c r="G363" s="20" t="s">
        <v>2944</v>
      </c>
      <c r="H363" s="20" t="s">
        <v>2945</v>
      </c>
      <c r="I363" s="20" t="s">
        <v>2946</v>
      </c>
      <c r="J363" s="20" t="s">
        <v>57</v>
      </c>
      <c r="K363" s="21" t="s">
        <v>2947</v>
      </c>
      <c r="L363" s="21" t="s">
        <v>84</v>
      </c>
      <c r="M363" s="21"/>
      <c r="N363" s="21"/>
      <c r="O363" s="21" t="s">
        <v>450</v>
      </c>
      <c r="P363" s="21"/>
    </row>
    <row r="364" ht="15.75" customHeight="1">
      <c r="A364" s="22" t="s">
        <v>2948</v>
      </c>
      <c r="B364" s="22" t="s">
        <v>2949</v>
      </c>
      <c r="C364" s="22" t="s">
        <v>2950</v>
      </c>
      <c r="D364" s="22" t="s">
        <v>2951</v>
      </c>
      <c r="E364" s="22" t="s">
        <v>1972</v>
      </c>
      <c r="F364" s="22" t="s">
        <v>66</v>
      </c>
      <c r="G364" s="22"/>
      <c r="H364" s="22"/>
      <c r="I364" s="22" t="s">
        <v>2952</v>
      </c>
      <c r="J364" s="22" t="s">
        <v>57</v>
      </c>
      <c r="K364" s="22" t="s">
        <v>2173</v>
      </c>
      <c r="L364" s="22" t="s">
        <v>84</v>
      </c>
      <c r="M364" s="22" t="s">
        <v>2953</v>
      </c>
      <c r="N364" s="22"/>
      <c r="O364" s="22" t="s">
        <v>1250</v>
      </c>
      <c r="P364" s="22"/>
    </row>
    <row r="365" ht="15.75" customHeight="1">
      <c r="A365" s="20" t="s">
        <v>2954</v>
      </c>
      <c r="B365" s="20" t="s">
        <v>2955</v>
      </c>
      <c r="C365" s="20"/>
      <c r="D365" s="20" t="s">
        <v>2956</v>
      </c>
      <c r="E365" s="20" t="s">
        <v>231</v>
      </c>
      <c r="F365" s="20" t="s">
        <v>79</v>
      </c>
      <c r="G365" s="20"/>
      <c r="H365" s="20" t="s">
        <v>2957</v>
      </c>
      <c r="I365" s="20" t="s">
        <v>2958</v>
      </c>
      <c r="J365" s="20" t="s">
        <v>57</v>
      </c>
      <c r="K365" s="21" t="s">
        <v>2959</v>
      </c>
      <c r="L365" s="21" t="s">
        <v>2960</v>
      </c>
      <c r="M365" s="21" t="s">
        <v>2110</v>
      </c>
      <c r="N365" s="21"/>
      <c r="O365" s="21" t="s">
        <v>269</v>
      </c>
      <c r="P365" s="21"/>
    </row>
    <row r="366" ht="15.75" customHeight="1">
      <c r="A366" s="22" t="s">
        <v>2961</v>
      </c>
      <c r="B366" s="22" t="s">
        <v>2962</v>
      </c>
      <c r="C366" s="22" t="s">
        <v>2963</v>
      </c>
      <c r="D366" s="22" t="s">
        <v>2964</v>
      </c>
      <c r="E366" s="22" t="s">
        <v>55</v>
      </c>
      <c r="F366" s="22" t="s">
        <v>91</v>
      </c>
      <c r="G366" s="22" t="s">
        <v>2965</v>
      </c>
      <c r="H366" s="22" t="s">
        <v>2966</v>
      </c>
      <c r="I366" s="22" t="s">
        <v>2967</v>
      </c>
      <c r="J366" s="22" t="s">
        <v>57</v>
      </c>
      <c r="K366" s="22" t="s">
        <v>2968</v>
      </c>
      <c r="L366" s="22" t="s">
        <v>240</v>
      </c>
      <c r="M366" s="22"/>
      <c r="N366" s="22"/>
      <c r="O366" s="22"/>
      <c r="P366" s="22"/>
    </row>
    <row r="367" ht="15.75" customHeight="1">
      <c r="A367" s="20" t="s">
        <v>2969</v>
      </c>
      <c r="B367" s="20" t="s">
        <v>2970</v>
      </c>
      <c r="C367" s="20"/>
      <c r="D367" s="20" t="s">
        <v>2971</v>
      </c>
      <c r="E367" s="20" t="s">
        <v>2972</v>
      </c>
      <c r="F367" s="20" t="s">
        <v>418</v>
      </c>
      <c r="G367" s="20"/>
      <c r="H367" s="20" t="s">
        <v>2973</v>
      </c>
      <c r="I367" s="20" t="s">
        <v>2974</v>
      </c>
      <c r="J367" s="20" t="s">
        <v>57</v>
      </c>
      <c r="K367" s="21" t="s">
        <v>663</v>
      </c>
      <c r="L367" s="21" t="s">
        <v>2975</v>
      </c>
      <c r="M367" s="21" t="s">
        <v>2976</v>
      </c>
      <c r="N367" s="21"/>
      <c r="O367" s="21" t="s">
        <v>359</v>
      </c>
      <c r="P367" s="21"/>
    </row>
    <row r="368" ht="15.75" customHeight="1">
      <c r="A368" s="22" t="s">
        <v>2977</v>
      </c>
      <c r="B368" s="22" t="s">
        <v>2978</v>
      </c>
      <c r="C368" s="22"/>
      <c r="D368" s="22" t="s">
        <v>2979</v>
      </c>
      <c r="E368" s="22" t="s">
        <v>2980</v>
      </c>
      <c r="F368" s="22" t="s">
        <v>101</v>
      </c>
      <c r="G368" s="22"/>
      <c r="H368" s="22" t="s">
        <v>2981</v>
      </c>
      <c r="I368" s="22" t="s">
        <v>2982</v>
      </c>
      <c r="J368" s="22" t="s">
        <v>57</v>
      </c>
      <c r="K368" s="22" t="s">
        <v>816</v>
      </c>
      <c r="L368" s="22" t="s">
        <v>2983</v>
      </c>
      <c r="M368" s="22" t="s">
        <v>985</v>
      </c>
      <c r="N368" s="22"/>
      <c r="O368" s="22" t="s">
        <v>495</v>
      </c>
      <c r="P368" s="22"/>
    </row>
    <row r="369" ht="15.75" customHeight="1">
      <c r="A369" s="20" t="s">
        <v>2984</v>
      </c>
      <c r="B369" s="20" t="s">
        <v>2985</v>
      </c>
      <c r="C369" s="20"/>
      <c r="D369" s="20"/>
      <c r="E369" s="20" t="s">
        <v>2986</v>
      </c>
      <c r="F369" s="20" t="s">
        <v>219</v>
      </c>
      <c r="G369" s="20"/>
      <c r="H369" s="20" t="s">
        <v>2987</v>
      </c>
      <c r="I369" s="20" t="s">
        <v>2988</v>
      </c>
      <c r="J369" s="20" t="s">
        <v>57</v>
      </c>
      <c r="K369" s="21" t="s">
        <v>974</v>
      </c>
      <c r="L369" s="21" t="s">
        <v>2840</v>
      </c>
      <c r="M369" s="21" t="s">
        <v>304</v>
      </c>
      <c r="N369" s="21"/>
      <c r="O369" s="21" t="s">
        <v>159</v>
      </c>
      <c r="P369" s="21"/>
    </row>
    <row r="370" ht="15.75" customHeight="1">
      <c r="A370" s="22" t="s">
        <v>2989</v>
      </c>
      <c r="B370" s="22" t="s">
        <v>2990</v>
      </c>
      <c r="C370" s="22"/>
      <c r="D370" s="22" t="s">
        <v>2991</v>
      </c>
      <c r="E370" s="22" t="s">
        <v>2992</v>
      </c>
      <c r="F370" s="22" t="s">
        <v>79</v>
      </c>
      <c r="G370" s="22" t="s">
        <v>2993</v>
      </c>
      <c r="H370" s="22"/>
      <c r="I370" s="22"/>
      <c r="J370" s="22" t="s">
        <v>57</v>
      </c>
      <c r="K370" s="22" t="s">
        <v>798</v>
      </c>
      <c r="L370" s="22" t="s">
        <v>2994</v>
      </c>
      <c r="M370" s="22" t="s">
        <v>60</v>
      </c>
      <c r="N370" s="22"/>
      <c r="O370" s="22" t="s">
        <v>148</v>
      </c>
      <c r="P370" s="22"/>
    </row>
    <row r="371" ht="15.75" customHeight="1">
      <c r="A371" s="20" t="s">
        <v>2995</v>
      </c>
      <c r="B371" s="20" t="s">
        <v>2996</v>
      </c>
      <c r="C371" s="20" t="s">
        <v>2997</v>
      </c>
      <c r="D371" s="20" t="s">
        <v>2998</v>
      </c>
      <c r="E371" s="20" t="s">
        <v>2999</v>
      </c>
      <c r="F371" s="20" t="s">
        <v>3000</v>
      </c>
      <c r="G371" s="20"/>
      <c r="H371" s="20" t="s">
        <v>3001</v>
      </c>
      <c r="I371" s="20" t="s">
        <v>3002</v>
      </c>
      <c r="J371" s="20" t="s">
        <v>57</v>
      </c>
      <c r="K371" s="21" t="s">
        <v>3003</v>
      </c>
      <c r="L371" s="21" t="s">
        <v>3004</v>
      </c>
      <c r="M371" s="21" t="s">
        <v>1901</v>
      </c>
      <c r="N371" s="21"/>
      <c r="O371" s="21" t="s">
        <v>501</v>
      </c>
      <c r="P371" s="21"/>
    </row>
    <row r="372" ht="15.75" customHeight="1">
      <c r="A372" s="22" t="s">
        <v>3005</v>
      </c>
      <c r="B372" s="22" t="s">
        <v>3006</v>
      </c>
      <c r="C372" s="22"/>
      <c r="D372" s="22" t="s">
        <v>3007</v>
      </c>
      <c r="E372" s="22" t="s">
        <v>3008</v>
      </c>
      <c r="F372" s="22" t="s">
        <v>475</v>
      </c>
      <c r="G372" s="22" t="s">
        <v>3009</v>
      </c>
      <c r="H372" s="22" t="s">
        <v>3010</v>
      </c>
      <c r="I372" s="22" t="s">
        <v>3011</v>
      </c>
      <c r="J372" s="22" t="s">
        <v>57</v>
      </c>
      <c r="K372" s="22" t="s">
        <v>3012</v>
      </c>
      <c r="L372" s="22" t="s">
        <v>3013</v>
      </c>
      <c r="M372" s="22"/>
      <c r="N372" s="22"/>
      <c r="O372" s="22" t="s">
        <v>213</v>
      </c>
      <c r="P372" s="22"/>
    </row>
    <row r="373" ht="15.75" customHeight="1">
      <c r="A373" s="20" t="s">
        <v>3014</v>
      </c>
      <c r="B373" s="20"/>
      <c r="C373" s="20"/>
      <c r="D373" s="20" t="s">
        <v>3015</v>
      </c>
      <c r="E373" s="20" t="s">
        <v>231</v>
      </c>
      <c r="F373" s="20" t="s">
        <v>79</v>
      </c>
      <c r="G373" s="20" t="s">
        <v>3016</v>
      </c>
      <c r="H373" s="20" t="s">
        <v>3017</v>
      </c>
      <c r="I373" s="20" t="s">
        <v>3018</v>
      </c>
      <c r="J373" s="20" t="s">
        <v>57</v>
      </c>
      <c r="K373" s="21" t="s">
        <v>157</v>
      </c>
      <c r="L373" s="21" t="s">
        <v>3019</v>
      </c>
      <c r="M373" s="21"/>
      <c r="N373" s="21"/>
      <c r="O373" s="21" t="s">
        <v>1286</v>
      </c>
      <c r="P373" s="21"/>
    </row>
    <row r="374" ht="15.75" customHeight="1">
      <c r="A374" s="22" t="s">
        <v>3020</v>
      </c>
      <c r="B374" s="22" t="s">
        <v>3021</v>
      </c>
      <c r="C374" s="22"/>
      <c r="D374" s="22" t="s">
        <v>3022</v>
      </c>
      <c r="E374" s="22" t="s">
        <v>55</v>
      </c>
      <c r="F374" s="22" t="s">
        <v>91</v>
      </c>
      <c r="G374" s="22" t="s">
        <v>55</v>
      </c>
      <c r="H374" s="22" t="s">
        <v>3023</v>
      </c>
      <c r="I374" s="22" t="s">
        <v>3024</v>
      </c>
      <c r="J374" s="22" t="s">
        <v>57</v>
      </c>
      <c r="K374" s="22" t="s">
        <v>3025</v>
      </c>
      <c r="L374" s="22" t="s">
        <v>3026</v>
      </c>
      <c r="M374" s="22" t="s">
        <v>1842</v>
      </c>
      <c r="N374" s="22"/>
      <c r="O374" s="22" t="s">
        <v>495</v>
      </c>
      <c r="P374" s="22"/>
    </row>
    <row r="375" ht="15.75" customHeight="1">
      <c r="A375" s="20" t="s">
        <v>3027</v>
      </c>
      <c r="B375" s="20" t="s">
        <v>3028</v>
      </c>
      <c r="C375" s="20" t="s">
        <v>587</v>
      </c>
      <c r="D375" s="20"/>
      <c r="E375" s="20" t="s">
        <v>3029</v>
      </c>
      <c r="F375" s="20" t="s">
        <v>378</v>
      </c>
      <c r="G375" s="20" t="s">
        <v>3030</v>
      </c>
      <c r="H375" s="20" t="s">
        <v>591</v>
      </c>
      <c r="I375" s="20" t="s">
        <v>3031</v>
      </c>
      <c r="J375" s="20" t="s">
        <v>57</v>
      </c>
      <c r="K375" s="21" t="s">
        <v>604</v>
      </c>
      <c r="L375" s="21" t="s">
        <v>856</v>
      </c>
      <c r="M375" s="21"/>
      <c r="N375" s="21"/>
      <c r="O375" s="21"/>
      <c r="P375" s="21" t="s">
        <v>107</v>
      </c>
    </row>
    <row r="376" ht="15.75" customHeight="1">
      <c r="A376" s="22" t="s">
        <v>3032</v>
      </c>
      <c r="B376" s="22" t="s">
        <v>3033</v>
      </c>
      <c r="C376" s="22"/>
      <c r="D376" s="22" t="s">
        <v>3034</v>
      </c>
      <c r="E376" s="22" t="s">
        <v>3035</v>
      </c>
      <c r="F376" s="22" t="s">
        <v>352</v>
      </c>
      <c r="G376" s="22"/>
      <c r="H376" s="22"/>
      <c r="I376" s="22"/>
      <c r="J376" s="22" t="s">
        <v>57</v>
      </c>
      <c r="K376" s="22" t="s">
        <v>157</v>
      </c>
      <c r="L376" s="22" t="s">
        <v>84</v>
      </c>
      <c r="M376" s="22"/>
      <c r="N376" s="22"/>
      <c r="O376" s="22" t="s">
        <v>185</v>
      </c>
      <c r="P376" s="22"/>
    </row>
    <row r="377" ht="15.75" customHeight="1">
      <c r="A377" s="20" t="s">
        <v>3036</v>
      </c>
      <c r="B377" s="20" t="s">
        <v>3037</v>
      </c>
      <c r="C377" s="20" t="s">
        <v>3038</v>
      </c>
      <c r="D377" s="20" t="s">
        <v>3039</v>
      </c>
      <c r="E377" s="20" t="s">
        <v>3040</v>
      </c>
      <c r="F377" s="20" t="s">
        <v>66</v>
      </c>
      <c r="G377" s="20" t="s">
        <v>3041</v>
      </c>
      <c r="H377" s="20" t="s">
        <v>3042</v>
      </c>
      <c r="I377" s="20" t="s">
        <v>3043</v>
      </c>
      <c r="J377" s="20" t="s">
        <v>57</v>
      </c>
      <c r="K377" s="21" t="s">
        <v>3044</v>
      </c>
      <c r="L377" s="21" t="s">
        <v>3045</v>
      </c>
      <c r="M377" s="21" t="s">
        <v>3046</v>
      </c>
      <c r="N377" s="21"/>
      <c r="O377" s="21" t="s">
        <v>469</v>
      </c>
      <c r="P377" s="21"/>
    </row>
    <row r="378" ht="15.75" customHeight="1">
      <c r="A378" s="22" t="s">
        <v>3047</v>
      </c>
      <c r="B378" s="22" t="s">
        <v>3048</v>
      </c>
      <c r="C378" s="22"/>
      <c r="D378" s="22" t="s">
        <v>3049</v>
      </c>
      <c r="E378" s="22" t="s">
        <v>55</v>
      </c>
      <c r="F378" s="22" t="s">
        <v>91</v>
      </c>
      <c r="G378" s="22" t="s">
        <v>55</v>
      </c>
      <c r="H378" s="22" t="s">
        <v>1677</v>
      </c>
      <c r="I378" s="22" t="s">
        <v>3050</v>
      </c>
      <c r="J378" s="22" t="s">
        <v>57</v>
      </c>
      <c r="K378" s="22" t="s">
        <v>3051</v>
      </c>
      <c r="L378" s="22" t="s">
        <v>84</v>
      </c>
      <c r="M378" s="22"/>
      <c r="N378" s="22"/>
      <c r="O378" s="22" t="s">
        <v>61</v>
      </c>
      <c r="P378" s="22"/>
    </row>
    <row r="379" ht="15.75" customHeight="1">
      <c r="A379" s="20" t="s">
        <v>3052</v>
      </c>
      <c r="B379" s="20" t="s">
        <v>3053</v>
      </c>
      <c r="C379" s="20" t="s">
        <v>3054</v>
      </c>
      <c r="D379" s="20" t="s">
        <v>3055</v>
      </c>
      <c r="E379" s="20" t="s">
        <v>3056</v>
      </c>
      <c r="F379" s="20" t="s">
        <v>130</v>
      </c>
      <c r="G379" s="20" t="s">
        <v>3057</v>
      </c>
      <c r="H379" s="20" t="s">
        <v>3058</v>
      </c>
      <c r="I379" s="20" t="s">
        <v>3059</v>
      </c>
      <c r="J379" s="20" t="s">
        <v>57</v>
      </c>
      <c r="K379" s="21" t="s">
        <v>3060</v>
      </c>
      <c r="L379" s="21" t="s">
        <v>3061</v>
      </c>
      <c r="M379" s="21"/>
      <c r="N379" s="21"/>
      <c r="O379" s="21"/>
      <c r="P379" s="21"/>
    </row>
    <row r="380" ht="15.75" customHeight="1">
      <c r="A380" s="22" t="s">
        <v>3062</v>
      </c>
      <c r="B380" s="22" t="s">
        <v>3063</v>
      </c>
      <c r="C380" s="22" t="s">
        <v>3064</v>
      </c>
      <c r="D380" s="22" t="s">
        <v>3065</v>
      </c>
      <c r="E380" s="22" t="s">
        <v>723</v>
      </c>
      <c r="F380" s="22" t="s">
        <v>406</v>
      </c>
      <c r="G380" s="22" t="s">
        <v>3066</v>
      </c>
      <c r="H380" s="22" t="s">
        <v>3067</v>
      </c>
      <c r="I380" s="22" t="s">
        <v>3068</v>
      </c>
      <c r="J380" s="22" t="s">
        <v>57</v>
      </c>
      <c r="K380" s="22" t="s">
        <v>124</v>
      </c>
      <c r="L380" s="22" t="s">
        <v>3069</v>
      </c>
      <c r="M380" s="22"/>
      <c r="N380" s="22"/>
      <c r="O380" s="22" t="s">
        <v>1093</v>
      </c>
      <c r="P380" s="22"/>
    </row>
    <row r="381" ht="15.75" customHeight="1">
      <c r="A381" s="20" t="s">
        <v>3070</v>
      </c>
      <c r="B381" s="20" t="s">
        <v>3071</v>
      </c>
      <c r="C381" s="20"/>
      <c r="D381" s="20" t="s">
        <v>3072</v>
      </c>
      <c r="E381" s="20" t="s">
        <v>3073</v>
      </c>
      <c r="F381" s="20" t="s">
        <v>2163</v>
      </c>
      <c r="G381" s="20" t="s">
        <v>3074</v>
      </c>
      <c r="H381" s="20" t="s">
        <v>3075</v>
      </c>
      <c r="I381" s="20" t="s">
        <v>3076</v>
      </c>
      <c r="J381" s="20" t="s">
        <v>57</v>
      </c>
      <c r="K381" s="21" t="s">
        <v>3077</v>
      </c>
      <c r="L381" s="21" t="s">
        <v>3078</v>
      </c>
      <c r="M381" s="21" t="s">
        <v>60</v>
      </c>
      <c r="N381" s="21"/>
      <c r="O381" s="21" t="s">
        <v>148</v>
      </c>
      <c r="P381" s="21"/>
    </row>
    <row r="382" ht="15.75" customHeight="1">
      <c r="A382" s="22" t="s">
        <v>3079</v>
      </c>
      <c r="B382" s="22"/>
      <c r="C382" s="22"/>
      <c r="D382" s="22" t="s">
        <v>3080</v>
      </c>
      <c r="E382" s="22" t="s">
        <v>3081</v>
      </c>
      <c r="F382" s="22" t="s">
        <v>112</v>
      </c>
      <c r="G382" s="22" t="s">
        <v>3082</v>
      </c>
      <c r="H382" s="22" t="s">
        <v>3083</v>
      </c>
      <c r="I382" s="22" t="s">
        <v>3084</v>
      </c>
      <c r="J382" s="22" t="s">
        <v>57</v>
      </c>
      <c r="K382" s="22" t="s">
        <v>248</v>
      </c>
      <c r="L382" s="22" t="s">
        <v>84</v>
      </c>
      <c r="M382" s="22"/>
      <c r="N382" s="22"/>
      <c r="O382" s="22"/>
      <c r="P382" s="22"/>
    </row>
    <row r="383" ht="15.75" customHeight="1">
      <c r="A383" s="20" t="s">
        <v>3085</v>
      </c>
      <c r="B383" s="20" t="s">
        <v>3086</v>
      </c>
      <c r="C383" s="20"/>
      <c r="D383" s="20" t="s">
        <v>3087</v>
      </c>
      <c r="E383" s="20" t="s">
        <v>231</v>
      </c>
      <c r="F383" s="20" t="s">
        <v>79</v>
      </c>
      <c r="G383" s="20" t="s">
        <v>3088</v>
      </c>
      <c r="H383" s="20" t="s">
        <v>3089</v>
      </c>
      <c r="I383" s="20" t="s">
        <v>3090</v>
      </c>
      <c r="J383" s="20" t="s">
        <v>57</v>
      </c>
      <c r="K383" s="21" t="s">
        <v>410</v>
      </c>
      <c r="L383" s="21" t="s">
        <v>84</v>
      </c>
      <c r="M383" s="21"/>
      <c r="N383" s="21"/>
      <c r="O383" s="21" t="s">
        <v>185</v>
      </c>
      <c r="P383" s="21"/>
    </row>
    <row r="384" ht="15.75" customHeight="1">
      <c r="A384" s="22" t="s">
        <v>3091</v>
      </c>
      <c r="B384" s="22" t="s">
        <v>3092</v>
      </c>
      <c r="C384" s="22" t="s">
        <v>3093</v>
      </c>
      <c r="D384" s="22" t="s">
        <v>3094</v>
      </c>
      <c r="E384" s="22" t="s">
        <v>2692</v>
      </c>
      <c r="F384" s="22" t="s">
        <v>406</v>
      </c>
      <c r="G384" s="22" t="s">
        <v>3095</v>
      </c>
      <c r="H384" s="22" t="s">
        <v>3096</v>
      </c>
      <c r="I384" s="22" t="s">
        <v>3097</v>
      </c>
      <c r="J384" s="22" t="s">
        <v>57</v>
      </c>
      <c r="K384" s="22" t="s">
        <v>3098</v>
      </c>
      <c r="L384" s="22" t="s">
        <v>3099</v>
      </c>
      <c r="M384" s="22" t="s">
        <v>304</v>
      </c>
      <c r="N384" s="22"/>
      <c r="O384" s="22" t="s">
        <v>159</v>
      </c>
      <c r="P384" s="22"/>
    </row>
    <row r="385" ht="15.75" customHeight="1">
      <c r="A385" s="20" t="s">
        <v>3100</v>
      </c>
      <c r="B385" s="20" t="s">
        <v>3101</v>
      </c>
      <c r="C385" s="20"/>
      <c r="D385" s="20" t="s">
        <v>3102</v>
      </c>
      <c r="E385" s="20" t="s">
        <v>3103</v>
      </c>
      <c r="F385" s="20" t="s">
        <v>130</v>
      </c>
      <c r="G385" s="20"/>
      <c r="H385" s="20"/>
      <c r="I385" s="20"/>
      <c r="J385" s="20" t="s">
        <v>57</v>
      </c>
      <c r="K385" s="21" t="s">
        <v>3077</v>
      </c>
      <c r="L385" s="21" t="s">
        <v>3104</v>
      </c>
      <c r="M385" s="21" t="s">
        <v>1754</v>
      </c>
      <c r="N385" s="21"/>
      <c r="O385" s="21" t="s">
        <v>137</v>
      </c>
      <c r="P385" s="21"/>
    </row>
    <row r="386" ht="15.75" customHeight="1">
      <c r="A386" s="22" t="s">
        <v>3105</v>
      </c>
      <c r="B386" s="22" t="s">
        <v>3106</v>
      </c>
      <c r="C386" s="22" t="s">
        <v>3107</v>
      </c>
      <c r="D386" s="22" t="s">
        <v>3108</v>
      </c>
      <c r="E386" s="22" t="s">
        <v>231</v>
      </c>
      <c r="F386" s="22" t="s">
        <v>79</v>
      </c>
      <c r="G386" s="22"/>
      <c r="H386" s="22"/>
      <c r="I386" s="22"/>
      <c r="J386" s="22" t="s">
        <v>57</v>
      </c>
      <c r="K386" s="22" t="s">
        <v>3109</v>
      </c>
      <c r="L386" s="22" t="s">
        <v>583</v>
      </c>
      <c r="M386" s="22" t="s">
        <v>3110</v>
      </c>
      <c r="N386" s="22"/>
      <c r="O386" s="22" t="s">
        <v>469</v>
      </c>
      <c r="P386" s="22"/>
    </row>
    <row r="387" ht="15.75" customHeight="1">
      <c r="A387" s="20" t="s">
        <v>3111</v>
      </c>
      <c r="B387" s="20" t="s">
        <v>3112</v>
      </c>
      <c r="C387" s="20" t="s">
        <v>3113</v>
      </c>
      <c r="D387" s="20" t="s">
        <v>3114</v>
      </c>
      <c r="E387" s="20" t="s">
        <v>395</v>
      </c>
      <c r="F387" s="20" t="s">
        <v>66</v>
      </c>
      <c r="G387" s="20" t="s">
        <v>3115</v>
      </c>
      <c r="H387" s="20" t="s">
        <v>3116</v>
      </c>
      <c r="I387" s="20" t="s">
        <v>3117</v>
      </c>
      <c r="J387" s="20" t="s">
        <v>57</v>
      </c>
      <c r="K387" s="21" t="s">
        <v>1744</v>
      </c>
      <c r="L387" s="21" t="s">
        <v>3118</v>
      </c>
      <c r="M387" s="21"/>
      <c r="N387" s="21"/>
      <c r="O387" s="21" t="s">
        <v>412</v>
      </c>
      <c r="P387" s="21"/>
    </row>
    <row r="388" ht="15.75" customHeight="1">
      <c r="A388" s="22" t="s">
        <v>3119</v>
      </c>
      <c r="B388" s="22" t="s">
        <v>3120</v>
      </c>
      <c r="C388" s="22"/>
      <c r="D388" s="22" t="s">
        <v>3121</v>
      </c>
      <c r="E388" s="22" t="s">
        <v>55</v>
      </c>
      <c r="F388" s="22" t="s">
        <v>91</v>
      </c>
      <c r="G388" s="22" t="s">
        <v>55</v>
      </c>
      <c r="H388" s="22" t="s">
        <v>3122</v>
      </c>
      <c r="I388" s="22" t="s">
        <v>3123</v>
      </c>
      <c r="J388" s="22" t="s">
        <v>57</v>
      </c>
      <c r="K388" s="22" t="s">
        <v>1744</v>
      </c>
      <c r="L388" s="22" t="s">
        <v>84</v>
      </c>
      <c r="M388" s="22"/>
      <c r="N388" s="22"/>
      <c r="O388" s="22" t="s">
        <v>61</v>
      </c>
      <c r="P388" s="22"/>
    </row>
    <row r="389" ht="15.75" customHeight="1">
      <c r="A389" s="20" t="s">
        <v>3124</v>
      </c>
      <c r="B389" s="20" t="s">
        <v>3125</v>
      </c>
      <c r="C389" s="20"/>
      <c r="D389" s="20" t="s">
        <v>3126</v>
      </c>
      <c r="E389" s="20" t="s">
        <v>231</v>
      </c>
      <c r="F389" s="20" t="s">
        <v>79</v>
      </c>
      <c r="G389" s="20" t="s">
        <v>3127</v>
      </c>
      <c r="H389" s="20" t="s">
        <v>3128</v>
      </c>
      <c r="I389" s="20" t="s">
        <v>3129</v>
      </c>
      <c r="J389" s="20" t="s">
        <v>57</v>
      </c>
      <c r="K389" s="21" t="s">
        <v>3130</v>
      </c>
      <c r="L389" s="21" t="s">
        <v>3131</v>
      </c>
      <c r="M389" s="21"/>
      <c r="N389" s="21"/>
      <c r="O389" s="21"/>
      <c r="P389" s="21"/>
    </row>
    <row r="390" ht="15.75" customHeight="1">
      <c r="A390" s="22" t="s">
        <v>3132</v>
      </c>
      <c r="B390" s="22" t="s">
        <v>3133</v>
      </c>
      <c r="C390" s="22" t="s">
        <v>3134</v>
      </c>
      <c r="D390" s="22" t="s">
        <v>3135</v>
      </c>
      <c r="E390" s="22" t="s">
        <v>1305</v>
      </c>
      <c r="F390" s="22" t="s">
        <v>130</v>
      </c>
      <c r="G390" s="22" t="s">
        <v>3136</v>
      </c>
      <c r="H390" s="22" t="s">
        <v>3137</v>
      </c>
      <c r="I390" s="22" t="s">
        <v>3138</v>
      </c>
      <c r="J390" s="22" t="s">
        <v>57</v>
      </c>
      <c r="K390" s="22" t="s">
        <v>1597</v>
      </c>
      <c r="L390" s="22" t="s">
        <v>3139</v>
      </c>
      <c r="M390" s="22" t="s">
        <v>3140</v>
      </c>
      <c r="N390" s="22"/>
      <c r="O390" s="22" t="s">
        <v>1093</v>
      </c>
      <c r="P390" s="22"/>
    </row>
    <row r="391" ht="15.75" customHeight="1">
      <c r="A391" s="20" t="s">
        <v>3141</v>
      </c>
      <c r="B391" s="20" t="s">
        <v>3142</v>
      </c>
      <c r="C391" s="20" t="s">
        <v>3143</v>
      </c>
      <c r="D391" s="20" t="s">
        <v>3144</v>
      </c>
      <c r="E391" s="20" t="s">
        <v>2162</v>
      </c>
      <c r="F391" s="20" t="s">
        <v>2163</v>
      </c>
      <c r="G391" s="20" t="s">
        <v>3145</v>
      </c>
      <c r="H391" s="20"/>
      <c r="I391" s="20" t="s">
        <v>3146</v>
      </c>
      <c r="J391" s="20" t="s">
        <v>57</v>
      </c>
      <c r="K391" s="21" t="s">
        <v>410</v>
      </c>
      <c r="L391" s="21" t="s">
        <v>84</v>
      </c>
      <c r="M391" s="21"/>
      <c r="N391" s="21"/>
      <c r="O391" s="21" t="s">
        <v>185</v>
      </c>
      <c r="P391" s="21"/>
    </row>
    <row r="392" ht="15.75" customHeight="1">
      <c r="A392" s="22" t="s">
        <v>3147</v>
      </c>
      <c r="B392" s="22" t="s">
        <v>3148</v>
      </c>
      <c r="C392" s="22"/>
      <c r="D392" s="22" t="s">
        <v>3149</v>
      </c>
      <c r="E392" s="22" t="s">
        <v>3150</v>
      </c>
      <c r="F392" s="22" t="s">
        <v>112</v>
      </c>
      <c r="G392" s="22" t="s">
        <v>3151</v>
      </c>
      <c r="H392" s="22" t="s">
        <v>3152</v>
      </c>
      <c r="I392" s="22" t="s">
        <v>3153</v>
      </c>
      <c r="J392" s="22" t="s">
        <v>57</v>
      </c>
      <c r="K392" s="22" t="s">
        <v>248</v>
      </c>
      <c r="L392" s="22" t="s">
        <v>84</v>
      </c>
      <c r="M392" s="22"/>
      <c r="N392" s="22"/>
      <c r="O392" s="22"/>
      <c r="P392" s="22"/>
    </row>
    <row r="393" ht="15.75" customHeight="1">
      <c r="A393" s="20" t="s">
        <v>3154</v>
      </c>
      <c r="B393" s="20" t="s">
        <v>3155</v>
      </c>
      <c r="C393" s="20" t="s">
        <v>3156</v>
      </c>
      <c r="D393" s="20" t="s">
        <v>3157</v>
      </c>
      <c r="E393" s="20" t="s">
        <v>3158</v>
      </c>
      <c r="F393" s="20" t="s">
        <v>352</v>
      </c>
      <c r="G393" s="20"/>
      <c r="H393" s="20" t="s">
        <v>3159</v>
      </c>
      <c r="I393" s="20" t="s">
        <v>3160</v>
      </c>
      <c r="J393" s="20" t="s">
        <v>57</v>
      </c>
      <c r="K393" s="21" t="s">
        <v>410</v>
      </c>
      <c r="L393" s="21" t="s">
        <v>84</v>
      </c>
      <c r="M393" s="21"/>
      <c r="N393" s="21"/>
      <c r="O393" s="21" t="s">
        <v>159</v>
      </c>
      <c r="P393" s="21"/>
    </row>
    <row r="394" ht="15.75" customHeight="1">
      <c r="A394" s="22" t="s">
        <v>3161</v>
      </c>
      <c r="B394" s="22" t="s">
        <v>3162</v>
      </c>
      <c r="C394" s="22"/>
      <c r="D394" s="22" t="s">
        <v>3163</v>
      </c>
      <c r="E394" s="22" t="s">
        <v>3164</v>
      </c>
      <c r="F394" s="22" t="s">
        <v>112</v>
      </c>
      <c r="G394" s="22"/>
      <c r="H394" s="22" t="s">
        <v>3165</v>
      </c>
      <c r="I394" s="22" t="s">
        <v>3166</v>
      </c>
      <c r="J394" s="22" t="s">
        <v>57</v>
      </c>
      <c r="K394" s="22" t="s">
        <v>2857</v>
      </c>
      <c r="L394" s="22" t="s">
        <v>84</v>
      </c>
      <c r="M394" s="22"/>
      <c r="N394" s="22"/>
      <c r="O394" s="22" t="s">
        <v>269</v>
      </c>
      <c r="P394" s="22"/>
    </row>
    <row r="395" ht="15.75" customHeight="1">
      <c r="A395" s="20" t="s">
        <v>3167</v>
      </c>
      <c r="B395" s="20"/>
      <c r="C395" s="20"/>
      <c r="D395" s="20"/>
      <c r="E395" s="20" t="s">
        <v>3168</v>
      </c>
      <c r="F395" s="20" t="s">
        <v>66</v>
      </c>
      <c r="G395" s="20" t="s">
        <v>3169</v>
      </c>
      <c r="H395" s="20"/>
      <c r="I395" s="20"/>
      <c r="J395" s="20" t="s">
        <v>57</v>
      </c>
      <c r="K395" s="21" t="s">
        <v>105</v>
      </c>
      <c r="L395" s="21" t="s">
        <v>84</v>
      </c>
      <c r="M395" s="21" t="s">
        <v>225</v>
      </c>
      <c r="N395" s="21"/>
      <c r="O395" s="21" t="s">
        <v>3170</v>
      </c>
      <c r="P395" s="21"/>
    </row>
    <row r="396" ht="15.75" customHeight="1">
      <c r="A396" s="22" t="s">
        <v>3171</v>
      </c>
      <c r="B396" s="22" t="s">
        <v>3172</v>
      </c>
      <c r="C396" s="22" t="s">
        <v>3173</v>
      </c>
      <c r="D396" s="22" t="s">
        <v>3174</v>
      </c>
      <c r="E396" s="22" t="s">
        <v>308</v>
      </c>
      <c r="F396" s="22" t="s">
        <v>101</v>
      </c>
      <c r="G396" s="22" t="s">
        <v>3175</v>
      </c>
      <c r="H396" s="22"/>
      <c r="I396" s="22" t="s">
        <v>3176</v>
      </c>
      <c r="J396" s="22" t="s">
        <v>57</v>
      </c>
      <c r="K396" s="22" t="s">
        <v>410</v>
      </c>
      <c r="L396" s="22" t="s">
        <v>3177</v>
      </c>
      <c r="M396" s="22" t="s">
        <v>3178</v>
      </c>
      <c r="N396" s="22"/>
      <c r="O396" s="22" t="s">
        <v>159</v>
      </c>
      <c r="P396" s="22"/>
    </row>
    <row r="397" ht="15.75" customHeight="1">
      <c r="A397" s="20" t="s">
        <v>3179</v>
      </c>
      <c r="B397" s="20" t="s">
        <v>1812</v>
      </c>
      <c r="C397" s="20" t="s">
        <v>3180</v>
      </c>
      <c r="D397" s="20" t="s">
        <v>3181</v>
      </c>
      <c r="E397" s="20" t="s">
        <v>3182</v>
      </c>
      <c r="F397" s="20" t="s">
        <v>79</v>
      </c>
      <c r="G397" s="20"/>
      <c r="H397" s="20" t="s">
        <v>3183</v>
      </c>
      <c r="I397" s="20" t="s">
        <v>3184</v>
      </c>
      <c r="J397" s="20" t="s">
        <v>57</v>
      </c>
      <c r="K397" s="21" t="s">
        <v>410</v>
      </c>
      <c r="L397" s="21" t="s">
        <v>583</v>
      </c>
      <c r="M397" s="21"/>
      <c r="N397" s="21"/>
      <c r="O397" s="21" t="s">
        <v>73</v>
      </c>
      <c r="P397" s="21" t="s">
        <v>107</v>
      </c>
    </row>
    <row r="398" ht="15.75" customHeight="1">
      <c r="A398" s="22" t="s">
        <v>3185</v>
      </c>
      <c r="B398" s="22" t="s">
        <v>3186</v>
      </c>
      <c r="C398" s="22"/>
      <c r="D398" s="22" t="s">
        <v>3187</v>
      </c>
      <c r="E398" s="22" t="s">
        <v>55</v>
      </c>
      <c r="F398" s="22" t="s">
        <v>91</v>
      </c>
      <c r="G398" s="22" t="s">
        <v>3188</v>
      </c>
      <c r="H398" s="22" t="s">
        <v>3189</v>
      </c>
      <c r="I398" s="22" t="s">
        <v>3190</v>
      </c>
      <c r="J398" s="22" t="s">
        <v>57</v>
      </c>
      <c r="K398" s="22" t="s">
        <v>3191</v>
      </c>
      <c r="L398" s="22" t="s">
        <v>3192</v>
      </c>
      <c r="M398" s="22" t="s">
        <v>3193</v>
      </c>
      <c r="N398" s="22"/>
      <c r="O398" s="22" t="s">
        <v>159</v>
      </c>
      <c r="P398" s="22" t="s">
        <v>107</v>
      </c>
    </row>
    <row r="399" ht="15.75" customHeight="1">
      <c r="A399" s="20" t="s">
        <v>3194</v>
      </c>
      <c r="B399" s="20" t="s">
        <v>3195</v>
      </c>
      <c r="C399" s="20" t="s">
        <v>3196</v>
      </c>
      <c r="D399" s="20" t="s">
        <v>3197</v>
      </c>
      <c r="E399" s="20" t="s">
        <v>129</v>
      </c>
      <c r="F399" s="20" t="s">
        <v>130</v>
      </c>
      <c r="G399" s="20" t="s">
        <v>3198</v>
      </c>
      <c r="H399" s="20" t="s">
        <v>3189</v>
      </c>
      <c r="I399" s="20" t="s">
        <v>3199</v>
      </c>
      <c r="J399" s="20" t="s">
        <v>57</v>
      </c>
      <c r="K399" s="21" t="s">
        <v>3200</v>
      </c>
      <c r="L399" s="21" t="s">
        <v>3201</v>
      </c>
      <c r="M399" s="21"/>
      <c r="N399" s="21"/>
      <c r="O399" s="21"/>
      <c r="P399" s="21" t="s">
        <v>107</v>
      </c>
    </row>
    <row r="400" ht="15.75" customHeight="1">
      <c r="A400" s="22" t="s">
        <v>3202</v>
      </c>
      <c r="B400" s="22" t="s">
        <v>3186</v>
      </c>
      <c r="C400" s="22"/>
      <c r="D400" s="22" t="s">
        <v>3203</v>
      </c>
      <c r="E400" s="22" t="s">
        <v>55</v>
      </c>
      <c r="F400" s="22" t="s">
        <v>91</v>
      </c>
      <c r="G400" s="22" t="s">
        <v>55</v>
      </c>
      <c r="H400" s="22" t="s">
        <v>3189</v>
      </c>
      <c r="I400" s="22" t="s">
        <v>3204</v>
      </c>
      <c r="J400" s="22" t="s">
        <v>57</v>
      </c>
      <c r="K400" s="22" t="s">
        <v>3205</v>
      </c>
      <c r="L400" s="22" t="s">
        <v>2525</v>
      </c>
      <c r="M400" s="22" t="s">
        <v>3206</v>
      </c>
      <c r="N400" s="22"/>
      <c r="O400" s="22" t="s">
        <v>269</v>
      </c>
      <c r="P400" s="22" t="s">
        <v>107</v>
      </c>
    </row>
    <row r="401" ht="15.75" customHeight="1">
      <c r="A401" s="20" t="s">
        <v>3207</v>
      </c>
      <c r="B401" s="20" t="s">
        <v>3208</v>
      </c>
      <c r="C401" s="20" t="s">
        <v>3209</v>
      </c>
      <c r="D401" s="20" t="s">
        <v>3210</v>
      </c>
      <c r="E401" s="20" t="s">
        <v>1420</v>
      </c>
      <c r="F401" s="20" t="s">
        <v>418</v>
      </c>
      <c r="G401" s="20"/>
      <c r="H401" s="20" t="s">
        <v>3211</v>
      </c>
      <c r="I401" s="20" t="s">
        <v>3212</v>
      </c>
      <c r="J401" s="20" t="s">
        <v>57</v>
      </c>
      <c r="K401" s="21" t="s">
        <v>124</v>
      </c>
      <c r="L401" s="21" t="s">
        <v>3213</v>
      </c>
      <c r="M401" s="21"/>
      <c r="N401" s="21"/>
      <c r="O401" s="21" t="s">
        <v>501</v>
      </c>
      <c r="P401" s="21" t="s">
        <v>107</v>
      </c>
    </row>
    <row r="402" ht="15.75" customHeight="1">
      <c r="A402" s="22" t="s">
        <v>3214</v>
      </c>
      <c r="B402" s="22" t="s">
        <v>2397</v>
      </c>
      <c r="C402" s="22"/>
      <c r="D402" s="22" t="s">
        <v>3215</v>
      </c>
      <c r="E402" s="22" t="s">
        <v>3216</v>
      </c>
      <c r="F402" s="22" t="s">
        <v>130</v>
      </c>
      <c r="G402" s="22" t="s">
        <v>3217</v>
      </c>
      <c r="H402" s="22" t="s">
        <v>2453</v>
      </c>
      <c r="I402" s="22" t="s">
        <v>3218</v>
      </c>
      <c r="J402" s="22" t="s">
        <v>57</v>
      </c>
      <c r="K402" s="22" t="s">
        <v>3219</v>
      </c>
      <c r="L402" s="22" t="s">
        <v>1948</v>
      </c>
      <c r="M402" s="22" t="s">
        <v>3220</v>
      </c>
      <c r="N402" s="22"/>
      <c r="O402" s="22" t="s">
        <v>459</v>
      </c>
      <c r="P402" s="22"/>
    </row>
    <row r="403" ht="15.75" customHeight="1">
      <c r="A403" s="20" t="s">
        <v>3221</v>
      </c>
      <c r="B403" s="20" t="s">
        <v>3222</v>
      </c>
      <c r="C403" s="20" t="s">
        <v>3223</v>
      </c>
      <c r="D403" s="20" t="s">
        <v>3224</v>
      </c>
      <c r="E403" s="20" t="s">
        <v>489</v>
      </c>
      <c r="F403" s="20" t="s">
        <v>475</v>
      </c>
      <c r="G403" s="20" t="s">
        <v>1213</v>
      </c>
      <c r="H403" s="20" t="s">
        <v>3225</v>
      </c>
      <c r="I403" s="20" t="s">
        <v>3226</v>
      </c>
      <c r="J403" s="20" t="s">
        <v>57</v>
      </c>
      <c r="K403" s="21" t="s">
        <v>3227</v>
      </c>
      <c r="L403" s="21" t="s">
        <v>3228</v>
      </c>
      <c r="M403" s="21"/>
      <c r="N403" s="21"/>
      <c r="O403" s="21" t="s">
        <v>450</v>
      </c>
      <c r="P403" s="21"/>
    </row>
    <row r="404" ht="15.75" customHeight="1">
      <c r="A404" s="22" t="s">
        <v>3229</v>
      </c>
      <c r="B404" s="22"/>
      <c r="C404" s="22" t="s">
        <v>3230</v>
      </c>
      <c r="D404" s="22" t="s">
        <v>3231</v>
      </c>
      <c r="E404" s="22" t="s">
        <v>3232</v>
      </c>
      <c r="F404" s="22" t="s">
        <v>406</v>
      </c>
      <c r="G404" s="22" t="s">
        <v>3233</v>
      </c>
      <c r="H404" s="22" t="s">
        <v>3234</v>
      </c>
      <c r="I404" s="22"/>
      <c r="J404" s="22" t="s">
        <v>57</v>
      </c>
      <c r="K404" s="22" t="s">
        <v>105</v>
      </c>
      <c r="L404" s="22" t="s">
        <v>84</v>
      </c>
      <c r="M404" s="22" t="s">
        <v>195</v>
      </c>
      <c r="N404" s="22"/>
      <c r="O404" s="22" t="s">
        <v>450</v>
      </c>
      <c r="P404" s="22"/>
    </row>
    <row r="405" ht="15.75" customHeight="1">
      <c r="A405" s="20" t="s">
        <v>3235</v>
      </c>
      <c r="B405" s="20" t="s">
        <v>3236</v>
      </c>
      <c r="C405" s="20"/>
      <c r="D405" s="20" t="s">
        <v>3237</v>
      </c>
      <c r="E405" s="20" t="s">
        <v>1198</v>
      </c>
      <c r="F405" s="20" t="s">
        <v>112</v>
      </c>
      <c r="G405" s="20" t="s">
        <v>3238</v>
      </c>
      <c r="H405" s="20" t="s">
        <v>3239</v>
      </c>
      <c r="I405" s="20" t="s">
        <v>1230</v>
      </c>
      <c r="J405" s="20" t="s">
        <v>57</v>
      </c>
      <c r="K405" s="21" t="s">
        <v>2173</v>
      </c>
      <c r="L405" s="21" t="s">
        <v>3240</v>
      </c>
      <c r="M405" s="21"/>
      <c r="N405" s="21"/>
      <c r="O405" s="21" t="s">
        <v>1286</v>
      </c>
      <c r="P405" s="21"/>
    </row>
    <row r="406" ht="15.75" customHeight="1">
      <c r="A406" s="22" t="s">
        <v>3241</v>
      </c>
      <c r="B406" s="22" t="s">
        <v>3242</v>
      </c>
      <c r="C406" s="22" t="s">
        <v>3243</v>
      </c>
      <c r="D406" s="22" t="s">
        <v>3244</v>
      </c>
      <c r="E406" s="22" t="s">
        <v>55</v>
      </c>
      <c r="F406" s="22" t="s">
        <v>91</v>
      </c>
      <c r="G406" s="22" t="s">
        <v>55</v>
      </c>
      <c r="H406" s="22" t="s">
        <v>3245</v>
      </c>
      <c r="I406" s="22" t="s">
        <v>3246</v>
      </c>
      <c r="J406" s="22" t="s">
        <v>57</v>
      </c>
      <c r="K406" s="22" t="s">
        <v>3247</v>
      </c>
      <c r="L406" s="22" t="s">
        <v>3248</v>
      </c>
      <c r="M406" s="22" t="s">
        <v>3249</v>
      </c>
      <c r="N406" s="22"/>
      <c r="O406" s="22" t="s">
        <v>159</v>
      </c>
      <c r="P406" s="22"/>
    </row>
    <row r="407" ht="15.75" customHeight="1">
      <c r="A407" s="20" t="s">
        <v>3250</v>
      </c>
      <c r="B407" s="20" t="s">
        <v>3251</v>
      </c>
      <c r="C407" s="20" t="s">
        <v>570</v>
      </c>
      <c r="D407" s="20" t="s">
        <v>3252</v>
      </c>
      <c r="E407" s="20" t="s">
        <v>55</v>
      </c>
      <c r="F407" s="20" t="s">
        <v>91</v>
      </c>
      <c r="G407" s="20" t="s">
        <v>3253</v>
      </c>
      <c r="H407" s="20" t="s">
        <v>573</v>
      </c>
      <c r="I407" s="20" t="s">
        <v>3254</v>
      </c>
      <c r="J407" s="20" t="s">
        <v>57</v>
      </c>
      <c r="K407" s="21" t="s">
        <v>105</v>
      </c>
      <c r="L407" s="21" t="s">
        <v>84</v>
      </c>
      <c r="M407" s="21"/>
      <c r="N407" s="21" t="s">
        <v>3255</v>
      </c>
      <c r="O407" s="21"/>
      <c r="P407" s="21" t="s">
        <v>107</v>
      </c>
    </row>
    <row r="408" ht="15.75" customHeight="1">
      <c r="A408" s="22" t="s">
        <v>3256</v>
      </c>
      <c r="B408" s="22" t="s">
        <v>3257</v>
      </c>
      <c r="C408" s="22" t="s">
        <v>3258</v>
      </c>
      <c r="D408" s="22" t="s">
        <v>3259</v>
      </c>
      <c r="E408" s="22" t="s">
        <v>308</v>
      </c>
      <c r="F408" s="22" t="s">
        <v>101</v>
      </c>
      <c r="G408" s="22"/>
      <c r="H408" s="22" t="s">
        <v>3260</v>
      </c>
      <c r="I408" s="22"/>
      <c r="J408" s="22" t="s">
        <v>57</v>
      </c>
      <c r="K408" s="22" t="s">
        <v>3261</v>
      </c>
      <c r="L408" s="22" t="s">
        <v>84</v>
      </c>
      <c r="M408" s="22" t="s">
        <v>1737</v>
      </c>
      <c r="N408" s="22"/>
      <c r="O408" s="22" t="s">
        <v>450</v>
      </c>
      <c r="P408" s="22"/>
    </row>
    <row r="409" ht="15.75" customHeight="1">
      <c r="A409" s="20" t="s">
        <v>3262</v>
      </c>
      <c r="B409" s="20" t="s">
        <v>3263</v>
      </c>
      <c r="C409" s="20" t="s">
        <v>3264</v>
      </c>
      <c r="D409" s="20" t="s">
        <v>3265</v>
      </c>
      <c r="E409" s="20" t="s">
        <v>55</v>
      </c>
      <c r="F409" s="20" t="s">
        <v>91</v>
      </c>
      <c r="G409" s="20" t="s">
        <v>3266</v>
      </c>
      <c r="H409" s="20" t="s">
        <v>3267</v>
      </c>
      <c r="I409" s="20" t="s">
        <v>3268</v>
      </c>
      <c r="J409" s="20" t="s">
        <v>57</v>
      </c>
      <c r="K409" s="21" t="s">
        <v>1398</v>
      </c>
      <c r="L409" s="21" t="s">
        <v>84</v>
      </c>
      <c r="M409" s="21"/>
      <c r="N409" s="21" t="s">
        <v>3269</v>
      </c>
      <c r="O409" s="21"/>
      <c r="P409" s="21"/>
    </row>
    <row r="410" ht="15.75" customHeight="1">
      <c r="A410" s="22" t="s">
        <v>3270</v>
      </c>
      <c r="B410" s="22" t="s">
        <v>3271</v>
      </c>
      <c r="C410" s="22" t="s">
        <v>3272</v>
      </c>
      <c r="D410" s="22" t="s">
        <v>3273</v>
      </c>
      <c r="E410" s="22" t="s">
        <v>55</v>
      </c>
      <c r="F410" s="22" t="s">
        <v>91</v>
      </c>
      <c r="G410" s="22" t="s">
        <v>3274</v>
      </c>
      <c r="H410" s="22" t="s">
        <v>3275</v>
      </c>
      <c r="I410" s="22" t="s">
        <v>3276</v>
      </c>
      <c r="J410" s="22" t="s">
        <v>57</v>
      </c>
      <c r="K410" s="22" t="s">
        <v>3277</v>
      </c>
      <c r="L410" s="22" t="s">
        <v>3278</v>
      </c>
      <c r="M410" s="22" t="s">
        <v>60</v>
      </c>
      <c r="N410" s="22"/>
      <c r="O410" s="22" t="s">
        <v>450</v>
      </c>
      <c r="P410" s="22" t="s">
        <v>107</v>
      </c>
    </row>
    <row r="411" ht="15.75" customHeight="1">
      <c r="A411" s="20" t="s">
        <v>3279</v>
      </c>
      <c r="B411" s="20" t="s">
        <v>3280</v>
      </c>
      <c r="C411" s="20"/>
      <c r="D411" s="20" t="s">
        <v>3281</v>
      </c>
      <c r="E411" s="20" t="s">
        <v>55</v>
      </c>
      <c r="F411" s="20" t="s">
        <v>91</v>
      </c>
      <c r="G411" s="20" t="s">
        <v>3282</v>
      </c>
      <c r="H411" s="20" t="s">
        <v>3283</v>
      </c>
      <c r="I411" s="20" t="s">
        <v>3284</v>
      </c>
      <c r="J411" s="20" t="s">
        <v>57</v>
      </c>
      <c r="K411" s="21" t="s">
        <v>3285</v>
      </c>
      <c r="L411" s="21" t="s">
        <v>84</v>
      </c>
      <c r="M411" s="21" t="s">
        <v>1649</v>
      </c>
      <c r="N411" s="21"/>
      <c r="O411" s="21" t="s">
        <v>495</v>
      </c>
      <c r="P411" s="21"/>
    </row>
    <row r="412" ht="15.75" customHeight="1">
      <c r="A412" s="22" t="s">
        <v>3286</v>
      </c>
      <c r="B412" s="22" t="s">
        <v>3287</v>
      </c>
      <c r="C412" s="22" t="s">
        <v>3288</v>
      </c>
      <c r="D412" s="22" t="s">
        <v>3289</v>
      </c>
      <c r="E412" s="22" t="s">
        <v>55</v>
      </c>
      <c r="F412" s="22" t="s">
        <v>91</v>
      </c>
      <c r="G412" s="22" t="s">
        <v>55</v>
      </c>
      <c r="H412" s="22" t="s">
        <v>3290</v>
      </c>
      <c r="I412" s="22" t="s">
        <v>3291</v>
      </c>
      <c r="J412" s="22" t="s">
        <v>57</v>
      </c>
      <c r="K412" s="22" t="s">
        <v>693</v>
      </c>
      <c r="L412" s="22" t="s">
        <v>84</v>
      </c>
      <c r="M412" s="22" t="s">
        <v>781</v>
      </c>
      <c r="N412" s="22"/>
      <c r="O412" s="22" t="s">
        <v>495</v>
      </c>
      <c r="P412" s="22" t="s">
        <v>107</v>
      </c>
    </row>
    <row r="413" ht="15.75" customHeight="1">
      <c r="A413" s="20" t="s">
        <v>3292</v>
      </c>
      <c r="B413" s="20" t="s">
        <v>3293</v>
      </c>
      <c r="C413" s="20"/>
      <c r="D413" s="20" t="s">
        <v>3294</v>
      </c>
      <c r="E413" s="20" t="s">
        <v>3295</v>
      </c>
      <c r="F413" s="20" t="s">
        <v>91</v>
      </c>
      <c r="G413" s="20" t="s">
        <v>3296</v>
      </c>
      <c r="H413" s="20" t="s">
        <v>3297</v>
      </c>
      <c r="I413" s="20" t="s">
        <v>3298</v>
      </c>
      <c r="J413" s="20" t="s">
        <v>57</v>
      </c>
      <c r="K413" s="21" t="s">
        <v>3299</v>
      </c>
      <c r="L413" s="21" t="s">
        <v>1356</v>
      </c>
      <c r="M413" s="21"/>
      <c r="N413" s="21"/>
      <c r="O413" s="21" t="s">
        <v>1498</v>
      </c>
      <c r="P413" s="21"/>
    </row>
    <row r="414" ht="15.75" customHeight="1">
      <c r="A414" s="22" t="s">
        <v>3300</v>
      </c>
      <c r="B414" s="22" t="s">
        <v>3301</v>
      </c>
      <c r="C414" s="22"/>
      <c r="D414" s="22" t="s">
        <v>3302</v>
      </c>
      <c r="E414" s="22" t="s">
        <v>55</v>
      </c>
      <c r="F414" s="22" t="s">
        <v>91</v>
      </c>
      <c r="G414" s="22" t="s">
        <v>55</v>
      </c>
      <c r="H414" s="22" t="s">
        <v>2136</v>
      </c>
      <c r="I414" s="22" t="s">
        <v>3303</v>
      </c>
      <c r="J414" s="22" t="s">
        <v>57</v>
      </c>
      <c r="K414" s="22" t="s">
        <v>3304</v>
      </c>
      <c r="L414" s="22" t="s">
        <v>3305</v>
      </c>
      <c r="M414" s="22"/>
      <c r="N414" s="22"/>
      <c r="O414" s="22" t="s">
        <v>61</v>
      </c>
      <c r="P414" s="22" t="s">
        <v>107</v>
      </c>
    </row>
    <row r="415" ht="15.75" customHeight="1">
      <c r="A415" s="20" t="s">
        <v>3306</v>
      </c>
      <c r="B415" s="20" t="s">
        <v>3307</v>
      </c>
      <c r="C415" s="20" t="s">
        <v>3308</v>
      </c>
      <c r="D415" s="20" t="s">
        <v>3309</v>
      </c>
      <c r="E415" s="20" t="s">
        <v>55</v>
      </c>
      <c r="F415" s="20" t="s">
        <v>91</v>
      </c>
      <c r="G415" s="20" t="s">
        <v>3310</v>
      </c>
      <c r="H415" s="20" t="s">
        <v>3311</v>
      </c>
      <c r="I415" s="20" t="s">
        <v>3312</v>
      </c>
      <c r="J415" s="20" t="s">
        <v>57</v>
      </c>
      <c r="K415" s="21" t="s">
        <v>3313</v>
      </c>
      <c r="L415" s="21" t="s">
        <v>84</v>
      </c>
      <c r="M415" s="21"/>
      <c r="N415" s="21"/>
      <c r="O415" s="21"/>
      <c r="P415" s="21" t="s">
        <v>107</v>
      </c>
    </row>
    <row r="416" ht="15.75" customHeight="1">
      <c r="A416" s="22" t="s">
        <v>3314</v>
      </c>
      <c r="B416" s="22" t="s">
        <v>1401</v>
      </c>
      <c r="C416" s="22"/>
      <c r="D416" s="22" t="s">
        <v>3315</v>
      </c>
      <c r="E416" s="22" t="s">
        <v>2837</v>
      </c>
      <c r="F416" s="22" t="s">
        <v>580</v>
      </c>
      <c r="G416" s="22" t="s">
        <v>2683</v>
      </c>
      <c r="H416" s="22" t="s">
        <v>3316</v>
      </c>
      <c r="I416" s="22" t="s">
        <v>3317</v>
      </c>
      <c r="J416" s="22" t="s">
        <v>57</v>
      </c>
      <c r="K416" s="22" t="s">
        <v>3318</v>
      </c>
      <c r="L416" s="22" t="s">
        <v>84</v>
      </c>
      <c r="M416" s="22"/>
      <c r="N416" s="22"/>
      <c r="O416" s="22" t="s">
        <v>137</v>
      </c>
      <c r="P416" s="22" t="s">
        <v>107</v>
      </c>
    </row>
    <row r="417" ht="15.75" customHeight="1">
      <c r="A417" s="20" t="s">
        <v>3319</v>
      </c>
      <c r="B417" s="20" t="s">
        <v>1308</v>
      </c>
      <c r="C417" s="20"/>
      <c r="D417" s="20" t="s">
        <v>3320</v>
      </c>
      <c r="E417" s="20" t="s">
        <v>3321</v>
      </c>
      <c r="F417" s="20" t="s">
        <v>79</v>
      </c>
      <c r="G417" s="20" t="s">
        <v>231</v>
      </c>
      <c r="H417" s="20" t="s">
        <v>3322</v>
      </c>
      <c r="I417" s="20" t="s">
        <v>3323</v>
      </c>
      <c r="J417" s="20" t="s">
        <v>57</v>
      </c>
      <c r="K417" s="21" t="s">
        <v>3324</v>
      </c>
      <c r="L417" s="21" t="s">
        <v>3104</v>
      </c>
      <c r="M417" s="21"/>
      <c r="N417" s="21"/>
      <c r="O417" s="21" t="s">
        <v>1498</v>
      </c>
      <c r="P417" s="21"/>
    </row>
    <row r="418" ht="15.75" customHeight="1">
      <c r="A418" s="22" t="s">
        <v>3325</v>
      </c>
      <c r="B418" s="22"/>
      <c r="C418" s="22"/>
      <c r="D418" s="22" t="s">
        <v>3326</v>
      </c>
      <c r="E418" s="22" t="s">
        <v>1445</v>
      </c>
      <c r="F418" s="22" t="s">
        <v>418</v>
      </c>
      <c r="G418" s="22" t="s">
        <v>3327</v>
      </c>
      <c r="H418" s="22"/>
      <c r="I418" s="22" t="s">
        <v>3328</v>
      </c>
      <c r="J418" s="22" t="s">
        <v>57</v>
      </c>
      <c r="K418" s="22" t="s">
        <v>248</v>
      </c>
      <c r="L418" s="22" t="s">
        <v>3329</v>
      </c>
      <c r="M418" s="22"/>
      <c r="N418" s="22"/>
      <c r="O418" s="22" t="s">
        <v>159</v>
      </c>
      <c r="P418" s="22"/>
    </row>
    <row r="419" ht="15.75" customHeight="1">
      <c r="A419" s="20" t="s">
        <v>3330</v>
      </c>
      <c r="B419" s="20" t="s">
        <v>3331</v>
      </c>
      <c r="C419" s="20"/>
      <c r="D419" s="20" t="s">
        <v>3332</v>
      </c>
      <c r="E419" s="20" t="s">
        <v>3333</v>
      </c>
      <c r="F419" s="20" t="s">
        <v>418</v>
      </c>
      <c r="G419" s="20" t="s">
        <v>3334</v>
      </c>
      <c r="H419" s="20" t="s">
        <v>3335</v>
      </c>
      <c r="I419" s="20" t="s">
        <v>3336</v>
      </c>
      <c r="J419" s="20" t="s">
        <v>57</v>
      </c>
      <c r="K419" s="21" t="s">
        <v>3337</v>
      </c>
      <c r="L419" s="21" t="s">
        <v>3338</v>
      </c>
      <c r="M419" s="21" t="s">
        <v>3339</v>
      </c>
      <c r="N419" s="21"/>
      <c r="O419" s="21" t="s">
        <v>73</v>
      </c>
      <c r="P419" s="21"/>
    </row>
    <row r="420" ht="15.75" customHeight="1">
      <c r="A420" s="22" t="s">
        <v>3340</v>
      </c>
      <c r="B420" s="22" t="s">
        <v>3341</v>
      </c>
      <c r="C420" s="22" t="s">
        <v>3342</v>
      </c>
      <c r="D420" s="22" t="s">
        <v>3343</v>
      </c>
      <c r="E420" s="22" t="s">
        <v>3344</v>
      </c>
      <c r="F420" s="22" t="s">
        <v>475</v>
      </c>
      <c r="G420" s="22" t="s">
        <v>635</v>
      </c>
      <c r="H420" s="22" t="s">
        <v>3345</v>
      </c>
      <c r="I420" s="22" t="s">
        <v>3346</v>
      </c>
      <c r="J420" s="22" t="s">
        <v>57</v>
      </c>
      <c r="K420" s="22" t="s">
        <v>3347</v>
      </c>
      <c r="L420" s="22" t="s">
        <v>3348</v>
      </c>
      <c r="M420" s="22" t="s">
        <v>2175</v>
      </c>
      <c r="N420" s="22"/>
      <c r="O420" s="22" t="s">
        <v>359</v>
      </c>
      <c r="P420" s="22"/>
    </row>
    <row r="421" ht="15.75" customHeight="1">
      <c r="A421" s="20" t="s">
        <v>3349</v>
      </c>
      <c r="B421" s="20" t="s">
        <v>3350</v>
      </c>
      <c r="C421" s="20" t="s">
        <v>3351</v>
      </c>
      <c r="D421" s="20" t="s">
        <v>3352</v>
      </c>
      <c r="E421" s="20" t="s">
        <v>1708</v>
      </c>
      <c r="F421" s="20" t="s">
        <v>130</v>
      </c>
      <c r="G421" s="20" t="s">
        <v>3353</v>
      </c>
      <c r="H421" s="20" t="s">
        <v>3354</v>
      </c>
      <c r="I421" s="20" t="s">
        <v>3355</v>
      </c>
      <c r="J421" s="20" t="s">
        <v>57</v>
      </c>
      <c r="K421" s="21" t="s">
        <v>3356</v>
      </c>
      <c r="L421" s="21" t="s">
        <v>3357</v>
      </c>
      <c r="M421" s="21" t="s">
        <v>1151</v>
      </c>
      <c r="N421" s="21"/>
      <c r="O421" s="21" t="s">
        <v>148</v>
      </c>
      <c r="P421" s="21"/>
    </row>
    <row r="422" ht="15.75" customHeight="1">
      <c r="A422" s="22" t="s">
        <v>3358</v>
      </c>
      <c r="B422" s="22" t="s">
        <v>3359</v>
      </c>
      <c r="C422" s="22"/>
      <c r="D422" s="22" t="s">
        <v>3360</v>
      </c>
      <c r="E422" s="22" t="s">
        <v>231</v>
      </c>
      <c r="F422" s="22" t="s">
        <v>79</v>
      </c>
      <c r="G422" s="22" t="s">
        <v>231</v>
      </c>
      <c r="H422" s="22" t="s">
        <v>3361</v>
      </c>
      <c r="I422" s="22" t="s">
        <v>3362</v>
      </c>
      <c r="J422" s="22" t="s">
        <v>57</v>
      </c>
      <c r="K422" s="22" t="s">
        <v>3363</v>
      </c>
      <c r="L422" s="22" t="s">
        <v>84</v>
      </c>
      <c r="M422" s="22"/>
      <c r="N422" s="22"/>
      <c r="O422" s="22" t="s">
        <v>137</v>
      </c>
      <c r="P422" s="22"/>
    </row>
    <row r="423" ht="15.75" customHeight="1">
      <c r="A423" s="20" t="s">
        <v>3364</v>
      </c>
      <c r="B423" s="20" t="s">
        <v>3365</v>
      </c>
      <c r="C423" s="20" t="s">
        <v>3366</v>
      </c>
      <c r="D423" s="20" t="s">
        <v>3367</v>
      </c>
      <c r="E423" s="20" t="s">
        <v>2374</v>
      </c>
      <c r="F423" s="20" t="s">
        <v>101</v>
      </c>
      <c r="G423" s="20" t="s">
        <v>3368</v>
      </c>
      <c r="H423" s="20" t="s">
        <v>3369</v>
      </c>
      <c r="I423" s="20" t="s">
        <v>3370</v>
      </c>
      <c r="J423" s="20" t="s">
        <v>57</v>
      </c>
      <c r="K423" s="21" t="s">
        <v>604</v>
      </c>
      <c r="L423" s="21" t="s">
        <v>3371</v>
      </c>
      <c r="M423" s="21" t="s">
        <v>1324</v>
      </c>
      <c r="N423" s="21"/>
      <c r="O423" s="21" t="s">
        <v>159</v>
      </c>
      <c r="P423" s="21" t="s">
        <v>107</v>
      </c>
    </row>
    <row r="424" ht="15.75" customHeight="1">
      <c r="A424" s="22" t="s">
        <v>3372</v>
      </c>
      <c r="B424" s="22" t="s">
        <v>3373</v>
      </c>
      <c r="C424" s="22"/>
      <c r="D424" s="22" t="s">
        <v>3374</v>
      </c>
      <c r="E424" s="22" t="s">
        <v>129</v>
      </c>
      <c r="F424" s="22" t="s">
        <v>130</v>
      </c>
      <c r="G424" s="22" t="s">
        <v>3375</v>
      </c>
      <c r="H424" s="22"/>
      <c r="I424" s="22"/>
      <c r="J424" s="22" t="s">
        <v>57</v>
      </c>
      <c r="K424" s="22" t="s">
        <v>740</v>
      </c>
      <c r="L424" s="22" t="s">
        <v>3376</v>
      </c>
      <c r="M424" s="22" t="s">
        <v>3377</v>
      </c>
      <c r="N424" s="22"/>
      <c r="O424" s="22" t="s">
        <v>258</v>
      </c>
      <c r="P424" s="22"/>
    </row>
    <row r="425" ht="15.75" customHeight="1">
      <c r="A425" s="20" t="s">
        <v>3378</v>
      </c>
      <c r="B425" s="20" t="s">
        <v>3379</v>
      </c>
      <c r="C425" s="20" t="s">
        <v>3380</v>
      </c>
      <c r="D425" s="20" t="s">
        <v>3381</v>
      </c>
      <c r="E425" s="20" t="s">
        <v>3382</v>
      </c>
      <c r="F425" s="20" t="s">
        <v>475</v>
      </c>
      <c r="G425" s="20" t="s">
        <v>3383</v>
      </c>
      <c r="H425" s="20" t="s">
        <v>3384</v>
      </c>
      <c r="I425" s="20"/>
      <c r="J425" s="20" t="s">
        <v>57</v>
      </c>
      <c r="K425" s="21" t="s">
        <v>3385</v>
      </c>
      <c r="L425" s="21" t="s">
        <v>1885</v>
      </c>
      <c r="M425" s="21" t="s">
        <v>1324</v>
      </c>
      <c r="N425" s="21"/>
      <c r="O425" s="21" t="s">
        <v>73</v>
      </c>
      <c r="P425" s="21"/>
    </row>
    <row r="426" ht="15.75" customHeight="1">
      <c r="A426" s="22" t="s">
        <v>3386</v>
      </c>
      <c r="B426" s="22" t="s">
        <v>3387</v>
      </c>
      <c r="C426" s="22" t="s">
        <v>3388</v>
      </c>
      <c r="D426" s="22" t="s">
        <v>3389</v>
      </c>
      <c r="E426" s="22" t="s">
        <v>3390</v>
      </c>
      <c r="F426" s="22" t="s">
        <v>475</v>
      </c>
      <c r="G426" s="22"/>
      <c r="H426" s="22" t="s">
        <v>3391</v>
      </c>
      <c r="I426" s="22" t="s">
        <v>3392</v>
      </c>
      <c r="J426" s="22" t="s">
        <v>57</v>
      </c>
      <c r="K426" s="22" t="s">
        <v>430</v>
      </c>
      <c r="L426" s="22" t="s">
        <v>3393</v>
      </c>
      <c r="M426" s="22" t="s">
        <v>147</v>
      </c>
      <c r="N426" s="22"/>
      <c r="O426" s="22" t="s">
        <v>137</v>
      </c>
      <c r="P426" s="22"/>
    </row>
    <row r="427" ht="15.75" customHeight="1">
      <c r="A427" s="20" t="s">
        <v>3394</v>
      </c>
      <c r="B427" s="20" t="s">
        <v>3395</v>
      </c>
      <c r="C427" s="20" t="s">
        <v>3396</v>
      </c>
      <c r="D427" s="20" t="s">
        <v>3397</v>
      </c>
      <c r="E427" s="20" t="s">
        <v>395</v>
      </c>
      <c r="F427" s="20" t="s">
        <v>66</v>
      </c>
      <c r="G427" s="20" t="s">
        <v>3398</v>
      </c>
      <c r="H427" s="20"/>
      <c r="I427" s="20" t="s">
        <v>3399</v>
      </c>
      <c r="J427" s="20" t="s">
        <v>57</v>
      </c>
      <c r="K427" s="21" t="s">
        <v>124</v>
      </c>
      <c r="L427" s="21" t="s">
        <v>762</v>
      </c>
      <c r="M427" s="21"/>
      <c r="N427" s="21"/>
      <c r="O427" s="21"/>
      <c r="P427" s="21"/>
    </row>
    <row r="428" ht="15.75" customHeight="1">
      <c r="A428" s="22" t="s">
        <v>3400</v>
      </c>
      <c r="B428" s="22" t="s">
        <v>3401</v>
      </c>
      <c r="C428" s="22" t="s">
        <v>3402</v>
      </c>
      <c r="D428" s="22" t="s">
        <v>3403</v>
      </c>
      <c r="E428" s="22" t="s">
        <v>2327</v>
      </c>
      <c r="F428" s="22" t="s">
        <v>263</v>
      </c>
      <c r="G428" s="22" t="s">
        <v>3404</v>
      </c>
      <c r="H428" s="22" t="s">
        <v>3405</v>
      </c>
      <c r="I428" s="22" t="s">
        <v>3406</v>
      </c>
      <c r="J428" s="22" t="s">
        <v>57</v>
      </c>
      <c r="K428" s="22" t="s">
        <v>1779</v>
      </c>
      <c r="L428" s="22" t="s">
        <v>84</v>
      </c>
      <c r="M428" s="22" t="s">
        <v>710</v>
      </c>
      <c r="N428" s="22"/>
      <c r="O428" s="22" t="s">
        <v>185</v>
      </c>
      <c r="P428" s="22"/>
    </row>
    <row r="429" ht="15.75" customHeight="1">
      <c r="A429" s="20" t="s">
        <v>3407</v>
      </c>
      <c r="B429" s="20" t="s">
        <v>3408</v>
      </c>
      <c r="C429" s="20" t="s">
        <v>3409</v>
      </c>
      <c r="D429" s="20" t="s">
        <v>3410</v>
      </c>
      <c r="E429" s="20" t="s">
        <v>3411</v>
      </c>
      <c r="F429" s="20" t="s">
        <v>378</v>
      </c>
      <c r="G429" s="20" t="s">
        <v>3412</v>
      </c>
      <c r="H429" s="20" t="s">
        <v>3413</v>
      </c>
      <c r="I429" s="20"/>
      <c r="J429" s="20" t="s">
        <v>57</v>
      </c>
      <c r="K429" s="21" t="s">
        <v>3414</v>
      </c>
      <c r="L429" s="21" t="s">
        <v>3415</v>
      </c>
      <c r="M429" s="21" t="s">
        <v>304</v>
      </c>
      <c r="N429" s="21"/>
      <c r="O429" s="21" t="s">
        <v>501</v>
      </c>
      <c r="P429" s="21"/>
    </row>
    <row r="430" ht="15.75" customHeight="1">
      <c r="A430" s="22" t="s">
        <v>3416</v>
      </c>
      <c r="B430" s="22"/>
      <c r="C430" s="22"/>
      <c r="D430" s="22" t="s">
        <v>3417</v>
      </c>
      <c r="E430" s="22" t="s">
        <v>129</v>
      </c>
      <c r="F430" s="22" t="s">
        <v>130</v>
      </c>
      <c r="G430" s="22" t="s">
        <v>3418</v>
      </c>
      <c r="H430" s="22"/>
      <c r="I430" s="22" t="s">
        <v>3419</v>
      </c>
      <c r="J430" s="22" t="s">
        <v>57</v>
      </c>
      <c r="K430" s="22" t="s">
        <v>3420</v>
      </c>
      <c r="L430" s="22" t="s">
        <v>3421</v>
      </c>
      <c r="M430" s="22"/>
      <c r="N430" s="22"/>
      <c r="O430" s="22"/>
      <c r="P430" s="22"/>
    </row>
    <row r="431" ht="15.75" customHeight="1">
      <c r="A431" s="20" t="s">
        <v>3422</v>
      </c>
      <c r="B431" s="20" t="s">
        <v>3423</v>
      </c>
      <c r="C431" s="20" t="s">
        <v>3424</v>
      </c>
      <c r="D431" s="20" t="s">
        <v>3425</v>
      </c>
      <c r="E431" s="20" t="s">
        <v>3426</v>
      </c>
      <c r="F431" s="20" t="s">
        <v>130</v>
      </c>
      <c r="G431" s="20" t="s">
        <v>3427</v>
      </c>
      <c r="H431" s="20" t="s">
        <v>3428</v>
      </c>
      <c r="I431" s="20" t="s">
        <v>3429</v>
      </c>
      <c r="J431" s="20" t="s">
        <v>57</v>
      </c>
      <c r="K431" s="21" t="s">
        <v>410</v>
      </c>
      <c r="L431" s="21" t="s">
        <v>3430</v>
      </c>
      <c r="M431" s="21" t="s">
        <v>1608</v>
      </c>
      <c r="N431" s="21"/>
      <c r="O431" s="21" t="s">
        <v>258</v>
      </c>
      <c r="P431" s="21"/>
    </row>
    <row r="432" ht="15.75" customHeight="1">
      <c r="A432" s="22" t="s">
        <v>3431</v>
      </c>
      <c r="B432" s="22" t="s">
        <v>3432</v>
      </c>
      <c r="C432" s="22"/>
      <c r="D432" s="22" t="s">
        <v>3433</v>
      </c>
      <c r="E432" s="22" t="s">
        <v>3081</v>
      </c>
      <c r="F432" s="22" t="s">
        <v>112</v>
      </c>
      <c r="G432" s="22" t="s">
        <v>3434</v>
      </c>
      <c r="H432" s="22" t="s">
        <v>3435</v>
      </c>
      <c r="I432" s="22" t="s">
        <v>3436</v>
      </c>
      <c r="J432" s="22" t="s">
        <v>57</v>
      </c>
      <c r="K432" s="22" t="s">
        <v>3437</v>
      </c>
      <c r="L432" s="22" t="s">
        <v>3438</v>
      </c>
      <c r="M432" s="22"/>
      <c r="N432" s="22"/>
      <c r="O432" s="22" t="s">
        <v>73</v>
      </c>
      <c r="P432" s="22"/>
    </row>
    <row r="433" ht="15.75" customHeight="1">
      <c r="A433" s="20" t="s">
        <v>3439</v>
      </c>
      <c r="B433" s="20" t="s">
        <v>3440</v>
      </c>
      <c r="C433" s="20"/>
      <c r="D433" s="20" t="s">
        <v>3441</v>
      </c>
      <c r="E433" s="20" t="s">
        <v>698</v>
      </c>
      <c r="F433" s="20" t="s">
        <v>378</v>
      </c>
      <c r="G433" s="20"/>
      <c r="H433" s="20" t="s">
        <v>3442</v>
      </c>
      <c r="I433" s="20" t="s">
        <v>3443</v>
      </c>
      <c r="J433" s="20" t="s">
        <v>57</v>
      </c>
      <c r="K433" s="21" t="s">
        <v>3444</v>
      </c>
      <c r="L433" s="21" t="s">
        <v>3445</v>
      </c>
      <c r="M433" s="21" t="s">
        <v>3446</v>
      </c>
      <c r="N433" s="21"/>
      <c r="O433" s="21" t="s">
        <v>495</v>
      </c>
      <c r="P433" s="21"/>
    </row>
    <row r="434" ht="15.75" customHeight="1">
      <c r="A434" s="22" t="s">
        <v>3447</v>
      </c>
      <c r="B434" s="22" t="s">
        <v>3448</v>
      </c>
      <c r="C434" s="22" t="s">
        <v>3449</v>
      </c>
      <c r="D434" s="22" t="s">
        <v>3450</v>
      </c>
      <c r="E434" s="22" t="s">
        <v>3451</v>
      </c>
      <c r="F434" s="22" t="s">
        <v>79</v>
      </c>
      <c r="G434" s="22" t="s">
        <v>3452</v>
      </c>
      <c r="H434" s="22" t="s">
        <v>3453</v>
      </c>
      <c r="I434" s="22" t="s">
        <v>3454</v>
      </c>
      <c r="J434" s="22" t="s">
        <v>57</v>
      </c>
      <c r="K434" s="22" t="s">
        <v>430</v>
      </c>
      <c r="L434" s="22" t="s">
        <v>3455</v>
      </c>
      <c r="M434" s="22" t="s">
        <v>3456</v>
      </c>
      <c r="N434" s="22"/>
      <c r="O434" s="22" t="s">
        <v>951</v>
      </c>
      <c r="P434" s="22"/>
    </row>
    <row r="435" ht="15.75" customHeight="1">
      <c r="A435" s="20" t="s">
        <v>3457</v>
      </c>
      <c r="B435" s="20" t="s">
        <v>3458</v>
      </c>
      <c r="C435" s="20"/>
      <c r="D435" s="20" t="s">
        <v>3459</v>
      </c>
      <c r="E435" s="20" t="s">
        <v>813</v>
      </c>
      <c r="F435" s="20" t="s">
        <v>101</v>
      </c>
      <c r="G435" s="20" t="s">
        <v>3460</v>
      </c>
      <c r="H435" s="20" t="s">
        <v>3461</v>
      </c>
      <c r="I435" s="20" t="s">
        <v>3462</v>
      </c>
      <c r="J435" s="20" t="s">
        <v>57</v>
      </c>
      <c r="K435" s="21" t="s">
        <v>3463</v>
      </c>
      <c r="L435" s="21" t="s">
        <v>173</v>
      </c>
      <c r="M435" s="21" t="s">
        <v>278</v>
      </c>
      <c r="N435" s="21"/>
      <c r="O435" s="21" t="s">
        <v>258</v>
      </c>
      <c r="P435" s="21"/>
    </row>
    <row r="436" ht="15.75" customHeight="1">
      <c r="A436" s="22" t="s">
        <v>3464</v>
      </c>
      <c r="B436" s="22" t="s">
        <v>3465</v>
      </c>
      <c r="C436" s="22" t="s">
        <v>3466</v>
      </c>
      <c r="D436" s="22" t="s">
        <v>3467</v>
      </c>
      <c r="E436" s="22" t="s">
        <v>2162</v>
      </c>
      <c r="F436" s="22" t="s">
        <v>2163</v>
      </c>
      <c r="G436" s="22" t="s">
        <v>3145</v>
      </c>
      <c r="H436" s="22" t="s">
        <v>3468</v>
      </c>
      <c r="I436" s="22" t="s">
        <v>3469</v>
      </c>
      <c r="J436" s="22" t="s">
        <v>57</v>
      </c>
      <c r="K436" s="22" t="s">
        <v>3470</v>
      </c>
      <c r="L436" s="22" t="s">
        <v>762</v>
      </c>
      <c r="M436" s="22" t="s">
        <v>3471</v>
      </c>
      <c r="N436" s="22"/>
      <c r="O436" s="22" t="s">
        <v>269</v>
      </c>
      <c r="P436" s="22" t="s">
        <v>107</v>
      </c>
    </row>
    <row r="437" ht="15.75" customHeight="1">
      <c r="A437" s="20" t="s">
        <v>3472</v>
      </c>
      <c r="B437" s="20" t="s">
        <v>3473</v>
      </c>
      <c r="C437" s="20"/>
      <c r="D437" s="20" t="s">
        <v>3474</v>
      </c>
      <c r="E437" s="20" t="s">
        <v>3475</v>
      </c>
      <c r="F437" s="20" t="s">
        <v>101</v>
      </c>
      <c r="G437" s="20" t="s">
        <v>3476</v>
      </c>
      <c r="H437" s="20" t="s">
        <v>3477</v>
      </c>
      <c r="I437" s="20" t="s">
        <v>3478</v>
      </c>
      <c r="J437" s="20" t="s">
        <v>57</v>
      </c>
      <c r="K437" s="21" t="s">
        <v>3479</v>
      </c>
      <c r="L437" s="21" t="s">
        <v>3480</v>
      </c>
      <c r="M437" s="21" t="s">
        <v>781</v>
      </c>
      <c r="N437" s="21"/>
      <c r="O437" s="21" t="s">
        <v>459</v>
      </c>
      <c r="P437" s="21"/>
    </row>
    <row r="438" ht="15.75" customHeight="1">
      <c r="A438" s="22" t="s">
        <v>3481</v>
      </c>
      <c r="B438" s="22" t="s">
        <v>3482</v>
      </c>
      <c r="C438" s="22"/>
      <c r="D438" s="22" t="s">
        <v>3483</v>
      </c>
      <c r="E438" s="22" t="s">
        <v>1612</v>
      </c>
      <c r="F438" s="22" t="s">
        <v>130</v>
      </c>
      <c r="G438" s="22" t="s">
        <v>1612</v>
      </c>
      <c r="H438" s="22" t="s">
        <v>3484</v>
      </c>
      <c r="I438" s="22" t="s">
        <v>3485</v>
      </c>
      <c r="J438" s="22" t="s">
        <v>57</v>
      </c>
      <c r="K438" s="22" t="s">
        <v>670</v>
      </c>
      <c r="L438" s="22" t="s">
        <v>84</v>
      </c>
      <c r="M438" s="22" t="s">
        <v>3486</v>
      </c>
      <c r="N438" s="22"/>
      <c r="O438" s="22" t="s">
        <v>137</v>
      </c>
      <c r="P438" s="22"/>
    </row>
    <row r="439" ht="15.75" customHeight="1">
      <c r="A439" s="20" t="s">
        <v>3487</v>
      </c>
      <c r="B439" s="20" t="s">
        <v>3488</v>
      </c>
      <c r="C439" s="20"/>
      <c r="D439" s="20" t="s">
        <v>3489</v>
      </c>
      <c r="E439" s="20" t="s">
        <v>2374</v>
      </c>
      <c r="F439" s="20" t="s">
        <v>101</v>
      </c>
      <c r="G439" s="20" t="s">
        <v>100</v>
      </c>
      <c r="H439" s="20" t="s">
        <v>2136</v>
      </c>
      <c r="I439" s="20" t="s">
        <v>3490</v>
      </c>
      <c r="J439" s="20" t="s">
        <v>57</v>
      </c>
      <c r="K439" s="21" t="s">
        <v>3491</v>
      </c>
      <c r="L439" s="21" t="s">
        <v>84</v>
      </c>
      <c r="M439" s="21"/>
      <c r="N439" s="21"/>
      <c r="O439" s="21" t="s">
        <v>1498</v>
      </c>
      <c r="P439" s="21" t="s">
        <v>107</v>
      </c>
    </row>
    <row r="440" ht="15.75" customHeight="1">
      <c r="A440" s="22" t="s">
        <v>3492</v>
      </c>
      <c r="B440" s="22" t="s">
        <v>3493</v>
      </c>
      <c r="C440" s="22" t="s">
        <v>3494</v>
      </c>
      <c r="D440" s="22" t="s">
        <v>3495</v>
      </c>
      <c r="E440" s="22" t="s">
        <v>723</v>
      </c>
      <c r="F440" s="22" t="s">
        <v>406</v>
      </c>
      <c r="G440" s="22" t="s">
        <v>1014</v>
      </c>
      <c r="H440" s="22" t="s">
        <v>3496</v>
      </c>
      <c r="I440" s="22" t="s">
        <v>3497</v>
      </c>
      <c r="J440" s="22" t="s">
        <v>57</v>
      </c>
      <c r="K440" s="22" t="s">
        <v>430</v>
      </c>
      <c r="L440" s="22" t="s">
        <v>3498</v>
      </c>
      <c r="M440" s="22" t="s">
        <v>3499</v>
      </c>
      <c r="N440" s="22"/>
      <c r="O440" s="22" t="s">
        <v>185</v>
      </c>
      <c r="P440" s="22"/>
    </row>
    <row r="441" ht="15.75" customHeight="1">
      <c r="A441" s="20" t="s">
        <v>3500</v>
      </c>
      <c r="B441" s="20" t="s">
        <v>3493</v>
      </c>
      <c r="C441" s="20"/>
      <c r="D441" s="20" t="s">
        <v>3501</v>
      </c>
      <c r="E441" s="20" t="s">
        <v>723</v>
      </c>
      <c r="F441" s="20" t="s">
        <v>406</v>
      </c>
      <c r="G441" s="20" t="s">
        <v>724</v>
      </c>
      <c r="H441" s="20" t="s">
        <v>3502</v>
      </c>
      <c r="I441" s="20" t="s">
        <v>3503</v>
      </c>
      <c r="J441" s="20" t="s">
        <v>57</v>
      </c>
      <c r="K441" s="21" t="s">
        <v>3504</v>
      </c>
      <c r="L441" s="21" t="s">
        <v>3505</v>
      </c>
      <c r="M441" s="21" t="s">
        <v>985</v>
      </c>
      <c r="N441" s="21"/>
      <c r="O441" s="21" t="s">
        <v>137</v>
      </c>
      <c r="P441" s="21"/>
    </row>
    <row r="442" ht="15.75" customHeight="1">
      <c r="A442" s="22" t="s">
        <v>3506</v>
      </c>
      <c r="B442" s="22"/>
      <c r="C442" s="22"/>
      <c r="D442" s="22" t="s">
        <v>3507</v>
      </c>
      <c r="E442" s="22" t="s">
        <v>55</v>
      </c>
      <c r="F442" s="22" t="s">
        <v>91</v>
      </c>
      <c r="G442" s="22" t="s">
        <v>3508</v>
      </c>
      <c r="H442" s="22"/>
      <c r="I442" s="22" t="s">
        <v>3509</v>
      </c>
      <c r="J442" s="22" t="s">
        <v>57</v>
      </c>
      <c r="K442" s="22" t="s">
        <v>3510</v>
      </c>
      <c r="L442" s="22" t="s">
        <v>84</v>
      </c>
      <c r="M442" s="22"/>
      <c r="N442" s="22"/>
      <c r="O442" s="22"/>
      <c r="P442" s="22"/>
    </row>
    <row r="443" ht="15.75" customHeight="1">
      <c r="A443" s="20" t="s">
        <v>3511</v>
      </c>
      <c r="B443" s="20" t="s">
        <v>3512</v>
      </c>
      <c r="C443" s="20" t="s">
        <v>3113</v>
      </c>
      <c r="D443" s="20" t="s">
        <v>3513</v>
      </c>
      <c r="E443" s="20" t="s">
        <v>395</v>
      </c>
      <c r="F443" s="20" t="s">
        <v>66</v>
      </c>
      <c r="G443" s="20" t="s">
        <v>220</v>
      </c>
      <c r="H443" s="20" t="s">
        <v>3514</v>
      </c>
      <c r="I443" s="20" t="s">
        <v>1711</v>
      </c>
      <c r="J443" s="20" t="s">
        <v>57</v>
      </c>
      <c r="K443" s="21" t="s">
        <v>430</v>
      </c>
      <c r="L443" s="21" t="s">
        <v>3515</v>
      </c>
      <c r="M443" s="21" t="s">
        <v>72</v>
      </c>
      <c r="N443" s="21"/>
      <c r="O443" s="21" t="s">
        <v>73</v>
      </c>
      <c r="P443" s="21" t="s">
        <v>107</v>
      </c>
    </row>
    <row r="444" ht="15.75" customHeight="1">
      <c r="A444" s="22" t="s">
        <v>3516</v>
      </c>
      <c r="B444" s="22" t="s">
        <v>2920</v>
      </c>
      <c r="C444" s="22" t="s">
        <v>3517</v>
      </c>
      <c r="D444" s="22" t="s">
        <v>3518</v>
      </c>
      <c r="E444" s="22" t="s">
        <v>231</v>
      </c>
      <c r="F444" s="22" t="s">
        <v>79</v>
      </c>
      <c r="G444" s="22" t="s">
        <v>3519</v>
      </c>
      <c r="H444" s="22" t="s">
        <v>3520</v>
      </c>
      <c r="I444" s="22" t="s">
        <v>3521</v>
      </c>
      <c r="J444" s="22" t="s">
        <v>57</v>
      </c>
      <c r="K444" s="22" t="s">
        <v>2049</v>
      </c>
      <c r="L444" s="22" t="s">
        <v>3522</v>
      </c>
      <c r="M444" s="22" t="s">
        <v>3523</v>
      </c>
      <c r="N444" s="22" t="s">
        <v>2929</v>
      </c>
      <c r="O444" s="22" t="s">
        <v>501</v>
      </c>
      <c r="P444" s="22"/>
    </row>
    <row r="445" ht="15.75" customHeight="1">
      <c r="A445" s="20" t="s">
        <v>3524</v>
      </c>
      <c r="B445" s="20" t="s">
        <v>3525</v>
      </c>
      <c r="C445" s="20"/>
      <c r="D445" s="20" t="s">
        <v>3526</v>
      </c>
      <c r="E445" s="20" t="s">
        <v>3527</v>
      </c>
      <c r="F445" s="20" t="s">
        <v>112</v>
      </c>
      <c r="G445" s="20"/>
      <c r="H445" s="20" t="s">
        <v>3528</v>
      </c>
      <c r="I445" s="20" t="s">
        <v>3529</v>
      </c>
      <c r="J445" s="20" t="s">
        <v>57</v>
      </c>
      <c r="K445" s="21" t="s">
        <v>2173</v>
      </c>
      <c r="L445" s="21" t="s">
        <v>3530</v>
      </c>
      <c r="M445" s="21" t="s">
        <v>1737</v>
      </c>
      <c r="N445" s="21"/>
      <c r="O445" s="21" t="s">
        <v>359</v>
      </c>
      <c r="P445" s="21"/>
    </row>
    <row r="446" ht="15.75" customHeight="1">
      <c r="A446" s="22" t="s">
        <v>3531</v>
      </c>
      <c r="B446" s="22" t="s">
        <v>3532</v>
      </c>
      <c r="C446" s="22" t="s">
        <v>3533</v>
      </c>
      <c r="D446" s="22" t="s">
        <v>3534</v>
      </c>
      <c r="E446" s="22" t="s">
        <v>3535</v>
      </c>
      <c r="F446" s="22" t="s">
        <v>112</v>
      </c>
      <c r="G446" s="22" t="s">
        <v>3536</v>
      </c>
      <c r="H446" s="22" t="s">
        <v>3537</v>
      </c>
      <c r="I446" s="22" t="s">
        <v>3538</v>
      </c>
      <c r="J446" s="22" t="s">
        <v>57</v>
      </c>
      <c r="K446" s="22" t="s">
        <v>3077</v>
      </c>
      <c r="L446" s="22" t="s">
        <v>2433</v>
      </c>
      <c r="M446" s="22"/>
      <c r="N446" s="22"/>
      <c r="O446" s="22" t="s">
        <v>213</v>
      </c>
      <c r="P446" s="22"/>
    </row>
    <row r="447" ht="15.75" customHeight="1">
      <c r="A447" s="20" t="s">
        <v>3539</v>
      </c>
      <c r="B447" s="20" t="s">
        <v>3540</v>
      </c>
      <c r="C447" s="20"/>
      <c r="D447" s="20" t="s">
        <v>3541</v>
      </c>
      <c r="E447" s="20" t="s">
        <v>3542</v>
      </c>
      <c r="F447" s="20" t="s">
        <v>79</v>
      </c>
      <c r="G447" s="20"/>
      <c r="H447" s="20"/>
      <c r="I447" s="20"/>
      <c r="J447" s="20" t="s">
        <v>57</v>
      </c>
      <c r="K447" s="21" t="s">
        <v>105</v>
      </c>
      <c r="L447" s="21" t="s">
        <v>84</v>
      </c>
      <c r="M447" s="21"/>
      <c r="N447" s="21"/>
      <c r="O447" s="21"/>
      <c r="P447" s="21"/>
    </row>
    <row r="448" ht="15.75" customHeight="1">
      <c r="A448" s="22" t="s">
        <v>3543</v>
      </c>
      <c r="B448" s="22"/>
      <c r="C448" s="22"/>
      <c r="D448" s="22" t="s">
        <v>3544</v>
      </c>
      <c r="E448" s="22" t="s">
        <v>231</v>
      </c>
      <c r="F448" s="22" t="s">
        <v>79</v>
      </c>
      <c r="G448" s="22" t="s">
        <v>3545</v>
      </c>
      <c r="H448" s="22"/>
      <c r="I448" s="22" t="s">
        <v>3546</v>
      </c>
      <c r="J448" s="22" t="s">
        <v>57</v>
      </c>
      <c r="K448" s="22" t="s">
        <v>344</v>
      </c>
      <c r="L448" s="22" t="s">
        <v>3547</v>
      </c>
      <c r="M448" s="22"/>
      <c r="N448" s="22"/>
      <c r="O448" s="22"/>
      <c r="P448" s="22"/>
    </row>
    <row r="449" ht="15.75" customHeight="1">
      <c r="A449" s="20" t="s">
        <v>3548</v>
      </c>
      <c r="B449" s="20" t="s">
        <v>3549</v>
      </c>
      <c r="C449" s="20"/>
      <c r="D449" s="20" t="s">
        <v>3550</v>
      </c>
      <c r="E449" s="20" t="s">
        <v>231</v>
      </c>
      <c r="F449" s="20" t="s">
        <v>79</v>
      </c>
      <c r="G449" s="20" t="s">
        <v>3551</v>
      </c>
      <c r="H449" s="20" t="s">
        <v>3552</v>
      </c>
      <c r="I449" s="20" t="s">
        <v>3553</v>
      </c>
      <c r="J449" s="20" t="s">
        <v>57</v>
      </c>
      <c r="K449" s="21" t="s">
        <v>124</v>
      </c>
      <c r="L449" s="21" t="s">
        <v>3554</v>
      </c>
      <c r="M449" s="21"/>
      <c r="N449" s="21"/>
      <c r="O449" s="21"/>
      <c r="P449" s="21"/>
    </row>
    <row r="450" ht="15.75" customHeight="1">
      <c r="A450" s="22" t="s">
        <v>3555</v>
      </c>
      <c r="B450" s="22"/>
      <c r="C450" s="22" t="s">
        <v>3556</v>
      </c>
      <c r="D450" s="22" t="s">
        <v>3557</v>
      </c>
      <c r="E450" s="22" t="s">
        <v>1620</v>
      </c>
      <c r="F450" s="22" t="s">
        <v>363</v>
      </c>
      <c r="G450" s="22" t="s">
        <v>3558</v>
      </c>
      <c r="H450" s="22" t="s">
        <v>3559</v>
      </c>
      <c r="I450" s="22" t="s">
        <v>3560</v>
      </c>
      <c r="J450" s="22" t="s">
        <v>57</v>
      </c>
      <c r="K450" s="22" t="s">
        <v>3561</v>
      </c>
      <c r="L450" s="22" t="s">
        <v>3305</v>
      </c>
      <c r="M450" s="22"/>
      <c r="N450" s="22"/>
      <c r="O450" s="22" t="s">
        <v>269</v>
      </c>
      <c r="P450" s="22" t="s">
        <v>107</v>
      </c>
    </row>
    <row r="451" ht="15.75" customHeight="1">
      <c r="A451" s="20" t="s">
        <v>3562</v>
      </c>
      <c r="B451" s="20" t="s">
        <v>3563</v>
      </c>
      <c r="C451" s="20"/>
      <c r="D451" s="20" t="s">
        <v>3564</v>
      </c>
      <c r="E451" s="20" t="s">
        <v>231</v>
      </c>
      <c r="F451" s="20" t="s">
        <v>79</v>
      </c>
      <c r="G451" s="20" t="s">
        <v>3565</v>
      </c>
      <c r="H451" s="20" t="s">
        <v>3566</v>
      </c>
      <c r="I451" s="20" t="s">
        <v>3567</v>
      </c>
      <c r="J451" s="20" t="s">
        <v>57</v>
      </c>
      <c r="K451" s="21" t="s">
        <v>3568</v>
      </c>
      <c r="L451" s="21" t="s">
        <v>84</v>
      </c>
      <c r="M451" s="21" t="s">
        <v>1842</v>
      </c>
      <c r="N451" s="21"/>
      <c r="O451" s="21" t="s">
        <v>501</v>
      </c>
      <c r="P451" s="21"/>
    </row>
    <row r="452" ht="15.75" customHeight="1">
      <c r="A452" s="22" t="s">
        <v>3569</v>
      </c>
      <c r="B452" s="22" t="s">
        <v>3570</v>
      </c>
      <c r="C452" s="22" t="s">
        <v>3571</v>
      </c>
      <c r="D452" s="22" t="s">
        <v>3572</v>
      </c>
      <c r="E452" s="22" t="s">
        <v>3573</v>
      </c>
      <c r="F452" s="22" t="s">
        <v>101</v>
      </c>
      <c r="G452" s="22"/>
      <c r="H452" s="22"/>
      <c r="I452" s="22" t="s">
        <v>3574</v>
      </c>
      <c r="J452" s="22" t="s">
        <v>57</v>
      </c>
      <c r="K452" s="22" t="s">
        <v>410</v>
      </c>
      <c r="L452" s="22" t="s">
        <v>3575</v>
      </c>
      <c r="M452" s="22" t="s">
        <v>710</v>
      </c>
      <c r="N452" s="22"/>
      <c r="O452" s="22" t="s">
        <v>495</v>
      </c>
      <c r="P452" s="22"/>
    </row>
    <row r="453" ht="15.75" customHeight="1">
      <c r="A453" s="20" t="s">
        <v>3576</v>
      </c>
      <c r="B453" s="20" t="s">
        <v>3577</v>
      </c>
      <c r="C453" s="20"/>
      <c r="D453" s="20" t="s">
        <v>3578</v>
      </c>
      <c r="E453" s="20" t="s">
        <v>489</v>
      </c>
      <c r="F453" s="20" t="s">
        <v>475</v>
      </c>
      <c r="G453" s="20" t="s">
        <v>1213</v>
      </c>
      <c r="H453" s="20" t="s">
        <v>3579</v>
      </c>
      <c r="I453" s="20" t="s">
        <v>3580</v>
      </c>
      <c r="J453" s="20" t="s">
        <v>57</v>
      </c>
      <c r="K453" s="21" t="s">
        <v>2278</v>
      </c>
      <c r="L453" s="21" t="s">
        <v>3581</v>
      </c>
      <c r="M453" s="21"/>
      <c r="N453" s="21"/>
      <c r="O453" s="21" t="s">
        <v>61</v>
      </c>
      <c r="P453" s="21"/>
    </row>
    <row r="454" ht="15.75" customHeight="1">
      <c r="A454" s="22" t="s">
        <v>3582</v>
      </c>
      <c r="B454" s="22" t="s">
        <v>3583</v>
      </c>
      <c r="C454" s="22"/>
      <c r="D454" s="22" t="s">
        <v>3584</v>
      </c>
      <c r="E454" s="22" t="s">
        <v>2660</v>
      </c>
      <c r="F454" s="22" t="s">
        <v>2163</v>
      </c>
      <c r="G454" s="22" t="s">
        <v>3585</v>
      </c>
      <c r="H454" s="22" t="s">
        <v>3586</v>
      </c>
      <c r="I454" s="22" t="s">
        <v>3587</v>
      </c>
      <c r="J454" s="22" t="s">
        <v>57</v>
      </c>
      <c r="K454" s="22" t="s">
        <v>124</v>
      </c>
      <c r="L454" s="22" t="s">
        <v>799</v>
      </c>
      <c r="M454" s="22"/>
      <c r="N454" s="22"/>
      <c r="O454" s="22" t="s">
        <v>1250</v>
      </c>
      <c r="P454" s="22"/>
    </row>
    <row r="455" ht="15.75" customHeight="1">
      <c r="A455" s="20" t="s">
        <v>3588</v>
      </c>
      <c r="B455" s="20" t="s">
        <v>3589</v>
      </c>
      <c r="C455" s="20" t="s">
        <v>3590</v>
      </c>
      <c r="D455" s="20" t="s">
        <v>3591</v>
      </c>
      <c r="E455" s="20" t="s">
        <v>813</v>
      </c>
      <c r="F455" s="20" t="s">
        <v>101</v>
      </c>
      <c r="G455" s="20" t="s">
        <v>3592</v>
      </c>
      <c r="H455" s="20" t="s">
        <v>3593</v>
      </c>
      <c r="I455" s="20" t="s">
        <v>3594</v>
      </c>
      <c r="J455" s="20" t="s">
        <v>57</v>
      </c>
      <c r="K455" s="21" t="s">
        <v>3595</v>
      </c>
      <c r="L455" s="21" t="s">
        <v>3596</v>
      </c>
      <c r="M455" s="21" t="s">
        <v>985</v>
      </c>
      <c r="N455" s="21"/>
      <c r="O455" s="21" t="s">
        <v>213</v>
      </c>
      <c r="P455" s="21"/>
    </row>
    <row r="456" ht="15.75" customHeight="1">
      <c r="A456" s="22" t="s">
        <v>3597</v>
      </c>
      <c r="B456" s="22" t="s">
        <v>3598</v>
      </c>
      <c r="C456" s="22" t="s">
        <v>3599</v>
      </c>
      <c r="D456" s="22" t="s">
        <v>3591</v>
      </c>
      <c r="E456" s="22" t="s">
        <v>3600</v>
      </c>
      <c r="F456" s="22" t="s">
        <v>101</v>
      </c>
      <c r="G456" s="22" t="s">
        <v>3601</v>
      </c>
      <c r="H456" s="22"/>
      <c r="I456" s="22" t="s">
        <v>3594</v>
      </c>
      <c r="J456" s="22" t="s">
        <v>57</v>
      </c>
      <c r="K456" s="22" t="s">
        <v>3285</v>
      </c>
      <c r="L456" s="22" t="s">
        <v>84</v>
      </c>
      <c r="M456" s="22" t="s">
        <v>337</v>
      </c>
      <c r="N456" s="22"/>
      <c r="O456" s="22" t="s">
        <v>269</v>
      </c>
      <c r="P456" s="22"/>
    </row>
    <row r="457" ht="15.75" customHeight="1">
      <c r="A457" s="20" t="s">
        <v>3602</v>
      </c>
      <c r="B457" s="20" t="s">
        <v>3603</v>
      </c>
      <c r="C457" s="20" t="s">
        <v>3604</v>
      </c>
      <c r="D457" s="20" t="s">
        <v>3605</v>
      </c>
      <c r="E457" s="20" t="s">
        <v>3606</v>
      </c>
      <c r="F457" s="20" t="s">
        <v>130</v>
      </c>
      <c r="G457" s="20" t="s">
        <v>3607</v>
      </c>
      <c r="H457" s="20" t="s">
        <v>3608</v>
      </c>
      <c r="I457" s="20" t="s">
        <v>3609</v>
      </c>
      <c r="J457" s="20" t="s">
        <v>57</v>
      </c>
      <c r="K457" s="21" t="s">
        <v>3610</v>
      </c>
      <c r="L457" s="21" t="s">
        <v>1201</v>
      </c>
      <c r="M457" s="21" t="s">
        <v>623</v>
      </c>
      <c r="N457" s="21"/>
      <c r="O457" s="21" t="s">
        <v>495</v>
      </c>
      <c r="P457" s="21"/>
    </row>
    <row r="458" ht="15.75" customHeight="1">
      <c r="A458" s="22" t="s">
        <v>3611</v>
      </c>
      <c r="B458" s="22" t="s">
        <v>1812</v>
      </c>
      <c r="C458" s="22"/>
      <c r="D458" s="22" t="s">
        <v>3612</v>
      </c>
      <c r="E458" s="22" t="s">
        <v>3182</v>
      </c>
      <c r="F458" s="22" t="s">
        <v>79</v>
      </c>
      <c r="G458" s="22"/>
      <c r="H458" s="22" t="s">
        <v>3613</v>
      </c>
      <c r="I458" s="22"/>
      <c r="J458" s="22" t="s">
        <v>57</v>
      </c>
      <c r="K458" s="22" t="s">
        <v>410</v>
      </c>
      <c r="L458" s="22" t="s">
        <v>84</v>
      </c>
      <c r="M458" s="22"/>
      <c r="N458" s="22"/>
      <c r="O458" s="22" t="s">
        <v>495</v>
      </c>
      <c r="P458" s="22"/>
    </row>
    <row r="459" ht="15.75" customHeight="1">
      <c r="A459" s="20" t="s">
        <v>3614</v>
      </c>
      <c r="B459" s="20" t="s">
        <v>3615</v>
      </c>
      <c r="C459" s="20"/>
      <c r="D459" s="20" t="s">
        <v>3616</v>
      </c>
      <c r="E459" s="20" t="s">
        <v>3600</v>
      </c>
      <c r="F459" s="20" t="s">
        <v>101</v>
      </c>
      <c r="G459" s="20" t="s">
        <v>3617</v>
      </c>
      <c r="H459" s="20" t="s">
        <v>3618</v>
      </c>
      <c r="I459" s="20" t="s">
        <v>3619</v>
      </c>
      <c r="J459" s="20" t="s">
        <v>57</v>
      </c>
      <c r="K459" s="21" t="s">
        <v>3620</v>
      </c>
      <c r="L459" s="21" t="s">
        <v>84</v>
      </c>
      <c r="M459" s="21" t="s">
        <v>3621</v>
      </c>
      <c r="N459" s="21"/>
      <c r="O459" s="21" t="s">
        <v>137</v>
      </c>
      <c r="P459" s="21"/>
    </row>
    <row r="460" ht="15.75" customHeight="1">
      <c r="A460" s="22" t="s">
        <v>3622</v>
      </c>
      <c r="B460" s="22" t="s">
        <v>3623</v>
      </c>
      <c r="C460" s="22" t="s">
        <v>3624</v>
      </c>
      <c r="D460" s="22" t="s">
        <v>3625</v>
      </c>
      <c r="E460" s="22" t="s">
        <v>3626</v>
      </c>
      <c r="F460" s="22" t="s">
        <v>406</v>
      </c>
      <c r="G460" s="22" t="s">
        <v>3627</v>
      </c>
      <c r="H460" s="22" t="s">
        <v>3628</v>
      </c>
      <c r="I460" s="22" t="s">
        <v>3629</v>
      </c>
      <c r="J460" s="22" t="s">
        <v>57</v>
      </c>
      <c r="K460" s="22" t="s">
        <v>3630</v>
      </c>
      <c r="L460" s="22" t="s">
        <v>3631</v>
      </c>
      <c r="M460" s="22" t="s">
        <v>3632</v>
      </c>
      <c r="N460" s="22"/>
      <c r="O460" s="22" t="s">
        <v>495</v>
      </c>
      <c r="P460" s="22"/>
    </row>
    <row r="461" ht="15.75" customHeight="1">
      <c r="A461" s="20" t="s">
        <v>3633</v>
      </c>
      <c r="B461" s="20" t="s">
        <v>3634</v>
      </c>
      <c r="C461" s="20" t="s">
        <v>3635</v>
      </c>
      <c r="D461" s="20" t="s">
        <v>3636</v>
      </c>
      <c r="E461" s="20" t="s">
        <v>3637</v>
      </c>
      <c r="F461" s="20" t="s">
        <v>253</v>
      </c>
      <c r="G461" s="20" t="s">
        <v>3638</v>
      </c>
      <c r="H461" s="20" t="s">
        <v>3639</v>
      </c>
      <c r="I461" s="20" t="s">
        <v>3640</v>
      </c>
      <c r="J461" s="20" t="s">
        <v>57</v>
      </c>
      <c r="K461" s="21" t="s">
        <v>3641</v>
      </c>
      <c r="L461" s="21" t="s">
        <v>3642</v>
      </c>
      <c r="M461" s="21" t="s">
        <v>1151</v>
      </c>
      <c r="N461" s="21"/>
      <c r="O461" s="21" t="s">
        <v>159</v>
      </c>
      <c r="P461" s="21"/>
    </row>
    <row r="462" ht="15.75" customHeight="1">
      <c r="A462" s="22" t="s">
        <v>3643</v>
      </c>
      <c r="B462" s="22" t="s">
        <v>3644</v>
      </c>
      <c r="C462" s="22"/>
      <c r="D462" s="22" t="s">
        <v>3645</v>
      </c>
      <c r="E462" s="22" t="s">
        <v>2428</v>
      </c>
      <c r="F462" s="22" t="s">
        <v>378</v>
      </c>
      <c r="G462" s="22" t="s">
        <v>3646</v>
      </c>
      <c r="H462" s="22" t="s">
        <v>3647</v>
      </c>
      <c r="I462" s="22" t="s">
        <v>3648</v>
      </c>
      <c r="J462" s="22" t="s">
        <v>57</v>
      </c>
      <c r="K462" s="22" t="s">
        <v>3649</v>
      </c>
      <c r="L462" s="22" t="s">
        <v>3650</v>
      </c>
      <c r="M462" s="22" t="s">
        <v>72</v>
      </c>
      <c r="N462" s="22"/>
      <c r="O462" s="22" t="s">
        <v>73</v>
      </c>
      <c r="P462" s="22"/>
    </row>
    <row r="463" ht="15.75" customHeight="1">
      <c r="A463" s="20" t="s">
        <v>3651</v>
      </c>
      <c r="B463" s="20" t="s">
        <v>3652</v>
      </c>
      <c r="C463" s="20" t="s">
        <v>3653</v>
      </c>
      <c r="D463" s="20" t="s">
        <v>3654</v>
      </c>
      <c r="E463" s="20" t="s">
        <v>55</v>
      </c>
      <c r="F463" s="20" t="s">
        <v>91</v>
      </c>
      <c r="G463" s="20" t="s">
        <v>3655</v>
      </c>
      <c r="H463" s="20" t="s">
        <v>3656</v>
      </c>
      <c r="I463" s="20" t="s">
        <v>3657</v>
      </c>
      <c r="J463" s="20" t="s">
        <v>57</v>
      </c>
      <c r="K463" s="21" t="s">
        <v>3658</v>
      </c>
      <c r="L463" s="21" t="s">
        <v>3659</v>
      </c>
      <c r="M463" s="21" t="s">
        <v>268</v>
      </c>
      <c r="N463" s="21"/>
      <c r="O463" s="21" t="s">
        <v>495</v>
      </c>
      <c r="P463" s="21"/>
    </row>
    <row r="464" ht="15.75" customHeight="1">
      <c r="A464" s="22" t="s">
        <v>3660</v>
      </c>
      <c r="B464" s="22" t="s">
        <v>3661</v>
      </c>
      <c r="C464" s="22"/>
      <c r="D464" s="22" t="s">
        <v>3662</v>
      </c>
      <c r="E464" s="22"/>
      <c r="F464" s="22" t="s">
        <v>91</v>
      </c>
      <c r="G464" s="22"/>
      <c r="H464" s="22"/>
      <c r="I464" s="22"/>
      <c r="J464" s="22" t="s">
        <v>57</v>
      </c>
      <c r="K464" s="22" t="s">
        <v>248</v>
      </c>
      <c r="L464" s="22" t="s">
        <v>762</v>
      </c>
      <c r="M464" s="22"/>
      <c r="N464" s="22"/>
      <c r="O464" s="22"/>
      <c r="P464" s="22"/>
    </row>
    <row r="465" ht="15.75" customHeight="1">
      <c r="A465" s="20" t="s">
        <v>3663</v>
      </c>
      <c r="B465" s="20" t="s">
        <v>3664</v>
      </c>
      <c r="C465" s="20" t="s">
        <v>3665</v>
      </c>
      <c r="D465" s="20" t="s">
        <v>3666</v>
      </c>
      <c r="E465" s="20" t="s">
        <v>163</v>
      </c>
      <c r="F465" s="20" t="s">
        <v>101</v>
      </c>
      <c r="G465" s="20" t="s">
        <v>3667</v>
      </c>
      <c r="H465" s="20" t="s">
        <v>3668</v>
      </c>
      <c r="I465" s="20" t="s">
        <v>3669</v>
      </c>
      <c r="J465" s="20" t="s">
        <v>57</v>
      </c>
      <c r="K465" s="21" t="s">
        <v>248</v>
      </c>
      <c r="L465" s="21" t="s">
        <v>267</v>
      </c>
      <c r="M465" s="21"/>
      <c r="N465" s="21"/>
      <c r="O465" s="21"/>
      <c r="P465" s="21"/>
    </row>
    <row r="466" ht="15.75" customHeight="1">
      <c r="A466" s="22" t="s">
        <v>3670</v>
      </c>
      <c r="B466" s="22" t="s">
        <v>3671</v>
      </c>
      <c r="C466" s="22"/>
      <c r="D466" s="22" t="s">
        <v>3672</v>
      </c>
      <c r="E466" s="22" t="s">
        <v>2154</v>
      </c>
      <c r="F466" s="22" t="s">
        <v>363</v>
      </c>
      <c r="G466" s="22"/>
      <c r="H466" s="22" t="s">
        <v>3673</v>
      </c>
      <c r="I466" s="22" t="s">
        <v>3674</v>
      </c>
      <c r="J466" s="22" t="s">
        <v>57</v>
      </c>
      <c r="K466" s="22" t="s">
        <v>3675</v>
      </c>
      <c r="L466" s="22" t="s">
        <v>1522</v>
      </c>
      <c r="M466" s="22" t="s">
        <v>337</v>
      </c>
      <c r="N466" s="22"/>
      <c r="O466" s="22" t="s">
        <v>3676</v>
      </c>
      <c r="P466" s="22"/>
    </row>
    <row r="467" ht="15.75" customHeight="1">
      <c r="A467" s="20" t="s">
        <v>3677</v>
      </c>
      <c r="B467" s="20" t="s">
        <v>3678</v>
      </c>
      <c r="C467" s="20" t="s">
        <v>3679</v>
      </c>
      <c r="D467" s="20" t="s">
        <v>3680</v>
      </c>
      <c r="E467" s="20" t="s">
        <v>3681</v>
      </c>
      <c r="F467" s="20" t="s">
        <v>378</v>
      </c>
      <c r="G467" s="20" t="s">
        <v>3682</v>
      </c>
      <c r="H467" s="20" t="s">
        <v>3683</v>
      </c>
      <c r="I467" s="20" t="s">
        <v>3684</v>
      </c>
      <c r="J467" s="20" t="s">
        <v>57</v>
      </c>
      <c r="K467" s="21" t="s">
        <v>3685</v>
      </c>
      <c r="L467" s="21" t="s">
        <v>2139</v>
      </c>
      <c r="M467" s="21" t="s">
        <v>337</v>
      </c>
      <c r="N467" s="21" t="s">
        <v>3686</v>
      </c>
      <c r="O467" s="21" t="s">
        <v>73</v>
      </c>
      <c r="P467" s="21"/>
    </row>
    <row r="468" ht="15.75" customHeight="1">
      <c r="A468" s="22" t="s">
        <v>3687</v>
      </c>
      <c r="B468" s="22" t="s">
        <v>3688</v>
      </c>
      <c r="C468" s="22"/>
      <c r="D468" s="22" t="s">
        <v>3689</v>
      </c>
      <c r="E468" s="22" t="s">
        <v>3690</v>
      </c>
      <c r="F468" s="22" t="s">
        <v>130</v>
      </c>
      <c r="G468" s="22" t="s">
        <v>3691</v>
      </c>
      <c r="H468" s="22" t="s">
        <v>3692</v>
      </c>
      <c r="I468" s="22" t="s">
        <v>3693</v>
      </c>
      <c r="J468" s="22" t="s">
        <v>57</v>
      </c>
      <c r="K468" s="22" t="s">
        <v>3694</v>
      </c>
      <c r="L468" s="22" t="s">
        <v>3695</v>
      </c>
      <c r="M468" s="22" t="s">
        <v>268</v>
      </c>
      <c r="N468" s="22"/>
      <c r="O468" s="22" t="s">
        <v>269</v>
      </c>
      <c r="P468" s="22"/>
    </row>
    <row r="469" ht="15.75" customHeight="1">
      <c r="A469" s="20" t="s">
        <v>3696</v>
      </c>
      <c r="B469" s="20" t="s">
        <v>3697</v>
      </c>
      <c r="C469" s="20"/>
      <c r="D469" s="20" t="s">
        <v>3698</v>
      </c>
      <c r="E469" s="20" t="s">
        <v>1612</v>
      </c>
      <c r="F469" s="20" t="s">
        <v>130</v>
      </c>
      <c r="G469" s="20" t="s">
        <v>3699</v>
      </c>
      <c r="H469" s="20" t="s">
        <v>3700</v>
      </c>
      <c r="I469" s="20" t="s">
        <v>3701</v>
      </c>
      <c r="J469" s="20" t="s">
        <v>57</v>
      </c>
      <c r="K469" s="21" t="s">
        <v>3702</v>
      </c>
      <c r="L469" s="21" t="s">
        <v>762</v>
      </c>
      <c r="M469" s="21"/>
      <c r="N469" s="21"/>
      <c r="O469" s="21"/>
      <c r="P469" s="21"/>
    </row>
    <row r="470" ht="15.75" customHeight="1">
      <c r="A470" s="22" t="s">
        <v>3703</v>
      </c>
      <c r="B470" s="22" t="s">
        <v>3704</v>
      </c>
      <c r="C470" s="22"/>
      <c r="D470" s="22" t="s">
        <v>3705</v>
      </c>
      <c r="E470" s="22" t="s">
        <v>2391</v>
      </c>
      <c r="F470" s="22" t="s">
        <v>101</v>
      </c>
      <c r="G470" s="22" t="s">
        <v>3706</v>
      </c>
      <c r="H470" s="22" t="s">
        <v>3707</v>
      </c>
      <c r="I470" s="22" t="s">
        <v>3708</v>
      </c>
      <c r="J470" s="22" t="s">
        <v>57</v>
      </c>
      <c r="K470" s="22" t="s">
        <v>1398</v>
      </c>
      <c r="L470" s="22" t="s">
        <v>3709</v>
      </c>
      <c r="M470" s="22"/>
      <c r="N470" s="22"/>
      <c r="O470" s="22"/>
      <c r="P470" s="22"/>
    </row>
    <row r="471" ht="15.75" customHeight="1">
      <c r="A471" s="20" t="s">
        <v>3710</v>
      </c>
      <c r="B471" s="20" t="s">
        <v>3711</v>
      </c>
      <c r="C471" s="20"/>
      <c r="D471" s="20" t="s">
        <v>3712</v>
      </c>
      <c r="E471" s="20" t="s">
        <v>2154</v>
      </c>
      <c r="F471" s="20" t="s">
        <v>363</v>
      </c>
      <c r="G471" s="20"/>
      <c r="H471" s="20"/>
      <c r="I471" s="20" t="s">
        <v>3713</v>
      </c>
      <c r="J471" s="20" t="s">
        <v>57</v>
      </c>
      <c r="K471" s="21" t="s">
        <v>430</v>
      </c>
      <c r="L471" s="21" t="s">
        <v>84</v>
      </c>
      <c r="M471" s="21" t="s">
        <v>1986</v>
      </c>
      <c r="N471" s="21"/>
      <c r="O471" s="21" t="s">
        <v>148</v>
      </c>
      <c r="P471" s="21"/>
    </row>
    <row r="472" ht="15.75" customHeight="1">
      <c r="A472" s="22" t="s">
        <v>3714</v>
      </c>
      <c r="B472" s="22" t="s">
        <v>3715</v>
      </c>
      <c r="C472" s="22" t="s">
        <v>2680</v>
      </c>
      <c r="D472" s="22" t="s">
        <v>3716</v>
      </c>
      <c r="E472" s="22" t="s">
        <v>3717</v>
      </c>
      <c r="F472" s="22" t="s">
        <v>580</v>
      </c>
      <c r="G472" s="22" t="s">
        <v>3718</v>
      </c>
      <c r="H472" s="22" t="s">
        <v>3719</v>
      </c>
      <c r="I472" s="22" t="s">
        <v>3720</v>
      </c>
      <c r="J472" s="22" t="s">
        <v>57</v>
      </c>
      <c r="K472" s="22" t="s">
        <v>105</v>
      </c>
      <c r="L472" s="22" t="s">
        <v>3721</v>
      </c>
      <c r="M472" s="22" t="s">
        <v>1324</v>
      </c>
      <c r="N472" s="22"/>
      <c r="O472" s="22" t="s">
        <v>213</v>
      </c>
      <c r="P472" s="22" t="s">
        <v>107</v>
      </c>
    </row>
    <row r="473" ht="15.75" customHeight="1">
      <c r="A473" s="20" t="s">
        <v>3722</v>
      </c>
      <c r="B473" s="20" t="s">
        <v>3723</v>
      </c>
      <c r="C473" s="20" t="s">
        <v>3724</v>
      </c>
      <c r="D473" s="20" t="s">
        <v>3725</v>
      </c>
      <c r="E473" s="20" t="s">
        <v>3726</v>
      </c>
      <c r="F473" s="20" t="s">
        <v>363</v>
      </c>
      <c r="G473" s="20" t="s">
        <v>3727</v>
      </c>
      <c r="H473" s="20" t="s">
        <v>3728</v>
      </c>
      <c r="I473" s="20" t="s">
        <v>3729</v>
      </c>
      <c r="J473" s="20" t="s">
        <v>57</v>
      </c>
      <c r="K473" s="21" t="s">
        <v>3730</v>
      </c>
      <c r="L473" s="21" t="s">
        <v>3731</v>
      </c>
      <c r="M473" s="21" t="s">
        <v>268</v>
      </c>
      <c r="N473" s="21"/>
      <c r="O473" s="21" t="s">
        <v>359</v>
      </c>
      <c r="P473" s="21" t="s">
        <v>107</v>
      </c>
    </row>
    <row r="474" ht="15.75" customHeight="1">
      <c r="A474" s="22" t="s">
        <v>3732</v>
      </c>
      <c r="B474" s="22" t="s">
        <v>3733</v>
      </c>
      <c r="C474" s="22" t="s">
        <v>3734</v>
      </c>
      <c r="D474" s="22" t="s">
        <v>3735</v>
      </c>
      <c r="E474" s="22" t="s">
        <v>3736</v>
      </c>
      <c r="F474" s="22" t="s">
        <v>79</v>
      </c>
      <c r="G474" s="22" t="s">
        <v>220</v>
      </c>
      <c r="H474" s="22" t="s">
        <v>3737</v>
      </c>
      <c r="I474" s="22" t="s">
        <v>3738</v>
      </c>
      <c r="J474" s="22" t="s">
        <v>57</v>
      </c>
      <c r="K474" s="22" t="s">
        <v>3739</v>
      </c>
      <c r="L474" s="22" t="s">
        <v>2822</v>
      </c>
      <c r="M474" s="22"/>
      <c r="N474" s="22"/>
      <c r="O474" s="22" t="s">
        <v>359</v>
      </c>
      <c r="P474" s="22"/>
    </row>
    <row r="475" ht="15.75" customHeight="1">
      <c r="A475" s="20" t="s">
        <v>3740</v>
      </c>
      <c r="B475" s="20" t="s">
        <v>1781</v>
      </c>
      <c r="C475" s="20" t="s">
        <v>1782</v>
      </c>
      <c r="D475" s="20" t="s">
        <v>3741</v>
      </c>
      <c r="E475" s="20" t="s">
        <v>231</v>
      </c>
      <c r="F475" s="20" t="s">
        <v>79</v>
      </c>
      <c r="G475" s="20"/>
      <c r="H475" s="20" t="s">
        <v>1786</v>
      </c>
      <c r="I475" s="20" t="s">
        <v>3742</v>
      </c>
      <c r="J475" s="20" t="s">
        <v>57</v>
      </c>
      <c r="K475" s="21" t="s">
        <v>430</v>
      </c>
      <c r="L475" s="21" t="s">
        <v>3743</v>
      </c>
      <c r="M475" s="21" t="s">
        <v>3744</v>
      </c>
      <c r="N475" s="21"/>
      <c r="O475" s="21" t="s">
        <v>73</v>
      </c>
      <c r="P475" s="21"/>
    </row>
    <row r="476" ht="15.75" customHeight="1">
      <c r="A476" s="22" t="s">
        <v>3745</v>
      </c>
      <c r="B476" s="22" t="s">
        <v>3746</v>
      </c>
      <c r="C476" s="22"/>
      <c r="D476" s="22" t="s">
        <v>3747</v>
      </c>
      <c r="E476" s="22" t="s">
        <v>3748</v>
      </c>
      <c r="F476" s="22" t="s">
        <v>79</v>
      </c>
      <c r="G476" s="22" t="s">
        <v>231</v>
      </c>
      <c r="H476" s="22" t="s">
        <v>3749</v>
      </c>
      <c r="I476" s="22" t="s">
        <v>3750</v>
      </c>
      <c r="J476" s="22" t="s">
        <v>57</v>
      </c>
      <c r="K476" s="22" t="s">
        <v>3751</v>
      </c>
      <c r="L476" s="22" t="s">
        <v>3752</v>
      </c>
      <c r="M476" s="22" t="s">
        <v>3753</v>
      </c>
      <c r="N476" s="22"/>
      <c r="O476" s="22" t="s">
        <v>213</v>
      </c>
      <c r="P476" s="22"/>
    </row>
    <row r="477" ht="15.75" customHeight="1">
      <c r="A477" s="20" t="s">
        <v>3754</v>
      </c>
      <c r="B477" s="20" t="s">
        <v>3755</v>
      </c>
      <c r="C477" s="20"/>
      <c r="D477" s="20" t="s">
        <v>3756</v>
      </c>
      <c r="E477" s="20" t="s">
        <v>3757</v>
      </c>
      <c r="F477" s="20" t="s">
        <v>219</v>
      </c>
      <c r="G477" s="20" t="s">
        <v>3758</v>
      </c>
      <c r="H477" s="20" t="s">
        <v>3759</v>
      </c>
      <c r="I477" s="20" t="s">
        <v>3760</v>
      </c>
      <c r="J477" s="20" t="s">
        <v>57</v>
      </c>
      <c r="K477" s="21" t="s">
        <v>3761</v>
      </c>
      <c r="L477" s="21" t="s">
        <v>3762</v>
      </c>
      <c r="M477" s="21" t="s">
        <v>3763</v>
      </c>
      <c r="N477" s="21"/>
      <c r="O477" s="21" t="s">
        <v>159</v>
      </c>
      <c r="P477" s="21"/>
    </row>
    <row r="478" ht="15.75" customHeight="1">
      <c r="A478" s="22" t="s">
        <v>3764</v>
      </c>
      <c r="B478" s="22" t="s">
        <v>3765</v>
      </c>
      <c r="C478" s="22"/>
      <c r="D478" s="22" t="s">
        <v>3766</v>
      </c>
      <c r="E478" s="22" t="s">
        <v>3767</v>
      </c>
      <c r="F478" s="22" t="s">
        <v>253</v>
      </c>
      <c r="G478" s="22" t="s">
        <v>3768</v>
      </c>
      <c r="H478" s="22" t="s">
        <v>3769</v>
      </c>
      <c r="I478" s="22"/>
      <c r="J478" s="22" t="s">
        <v>57</v>
      </c>
      <c r="K478" s="22" t="s">
        <v>3770</v>
      </c>
      <c r="L478" s="22" t="s">
        <v>583</v>
      </c>
      <c r="M478" s="22" t="s">
        <v>304</v>
      </c>
      <c r="N478" s="22"/>
      <c r="O478" s="22" t="s">
        <v>159</v>
      </c>
      <c r="P478" s="22"/>
    </row>
    <row r="479" ht="15.75" customHeight="1">
      <c r="A479" s="20" t="s">
        <v>3771</v>
      </c>
      <c r="B479" s="20" t="s">
        <v>3772</v>
      </c>
      <c r="C479" s="20" t="s">
        <v>587</v>
      </c>
      <c r="D479" s="20" t="s">
        <v>3773</v>
      </c>
      <c r="E479" s="20" t="s">
        <v>55</v>
      </c>
      <c r="F479" s="20" t="s">
        <v>91</v>
      </c>
      <c r="G479" s="20" t="s">
        <v>1319</v>
      </c>
      <c r="H479" s="20" t="s">
        <v>3774</v>
      </c>
      <c r="I479" s="20" t="s">
        <v>3775</v>
      </c>
      <c r="J479" s="20" t="s">
        <v>57</v>
      </c>
      <c r="K479" s="21" t="s">
        <v>3776</v>
      </c>
      <c r="L479" s="21" t="s">
        <v>3777</v>
      </c>
      <c r="M479" s="21" t="s">
        <v>985</v>
      </c>
      <c r="N479" s="21" t="s">
        <v>3778</v>
      </c>
      <c r="O479" s="21" t="s">
        <v>73</v>
      </c>
      <c r="P479" s="21" t="s">
        <v>107</v>
      </c>
    </row>
    <row r="480" ht="15.75" customHeight="1">
      <c r="A480" s="22" t="s">
        <v>3779</v>
      </c>
      <c r="B480" s="22" t="s">
        <v>3780</v>
      </c>
      <c r="C480" s="22" t="s">
        <v>587</v>
      </c>
      <c r="D480" s="22" t="s">
        <v>3781</v>
      </c>
      <c r="E480" s="22" t="s">
        <v>120</v>
      </c>
      <c r="F480" s="22" t="s">
        <v>91</v>
      </c>
      <c r="G480" s="22" t="s">
        <v>3782</v>
      </c>
      <c r="H480" s="22" t="s">
        <v>591</v>
      </c>
      <c r="I480" s="22" t="s">
        <v>3783</v>
      </c>
      <c r="J480" s="22" t="s">
        <v>57</v>
      </c>
      <c r="K480" s="22" t="s">
        <v>248</v>
      </c>
      <c r="L480" s="22" t="s">
        <v>762</v>
      </c>
      <c r="M480" s="22"/>
      <c r="N480" s="22"/>
      <c r="O480" s="22"/>
      <c r="P480" s="22" t="s">
        <v>107</v>
      </c>
    </row>
    <row r="481" ht="15.75" customHeight="1">
      <c r="A481" s="20" t="s">
        <v>3784</v>
      </c>
      <c r="B481" s="20" t="s">
        <v>3785</v>
      </c>
      <c r="C481" s="20"/>
      <c r="D481" s="20" t="s">
        <v>3786</v>
      </c>
      <c r="E481" s="20" t="s">
        <v>1612</v>
      </c>
      <c r="F481" s="20" t="s">
        <v>130</v>
      </c>
      <c r="G481" s="20" t="s">
        <v>3787</v>
      </c>
      <c r="H481" s="20"/>
      <c r="I481" s="20" t="s">
        <v>3788</v>
      </c>
      <c r="J481" s="20" t="s">
        <v>57</v>
      </c>
      <c r="K481" s="21" t="s">
        <v>124</v>
      </c>
      <c r="L481" s="21" t="s">
        <v>3789</v>
      </c>
      <c r="M481" s="21"/>
      <c r="N481" s="21"/>
      <c r="O481" s="21"/>
      <c r="P481" s="21"/>
    </row>
    <row r="482" ht="15.75" customHeight="1">
      <c r="A482" s="22" t="s">
        <v>3790</v>
      </c>
      <c r="B482" s="22" t="s">
        <v>3791</v>
      </c>
      <c r="C482" s="22"/>
      <c r="D482" s="22" t="s">
        <v>3792</v>
      </c>
      <c r="E482" s="22" t="s">
        <v>129</v>
      </c>
      <c r="F482" s="22" t="s">
        <v>130</v>
      </c>
      <c r="G482" s="22" t="s">
        <v>129</v>
      </c>
      <c r="H482" s="22" t="s">
        <v>3793</v>
      </c>
      <c r="I482" s="22" t="s">
        <v>3794</v>
      </c>
      <c r="J482" s="22" t="s">
        <v>57</v>
      </c>
      <c r="K482" s="22" t="s">
        <v>3795</v>
      </c>
      <c r="L482" s="22" t="s">
        <v>3099</v>
      </c>
      <c r="M482" s="22" t="s">
        <v>985</v>
      </c>
      <c r="N482" s="22"/>
      <c r="O482" s="22" t="s">
        <v>269</v>
      </c>
      <c r="P482" s="22"/>
    </row>
    <row r="483" ht="15.75" customHeight="1">
      <c r="A483" s="20" t="s">
        <v>3796</v>
      </c>
      <c r="B483" s="20" t="s">
        <v>3797</v>
      </c>
      <c r="C483" s="20"/>
      <c r="D483" s="20" t="s">
        <v>3798</v>
      </c>
      <c r="E483" s="20" t="s">
        <v>3799</v>
      </c>
      <c r="F483" s="20" t="s">
        <v>130</v>
      </c>
      <c r="G483" s="20" t="s">
        <v>129</v>
      </c>
      <c r="H483" s="20" t="s">
        <v>3800</v>
      </c>
      <c r="I483" s="20" t="s">
        <v>3801</v>
      </c>
      <c r="J483" s="20" t="s">
        <v>57</v>
      </c>
      <c r="K483" s="21" t="s">
        <v>3802</v>
      </c>
      <c r="L483" s="21" t="s">
        <v>3803</v>
      </c>
      <c r="M483" s="21" t="s">
        <v>304</v>
      </c>
      <c r="N483" s="21"/>
      <c r="O483" s="21" t="s">
        <v>1250</v>
      </c>
      <c r="P483" s="21"/>
    </row>
    <row r="484" ht="15.75" customHeight="1">
      <c r="A484" s="22" t="s">
        <v>3804</v>
      </c>
      <c r="B484" s="22" t="s">
        <v>3805</v>
      </c>
      <c r="C484" s="22" t="s">
        <v>3806</v>
      </c>
      <c r="D484" s="22" t="s">
        <v>3807</v>
      </c>
      <c r="E484" s="22" t="s">
        <v>2391</v>
      </c>
      <c r="F484" s="22" t="s">
        <v>101</v>
      </c>
      <c r="G484" s="22" t="s">
        <v>3808</v>
      </c>
      <c r="H484" s="22" t="s">
        <v>3809</v>
      </c>
      <c r="I484" s="22" t="s">
        <v>3810</v>
      </c>
      <c r="J484" s="22" t="s">
        <v>57</v>
      </c>
      <c r="K484" s="22" t="s">
        <v>3811</v>
      </c>
      <c r="L484" s="22" t="s">
        <v>3812</v>
      </c>
      <c r="M484" s="22" t="s">
        <v>595</v>
      </c>
      <c r="N484" s="22"/>
      <c r="O484" s="22" t="s">
        <v>501</v>
      </c>
      <c r="P484" s="22"/>
    </row>
    <row r="485" ht="15.75" customHeight="1">
      <c r="A485" s="20" t="s">
        <v>3813</v>
      </c>
      <c r="B485" s="20" t="s">
        <v>3814</v>
      </c>
      <c r="C485" s="20" t="s">
        <v>3815</v>
      </c>
      <c r="D485" s="20" t="s">
        <v>3816</v>
      </c>
      <c r="E485" s="20" t="s">
        <v>55</v>
      </c>
      <c r="F485" s="20" t="s">
        <v>91</v>
      </c>
      <c r="G485" s="20" t="s">
        <v>55</v>
      </c>
      <c r="H485" s="20" t="s">
        <v>3817</v>
      </c>
      <c r="I485" s="20" t="s">
        <v>3818</v>
      </c>
      <c r="J485" s="20" t="s">
        <v>57</v>
      </c>
      <c r="K485" s="21" t="s">
        <v>3819</v>
      </c>
      <c r="L485" s="21" t="s">
        <v>3820</v>
      </c>
      <c r="M485" s="21" t="s">
        <v>2175</v>
      </c>
      <c r="N485" s="21"/>
      <c r="O485" s="21" t="s">
        <v>73</v>
      </c>
      <c r="P485" s="21" t="s">
        <v>107</v>
      </c>
    </row>
    <row r="486" ht="15.75" customHeight="1">
      <c r="A486" s="22" t="s">
        <v>3821</v>
      </c>
      <c r="B486" s="22" t="s">
        <v>3822</v>
      </c>
      <c r="C486" s="22" t="s">
        <v>3823</v>
      </c>
      <c r="D486" s="22" t="s">
        <v>3824</v>
      </c>
      <c r="E486" s="22" t="s">
        <v>1352</v>
      </c>
      <c r="F486" s="22" t="s">
        <v>363</v>
      </c>
      <c r="G486" s="22" t="s">
        <v>3825</v>
      </c>
      <c r="H486" s="22" t="s">
        <v>3826</v>
      </c>
      <c r="I486" s="22" t="s">
        <v>3827</v>
      </c>
      <c r="J486" s="22" t="s">
        <v>57</v>
      </c>
      <c r="K486" s="22" t="s">
        <v>105</v>
      </c>
      <c r="L486" s="22" t="s">
        <v>762</v>
      </c>
      <c r="M486" s="22"/>
      <c r="N486" s="22"/>
      <c r="O486" s="22"/>
      <c r="P486" s="22"/>
    </row>
    <row r="487" ht="15.75" customHeight="1">
      <c r="A487" s="20" t="s">
        <v>3828</v>
      </c>
      <c r="B487" s="20" t="s">
        <v>3829</v>
      </c>
      <c r="C487" s="20" t="s">
        <v>3830</v>
      </c>
      <c r="D487" s="20" t="s">
        <v>3831</v>
      </c>
      <c r="E487" s="20" t="s">
        <v>813</v>
      </c>
      <c r="F487" s="20" t="s">
        <v>101</v>
      </c>
      <c r="G487" s="20" t="s">
        <v>813</v>
      </c>
      <c r="H487" s="20" t="s">
        <v>3832</v>
      </c>
      <c r="I487" s="20" t="s">
        <v>3833</v>
      </c>
      <c r="J487" s="20" t="s">
        <v>57</v>
      </c>
      <c r="K487" s="21" t="s">
        <v>3227</v>
      </c>
      <c r="L487" s="21" t="s">
        <v>3834</v>
      </c>
      <c r="M487" s="21" t="s">
        <v>212</v>
      </c>
      <c r="N487" s="21"/>
      <c r="O487" s="21" t="s">
        <v>148</v>
      </c>
      <c r="P487" s="21"/>
    </row>
    <row r="488" ht="15.75" customHeight="1">
      <c r="A488" s="22" t="s">
        <v>3835</v>
      </c>
      <c r="B488" s="22" t="s">
        <v>3836</v>
      </c>
      <c r="C488" s="22" t="s">
        <v>2284</v>
      </c>
      <c r="D488" s="22" t="s">
        <v>3837</v>
      </c>
      <c r="E488" s="22" t="s">
        <v>3838</v>
      </c>
      <c r="F488" s="22" t="s">
        <v>112</v>
      </c>
      <c r="G488" s="22" t="s">
        <v>3839</v>
      </c>
      <c r="H488" s="22" t="s">
        <v>3840</v>
      </c>
      <c r="I488" s="22" t="s">
        <v>3841</v>
      </c>
      <c r="J488" s="22" t="s">
        <v>57</v>
      </c>
      <c r="K488" s="22" t="s">
        <v>248</v>
      </c>
      <c r="L488" s="22" t="s">
        <v>3842</v>
      </c>
      <c r="M488" s="22"/>
      <c r="N488" s="22"/>
      <c r="O488" s="22"/>
      <c r="P488" s="22" t="s">
        <v>107</v>
      </c>
    </row>
    <row r="489" ht="15.75" customHeight="1">
      <c r="A489" s="20" t="s">
        <v>3843</v>
      </c>
      <c r="B489" s="20" t="s">
        <v>3844</v>
      </c>
      <c r="C489" s="20" t="s">
        <v>3845</v>
      </c>
      <c r="D489" s="20" t="s">
        <v>3846</v>
      </c>
      <c r="E489" s="20" t="s">
        <v>926</v>
      </c>
      <c r="F489" s="20" t="s">
        <v>112</v>
      </c>
      <c r="G489" s="20" t="s">
        <v>3847</v>
      </c>
      <c r="H489" s="20" t="s">
        <v>3848</v>
      </c>
      <c r="I489" s="20" t="s">
        <v>3849</v>
      </c>
      <c r="J489" s="20" t="s">
        <v>57</v>
      </c>
      <c r="K489" s="21" t="s">
        <v>105</v>
      </c>
      <c r="L489" s="21" t="s">
        <v>3850</v>
      </c>
      <c r="M489" s="21" t="s">
        <v>3851</v>
      </c>
      <c r="N489" s="21"/>
      <c r="O489" s="21" t="s">
        <v>3852</v>
      </c>
      <c r="P489" s="21"/>
    </row>
    <row r="490" ht="15.75" customHeight="1">
      <c r="A490" s="22" t="s">
        <v>3853</v>
      </c>
      <c r="B490" s="22" t="s">
        <v>1401</v>
      </c>
      <c r="C490" s="22"/>
      <c r="D490" s="22" t="s">
        <v>3854</v>
      </c>
      <c r="E490" s="22" t="s">
        <v>2837</v>
      </c>
      <c r="F490" s="22" t="s">
        <v>580</v>
      </c>
      <c r="G490" s="22" t="s">
        <v>2683</v>
      </c>
      <c r="H490" s="22" t="s">
        <v>3855</v>
      </c>
      <c r="I490" s="22" t="s">
        <v>3856</v>
      </c>
      <c r="J490" s="22" t="s">
        <v>57</v>
      </c>
      <c r="K490" s="22" t="s">
        <v>248</v>
      </c>
      <c r="L490" s="22" t="s">
        <v>3857</v>
      </c>
      <c r="M490" s="22"/>
      <c r="N490" s="22"/>
      <c r="O490" s="22" t="s">
        <v>61</v>
      </c>
      <c r="P490" s="22" t="s">
        <v>107</v>
      </c>
    </row>
    <row r="491" ht="15.75" customHeight="1">
      <c r="A491" s="20" t="s">
        <v>3858</v>
      </c>
      <c r="B491" s="20" t="s">
        <v>3859</v>
      </c>
      <c r="C491" s="20" t="s">
        <v>3860</v>
      </c>
      <c r="D491" s="20" t="s">
        <v>3861</v>
      </c>
      <c r="E491" s="20" t="s">
        <v>3862</v>
      </c>
      <c r="F491" s="20" t="s">
        <v>79</v>
      </c>
      <c r="G491" s="20"/>
      <c r="H491" s="20" t="s">
        <v>3863</v>
      </c>
      <c r="I491" s="20" t="s">
        <v>3864</v>
      </c>
      <c r="J491" s="20" t="s">
        <v>57</v>
      </c>
      <c r="K491" s="21" t="s">
        <v>3865</v>
      </c>
      <c r="L491" s="21" t="s">
        <v>3866</v>
      </c>
      <c r="M491" s="21" t="s">
        <v>304</v>
      </c>
      <c r="N491" s="21"/>
      <c r="O491" s="21" t="s">
        <v>86</v>
      </c>
      <c r="P491" s="21"/>
    </row>
    <row r="492" ht="15.75" customHeight="1">
      <c r="A492" s="22" t="s">
        <v>3867</v>
      </c>
      <c r="B492" s="22" t="s">
        <v>3868</v>
      </c>
      <c r="C492" s="22"/>
      <c r="D492" s="22" t="s">
        <v>3869</v>
      </c>
      <c r="E492" s="22" t="s">
        <v>3870</v>
      </c>
      <c r="F492" s="22" t="s">
        <v>112</v>
      </c>
      <c r="G492" s="22" t="s">
        <v>3871</v>
      </c>
      <c r="H492" s="22" t="s">
        <v>3872</v>
      </c>
      <c r="I492" s="22" t="s">
        <v>3873</v>
      </c>
      <c r="J492" s="22" t="s">
        <v>57</v>
      </c>
      <c r="K492" s="22" t="s">
        <v>3874</v>
      </c>
      <c r="L492" s="22" t="s">
        <v>3875</v>
      </c>
      <c r="M492" s="22" t="s">
        <v>3876</v>
      </c>
      <c r="N492" s="22"/>
      <c r="O492" s="22" t="s">
        <v>596</v>
      </c>
      <c r="P492" s="22"/>
    </row>
    <row r="493" ht="15.75" customHeight="1">
      <c r="A493" s="20" t="s">
        <v>3877</v>
      </c>
      <c r="B493" s="20" t="s">
        <v>3878</v>
      </c>
      <c r="C493" s="20"/>
      <c r="D493" s="20" t="s">
        <v>3879</v>
      </c>
      <c r="E493" s="20" t="s">
        <v>3081</v>
      </c>
      <c r="F493" s="20" t="s">
        <v>112</v>
      </c>
      <c r="G493" s="20" t="s">
        <v>3434</v>
      </c>
      <c r="H493" s="20" t="s">
        <v>3880</v>
      </c>
      <c r="I493" s="20" t="s">
        <v>3881</v>
      </c>
      <c r="J493" s="20" t="s">
        <v>57</v>
      </c>
      <c r="K493" s="21" t="s">
        <v>3882</v>
      </c>
      <c r="L493" s="21" t="s">
        <v>3883</v>
      </c>
      <c r="M493" s="21" t="s">
        <v>3884</v>
      </c>
      <c r="N493" s="21"/>
      <c r="O493" s="21" t="s">
        <v>137</v>
      </c>
      <c r="P493" s="21" t="s">
        <v>107</v>
      </c>
    </row>
    <row r="494" ht="15.75" customHeight="1">
      <c r="A494" s="22" t="s">
        <v>3885</v>
      </c>
      <c r="B494" s="22" t="s">
        <v>3886</v>
      </c>
      <c r="C494" s="22"/>
      <c r="D494" s="22" t="s">
        <v>3887</v>
      </c>
      <c r="E494" s="22" t="s">
        <v>3888</v>
      </c>
      <c r="F494" s="22" t="s">
        <v>406</v>
      </c>
      <c r="G494" s="22" t="s">
        <v>3889</v>
      </c>
      <c r="H494" s="22"/>
      <c r="I494" s="22" t="s">
        <v>3890</v>
      </c>
      <c r="J494" s="22" t="s">
        <v>57</v>
      </c>
      <c r="K494" s="22" t="s">
        <v>3891</v>
      </c>
      <c r="L494" s="22" t="s">
        <v>3892</v>
      </c>
      <c r="M494" s="22"/>
      <c r="N494" s="22"/>
      <c r="O494" s="22"/>
      <c r="P494" s="22"/>
    </row>
    <row r="495" ht="15.75" customHeight="1">
      <c r="A495" s="20" t="s">
        <v>3893</v>
      </c>
      <c r="B495" s="20" t="s">
        <v>3894</v>
      </c>
      <c r="C495" s="20"/>
      <c r="D495" s="20" t="s">
        <v>3895</v>
      </c>
      <c r="E495" s="20" t="s">
        <v>3896</v>
      </c>
      <c r="F495" s="20" t="s">
        <v>363</v>
      </c>
      <c r="G495" s="20" t="s">
        <v>3897</v>
      </c>
      <c r="H495" s="20" t="s">
        <v>3898</v>
      </c>
      <c r="I495" s="20" t="s">
        <v>3899</v>
      </c>
      <c r="J495" s="20" t="s">
        <v>57</v>
      </c>
      <c r="K495" s="21" t="s">
        <v>3900</v>
      </c>
      <c r="L495" s="21" t="s">
        <v>3901</v>
      </c>
      <c r="M495" s="21" t="s">
        <v>1901</v>
      </c>
      <c r="N495" s="21"/>
      <c r="O495" s="21" t="s">
        <v>269</v>
      </c>
      <c r="P495" s="21"/>
    </row>
    <row r="496" ht="15.75" customHeight="1">
      <c r="A496" s="22" t="s">
        <v>3902</v>
      </c>
      <c r="B496" s="22" t="s">
        <v>3903</v>
      </c>
      <c r="C496" s="22" t="s">
        <v>3904</v>
      </c>
      <c r="D496" s="22" t="s">
        <v>3905</v>
      </c>
      <c r="E496" s="22" t="s">
        <v>3906</v>
      </c>
      <c r="F496" s="22" t="s">
        <v>101</v>
      </c>
      <c r="G496" s="22" t="s">
        <v>3907</v>
      </c>
      <c r="H496" s="22" t="s">
        <v>3908</v>
      </c>
      <c r="I496" s="22" t="s">
        <v>3909</v>
      </c>
      <c r="J496" s="22" t="s">
        <v>57</v>
      </c>
      <c r="K496" s="22" t="s">
        <v>1372</v>
      </c>
      <c r="L496" s="22" t="s">
        <v>84</v>
      </c>
      <c r="M496" s="22" t="s">
        <v>710</v>
      </c>
      <c r="N496" s="22"/>
      <c r="O496" s="22" t="s">
        <v>359</v>
      </c>
      <c r="P496" s="22"/>
    </row>
    <row r="497" ht="15.75" customHeight="1">
      <c r="A497" s="20" t="s">
        <v>3910</v>
      </c>
      <c r="B497" s="20" t="s">
        <v>3911</v>
      </c>
      <c r="C497" s="20" t="s">
        <v>3912</v>
      </c>
      <c r="D497" s="20" t="s">
        <v>3913</v>
      </c>
      <c r="E497" s="20" t="s">
        <v>3914</v>
      </c>
      <c r="F497" s="20" t="s">
        <v>101</v>
      </c>
      <c r="G497" s="20" t="s">
        <v>3915</v>
      </c>
      <c r="H497" s="20" t="s">
        <v>3916</v>
      </c>
      <c r="I497" s="20" t="s">
        <v>3917</v>
      </c>
      <c r="J497" s="20" t="s">
        <v>57</v>
      </c>
      <c r="K497" s="21" t="s">
        <v>727</v>
      </c>
      <c r="L497" s="21" t="s">
        <v>3918</v>
      </c>
      <c r="M497" s="21" t="s">
        <v>72</v>
      </c>
      <c r="N497" s="21"/>
      <c r="O497" s="21" t="s">
        <v>258</v>
      </c>
      <c r="P497" s="21"/>
    </row>
    <row r="498" ht="15.75" customHeight="1">
      <c r="A498" s="22" t="s">
        <v>3919</v>
      </c>
      <c r="B498" s="22" t="s">
        <v>3920</v>
      </c>
      <c r="C498" s="22"/>
      <c r="D498" s="22" t="s">
        <v>3921</v>
      </c>
      <c r="E498" s="22" t="s">
        <v>1445</v>
      </c>
      <c r="F498" s="22" t="s">
        <v>418</v>
      </c>
      <c r="G498" s="22" t="s">
        <v>3922</v>
      </c>
      <c r="H498" s="22" t="s">
        <v>3923</v>
      </c>
      <c r="I498" s="22" t="s">
        <v>3924</v>
      </c>
      <c r="J498" s="22" t="s">
        <v>57</v>
      </c>
      <c r="K498" s="22" t="s">
        <v>3925</v>
      </c>
      <c r="L498" s="22" t="s">
        <v>3926</v>
      </c>
      <c r="M498" s="22" t="s">
        <v>3632</v>
      </c>
      <c r="N498" s="22"/>
      <c r="O498" s="22" t="s">
        <v>137</v>
      </c>
      <c r="P498" s="22" t="s">
        <v>107</v>
      </c>
    </row>
    <row r="499" ht="15.75" customHeight="1">
      <c r="A499" s="20" t="s">
        <v>3927</v>
      </c>
      <c r="B499" s="20" t="s">
        <v>3928</v>
      </c>
      <c r="C499" s="20" t="s">
        <v>176</v>
      </c>
      <c r="D499" s="20" t="s">
        <v>3929</v>
      </c>
      <c r="E499" s="20" t="s">
        <v>55</v>
      </c>
      <c r="F499" s="20" t="s">
        <v>91</v>
      </c>
      <c r="G499" s="20" t="s">
        <v>3930</v>
      </c>
      <c r="H499" s="20" t="s">
        <v>3931</v>
      </c>
      <c r="I499" s="20" t="s">
        <v>3932</v>
      </c>
      <c r="J499" s="20" t="s">
        <v>57</v>
      </c>
      <c r="K499" s="21" t="s">
        <v>3933</v>
      </c>
      <c r="L499" s="21" t="s">
        <v>3934</v>
      </c>
      <c r="M499" s="21"/>
      <c r="N499" s="21"/>
      <c r="O499" s="21"/>
      <c r="P499" s="21"/>
    </row>
    <row r="500" ht="15.75" customHeight="1">
      <c r="A500" s="22" t="s">
        <v>3935</v>
      </c>
      <c r="B500" s="22" t="s">
        <v>3936</v>
      </c>
      <c r="C500" s="22"/>
      <c r="D500" s="22" t="s">
        <v>3937</v>
      </c>
      <c r="E500" s="22" t="s">
        <v>3938</v>
      </c>
      <c r="F500" s="22" t="s">
        <v>112</v>
      </c>
      <c r="G500" s="22" t="s">
        <v>3939</v>
      </c>
      <c r="H500" s="22" t="s">
        <v>3940</v>
      </c>
      <c r="I500" s="22" t="s">
        <v>3941</v>
      </c>
      <c r="J500" s="22" t="s">
        <v>57</v>
      </c>
      <c r="K500" s="22" t="s">
        <v>3942</v>
      </c>
      <c r="L500" s="22" t="s">
        <v>984</v>
      </c>
      <c r="M500" s="22" t="s">
        <v>60</v>
      </c>
      <c r="N500" s="22"/>
      <c r="O500" s="22" t="s">
        <v>185</v>
      </c>
      <c r="P500" s="22"/>
    </row>
    <row r="501" ht="15.75" customHeight="1">
      <c r="A501" s="20" t="s">
        <v>3943</v>
      </c>
      <c r="B501" s="20"/>
      <c r="C501" s="20"/>
      <c r="D501" s="20" t="s">
        <v>3944</v>
      </c>
      <c r="E501" s="20" t="s">
        <v>3945</v>
      </c>
      <c r="F501" s="20" t="s">
        <v>352</v>
      </c>
      <c r="G501" s="20" t="s">
        <v>3946</v>
      </c>
      <c r="H501" s="20"/>
      <c r="I501" s="20"/>
      <c r="J501" s="20" t="s">
        <v>57</v>
      </c>
      <c r="K501" s="21" t="s">
        <v>124</v>
      </c>
      <c r="L501" s="21" t="s">
        <v>762</v>
      </c>
      <c r="M501" s="21"/>
      <c r="N501" s="21"/>
      <c r="O501" s="21" t="s">
        <v>258</v>
      </c>
      <c r="P501" s="21"/>
    </row>
    <row r="502" ht="15.75" customHeight="1">
      <c r="A502" s="22" t="s">
        <v>3947</v>
      </c>
      <c r="B502" s="22" t="s">
        <v>3948</v>
      </c>
      <c r="C502" s="22" t="s">
        <v>3949</v>
      </c>
      <c r="D502" s="22" t="s">
        <v>3950</v>
      </c>
      <c r="E502" s="22" t="s">
        <v>2294</v>
      </c>
      <c r="F502" s="22" t="s">
        <v>406</v>
      </c>
      <c r="G502" s="22" t="s">
        <v>3951</v>
      </c>
      <c r="H502" s="22" t="s">
        <v>3952</v>
      </c>
      <c r="I502" s="22" t="s">
        <v>3953</v>
      </c>
      <c r="J502" s="22" t="s">
        <v>57</v>
      </c>
      <c r="K502" s="22" t="s">
        <v>3954</v>
      </c>
      <c r="L502" s="22" t="s">
        <v>84</v>
      </c>
      <c r="M502" s="22" t="s">
        <v>304</v>
      </c>
      <c r="N502" s="22"/>
      <c r="O502" s="22" t="s">
        <v>185</v>
      </c>
      <c r="P502" s="22"/>
    </row>
    <row r="503" ht="15.75" customHeight="1">
      <c r="A503" s="20" t="s">
        <v>3955</v>
      </c>
      <c r="B503" s="20" t="s">
        <v>3956</v>
      </c>
      <c r="C503" s="20"/>
      <c r="D503" s="20" t="s">
        <v>3957</v>
      </c>
      <c r="E503" s="20" t="s">
        <v>3958</v>
      </c>
      <c r="F503" s="20" t="s">
        <v>112</v>
      </c>
      <c r="G503" s="20" t="s">
        <v>1541</v>
      </c>
      <c r="H503" s="20" t="s">
        <v>3959</v>
      </c>
      <c r="I503" s="20" t="s">
        <v>3960</v>
      </c>
      <c r="J503" s="20" t="s">
        <v>57</v>
      </c>
      <c r="K503" s="21" t="s">
        <v>3961</v>
      </c>
      <c r="L503" s="21" t="s">
        <v>3962</v>
      </c>
      <c r="M503" s="21" t="s">
        <v>304</v>
      </c>
      <c r="N503" s="21"/>
      <c r="O503" s="21" t="s">
        <v>258</v>
      </c>
      <c r="P503" s="21"/>
    </row>
    <row r="504" ht="15.75" customHeight="1">
      <c r="A504" s="22" t="s">
        <v>3963</v>
      </c>
      <c r="B504" s="22" t="s">
        <v>3964</v>
      </c>
      <c r="C504" s="22"/>
      <c r="D504" s="22" t="s">
        <v>3965</v>
      </c>
      <c r="E504" s="22" t="s">
        <v>2294</v>
      </c>
      <c r="F504" s="22" t="s">
        <v>406</v>
      </c>
      <c r="G504" s="22" t="s">
        <v>3966</v>
      </c>
      <c r="H504" s="22" t="s">
        <v>3967</v>
      </c>
      <c r="I504" s="22" t="s">
        <v>3968</v>
      </c>
      <c r="J504" s="22" t="s">
        <v>57</v>
      </c>
      <c r="K504" s="22" t="s">
        <v>3969</v>
      </c>
      <c r="L504" s="22" t="s">
        <v>84</v>
      </c>
      <c r="M504" s="22" t="s">
        <v>3970</v>
      </c>
      <c r="N504" s="22"/>
      <c r="O504" s="22" t="s">
        <v>73</v>
      </c>
      <c r="P504" s="22"/>
    </row>
    <row r="505" ht="15.75" customHeight="1">
      <c r="A505" s="20" t="s">
        <v>3971</v>
      </c>
      <c r="B505" s="20"/>
      <c r="C505" s="20"/>
      <c r="D505" s="20" t="s">
        <v>3972</v>
      </c>
      <c r="E505" s="20" t="s">
        <v>3973</v>
      </c>
      <c r="F505" s="20" t="s">
        <v>79</v>
      </c>
      <c r="G505" s="20"/>
      <c r="H505" s="20"/>
      <c r="I505" s="20" t="s">
        <v>3974</v>
      </c>
      <c r="J505" s="20" t="s">
        <v>57</v>
      </c>
      <c r="K505" s="21" t="s">
        <v>410</v>
      </c>
      <c r="L505" s="21" t="s">
        <v>3975</v>
      </c>
      <c r="M505" s="21"/>
      <c r="N505" s="21"/>
      <c r="O505" s="21" t="s">
        <v>73</v>
      </c>
      <c r="P505" s="21"/>
    </row>
    <row r="506" ht="15.75" customHeight="1">
      <c r="A506" s="22" t="s">
        <v>3976</v>
      </c>
      <c r="B506" s="22" t="s">
        <v>3977</v>
      </c>
      <c r="C506" s="22"/>
      <c r="D506" s="22" t="s">
        <v>3978</v>
      </c>
      <c r="E506" s="22" t="s">
        <v>3979</v>
      </c>
      <c r="F506" s="22" t="s">
        <v>3980</v>
      </c>
      <c r="G506" s="22" t="s">
        <v>3981</v>
      </c>
      <c r="H506" s="22" t="s">
        <v>3982</v>
      </c>
      <c r="I506" s="22" t="s">
        <v>3983</v>
      </c>
      <c r="J506" s="22" t="s">
        <v>57</v>
      </c>
      <c r="K506" s="22" t="s">
        <v>3984</v>
      </c>
      <c r="L506" s="22" t="s">
        <v>657</v>
      </c>
      <c r="M506" s="22"/>
      <c r="N506" s="22"/>
      <c r="O506" s="22"/>
      <c r="P506" s="22"/>
    </row>
    <row r="507" ht="15.75" customHeight="1">
      <c r="A507" s="20" t="s">
        <v>3985</v>
      </c>
      <c r="B507" s="20" t="s">
        <v>3986</v>
      </c>
      <c r="C507" s="20"/>
      <c r="D507" s="20" t="s">
        <v>3987</v>
      </c>
      <c r="E507" s="20" t="s">
        <v>813</v>
      </c>
      <c r="F507" s="20" t="s">
        <v>101</v>
      </c>
      <c r="G507" s="20" t="s">
        <v>3988</v>
      </c>
      <c r="H507" s="20" t="s">
        <v>3985</v>
      </c>
      <c r="I507" s="20" t="s">
        <v>3989</v>
      </c>
      <c r="J507" s="20" t="s">
        <v>57</v>
      </c>
      <c r="K507" s="21" t="s">
        <v>3990</v>
      </c>
      <c r="L507" s="21" t="s">
        <v>1005</v>
      </c>
      <c r="M507" s="21"/>
      <c r="N507" s="21"/>
      <c r="O507" s="21" t="s">
        <v>185</v>
      </c>
      <c r="P507" s="21"/>
    </row>
    <row r="508" ht="15.75" customHeight="1">
      <c r="A508" s="22" t="s">
        <v>3991</v>
      </c>
      <c r="B508" s="22" t="s">
        <v>3992</v>
      </c>
      <c r="C508" s="22"/>
      <c r="D508" s="22" t="s">
        <v>3993</v>
      </c>
      <c r="E508" s="22" t="s">
        <v>3994</v>
      </c>
      <c r="F508" s="22" t="s">
        <v>363</v>
      </c>
      <c r="G508" s="22" t="s">
        <v>3994</v>
      </c>
      <c r="H508" s="22" t="s">
        <v>3995</v>
      </c>
      <c r="I508" s="22" t="s">
        <v>3996</v>
      </c>
      <c r="J508" s="22" t="s">
        <v>57</v>
      </c>
      <c r="K508" s="22" t="s">
        <v>3997</v>
      </c>
      <c r="L508" s="22" t="s">
        <v>3998</v>
      </c>
      <c r="M508" s="22" t="s">
        <v>304</v>
      </c>
      <c r="N508" s="22"/>
      <c r="O508" s="22" t="s">
        <v>258</v>
      </c>
      <c r="P508" s="22"/>
    </row>
    <row r="509" ht="15.75" customHeight="1">
      <c r="A509" s="20" t="s">
        <v>3999</v>
      </c>
      <c r="B509" s="20" t="s">
        <v>4000</v>
      </c>
      <c r="C509" s="20" t="s">
        <v>4001</v>
      </c>
      <c r="D509" s="20" t="s">
        <v>4002</v>
      </c>
      <c r="E509" s="20" t="s">
        <v>3994</v>
      </c>
      <c r="F509" s="20" t="s">
        <v>363</v>
      </c>
      <c r="G509" s="20" t="s">
        <v>3994</v>
      </c>
      <c r="H509" s="20" t="s">
        <v>4003</v>
      </c>
      <c r="I509" s="20" t="s">
        <v>4004</v>
      </c>
      <c r="J509" s="20" t="s">
        <v>57</v>
      </c>
      <c r="K509" s="21" t="s">
        <v>3003</v>
      </c>
      <c r="L509" s="21" t="s">
        <v>4005</v>
      </c>
      <c r="M509" s="21" t="s">
        <v>268</v>
      </c>
      <c r="N509" s="21"/>
      <c r="O509" s="21" t="s">
        <v>648</v>
      </c>
      <c r="P509" s="21"/>
    </row>
    <row r="510" ht="15.75" customHeight="1">
      <c r="A510" s="22" t="s">
        <v>4006</v>
      </c>
      <c r="B510" s="22" t="s">
        <v>4007</v>
      </c>
      <c r="C510" s="22"/>
      <c r="D510" s="22" t="s">
        <v>4008</v>
      </c>
      <c r="E510" s="22" t="s">
        <v>1009</v>
      </c>
      <c r="F510" s="22" t="s">
        <v>79</v>
      </c>
      <c r="G510" s="22" t="s">
        <v>4009</v>
      </c>
      <c r="H510" s="22"/>
      <c r="I510" s="22" t="s">
        <v>4010</v>
      </c>
      <c r="J510" s="22" t="s">
        <v>57</v>
      </c>
      <c r="K510" s="22" t="s">
        <v>344</v>
      </c>
      <c r="L510" s="22" t="s">
        <v>84</v>
      </c>
      <c r="M510" s="22"/>
      <c r="N510" s="22"/>
      <c r="O510" s="22"/>
      <c r="P510" s="22"/>
    </row>
    <row r="511" ht="15.75" customHeight="1">
      <c r="A511" s="20" t="s">
        <v>4011</v>
      </c>
      <c r="B511" s="20" t="s">
        <v>4012</v>
      </c>
      <c r="C511" s="20" t="s">
        <v>4013</v>
      </c>
      <c r="D511" s="20" t="s">
        <v>4014</v>
      </c>
      <c r="E511" s="20" t="s">
        <v>4015</v>
      </c>
      <c r="F511" s="20" t="s">
        <v>101</v>
      </c>
      <c r="G511" s="20" t="s">
        <v>4016</v>
      </c>
      <c r="H511" s="20"/>
      <c r="I511" s="20" t="s">
        <v>4017</v>
      </c>
      <c r="J511" s="20" t="s">
        <v>57</v>
      </c>
      <c r="K511" s="21" t="s">
        <v>4018</v>
      </c>
      <c r="L511" s="21" t="s">
        <v>84</v>
      </c>
      <c r="M511" s="21"/>
      <c r="N511" s="21"/>
      <c r="O511" s="21" t="s">
        <v>159</v>
      </c>
      <c r="P511" s="21"/>
    </row>
    <row r="512" ht="15.75" customHeight="1">
      <c r="A512" s="22" t="s">
        <v>4019</v>
      </c>
      <c r="B512" s="22" t="s">
        <v>4020</v>
      </c>
      <c r="C512" s="22"/>
      <c r="D512" s="22" t="s">
        <v>4021</v>
      </c>
      <c r="E512" s="22" t="s">
        <v>55</v>
      </c>
      <c r="F512" s="22" t="s">
        <v>91</v>
      </c>
      <c r="G512" s="22" t="s">
        <v>55</v>
      </c>
      <c r="H512" s="22" t="s">
        <v>4022</v>
      </c>
      <c r="I512" s="22" t="s">
        <v>4023</v>
      </c>
      <c r="J512" s="22" t="s">
        <v>57</v>
      </c>
      <c r="K512" s="22" t="s">
        <v>4024</v>
      </c>
      <c r="L512" s="22" t="s">
        <v>1356</v>
      </c>
      <c r="M512" s="22"/>
      <c r="N512" s="22"/>
      <c r="O512" s="22" t="s">
        <v>269</v>
      </c>
      <c r="P512" s="22"/>
    </row>
    <row r="513" ht="15.75" customHeight="1">
      <c r="A513" s="20" t="s">
        <v>4025</v>
      </c>
      <c r="B513" s="20" t="s">
        <v>4026</v>
      </c>
      <c r="C513" s="20"/>
      <c r="D513" s="20" t="s">
        <v>4027</v>
      </c>
      <c r="E513" s="20" t="s">
        <v>55</v>
      </c>
      <c r="F513" s="20" t="s">
        <v>91</v>
      </c>
      <c r="G513" s="20" t="s">
        <v>4028</v>
      </c>
      <c r="H513" s="20" t="s">
        <v>4029</v>
      </c>
      <c r="I513" s="20" t="s">
        <v>4030</v>
      </c>
      <c r="J513" s="20" t="s">
        <v>57</v>
      </c>
      <c r="K513" s="21" t="s">
        <v>4031</v>
      </c>
      <c r="L513" s="21" t="s">
        <v>1356</v>
      </c>
      <c r="M513" s="21" t="s">
        <v>225</v>
      </c>
      <c r="N513" s="21"/>
      <c r="O513" s="21" t="s">
        <v>137</v>
      </c>
      <c r="P513" s="21"/>
    </row>
    <row r="514" ht="15.75" customHeight="1">
      <c r="A514" s="22" t="s">
        <v>4032</v>
      </c>
      <c r="B514" s="22" t="s">
        <v>4033</v>
      </c>
      <c r="C514" s="22"/>
      <c r="D514" s="22" t="s">
        <v>4034</v>
      </c>
      <c r="E514" s="22" t="s">
        <v>4035</v>
      </c>
      <c r="F514" s="22" t="s">
        <v>79</v>
      </c>
      <c r="G514" s="22" t="s">
        <v>4036</v>
      </c>
      <c r="H514" s="22" t="s">
        <v>4037</v>
      </c>
      <c r="I514" s="22" t="s">
        <v>4038</v>
      </c>
      <c r="J514" s="22" t="s">
        <v>57</v>
      </c>
      <c r="K514" s="22" t="s">
        <v>4039</v>
      </c>
      <c r="L514" s="22" t="s">
        <v>84</v>
      </c>
      <c r="M514" s="22" t="s">
        <v>3446</v>
      </c>
      <c r="N514" s="22"/>
      <c r="O514" s="22" t="s">
        <v>73</v>
      </c>
      <c r="P514" s="22"/>
    </row>
    <row r="515" ht="15.75" customHeight="1">
      <c r="A515" s="20" t="s">
        <v>4040</v>
      </c>
      <c r="B515" s="20" t="s">
        <v>4041</v>
      </c>
      <c r="C515" s="20" t="s">
        <v>4042</v>
      </c>
      <c r="D515" s="20" t="s">
        <v>4043</v>
      </c>
      <c r="E515" s="20" t="s">
        <v>4044</v>
      </c>
      <c r="F515" s="20" t="s">
        <v>79</v>
      </c>
      <c r="G515" s="20" t="s">
        <v>4045</v>
      </c>
      <c r="H515" s="20" t="s">
        <v>4046</v>
      </c>
      <c r="I515" s="20" t="s">
        <v>4047</v>
      </c>
      <c r="J515" s="20" t="s">
        <v>57</v>
      </c>
      <c r="K515" s="21" t="s">
        <v>4048</v>
      </c>
      <c r="L515" s="21" t="s">
        <v>4049</v>
      </c>
      <c r="M515" s="21" t="s">
        <v>4050</v>
      </c>
      <c r="N515" s="21"/>
      <c r="O515" s="21" t="s">
        <v>3170</v>
      </c>
      <c r="P515" s="21"/>
    </row>
    <row r="516" ht="15.75" customHeight="1">
      <c r="A516" s="22" t="s">
        <v>4051</v>
      </c>
      <c r="B516" s="22" t="s">
        <v>4052</v>
      </c>
      <c r="C516" s="22"/>
      <c r="D516" s="22" t="s">
        <v>4053</v>
      </c>
      <c r="E516" s="22" t="s">
        <v>2660</v>
      </c>
      <c r="F516" s="22" t="s">
        <v>2163</v>
      </c>
      <c r="G516" s="22"/>
      <c r="H516" s="22" t="s">
        <v>4054</v>
      </c>
      <c r="I516" s="22" t="s">
        <v>4055</v>
      </c>
      <c r="J516" s="22" t="s">
        <v>57</v>
      </c>
      <c r="K516" s="22" t="s">
        <v>430</v>
      </c>
      <c r="L516" s="22" t="s">
        <v>4056</v>
      </c>
      <c r="M516" s="22" t="s">
        <v>4057</v>
      </c>
      <c r="N516" s="22"/>
      <c r="O516" s="22" t="s">
        <v>1134</v>
      </c>
      <c r="P516" s="22"/>
    </row>
    <row r="517" ht="15.75" customHeight="1">
      <c r="A517" s="20" t="s">
        <v>4058</v>
      </c>
      <c r="B517" s="20" t="s">
        <v>4059</v>
      </c>
      <c r="C517" s="20"/>
      <c r="D517" s="20" t="s">
        <v>4060</v>
      </c>
      <c r="E517" s="20" t="s">
        <v>4061</v>
      </c>
      <c r="F517" s="20" t="s">
        <v>79</v>
      </c>
      <c r="G517" s="20" t="s">
        <v>4062</v>
      </c>
      <c r="H517" s="20" t="s">
        <v>4063</v>
      </c>
      <c r="I517" s="20" t="s">
        <v>4064</v>
      </c>
      <c r="J517" s="20" t="s">
        <v>57</v>
      </c>
      <c r="K517" s="21" t="s">
        <v>4065</v>
      </c>
      <c r="L517" s="21" t="s">
        <v>4066</v>
      </c>
      <c r="M517" s="21" t="s">
        <v>337</v>
      </c>
      <c r="N517" s="21"/>
      <c r="O517" s="21" t="s">
        <v>495</v>
      </c>
      <c r="P517" s="21"/>
    </row>
    <row r="518" ht="15.75" customHeight="1">
      <c r="A518" s="22" t="s">
        <v>4067</v>
      </c>
      <c r="B518" s="22" t="s">
        <v>4068</v>
      </c>
      <c r="C518" s="22"/>
      <c r="D518" s="22" t="s">
        <v>4069</v>
      </c>
      <c r="E518" s="22" t="s">
        <v>4070</v>
      </c>
      <c r="F518" s="22" t="s">
        <v>475</v>
      </c>
      <c r="G518" s="22" t="s">
        <v>4071</v>
      </c>
      <c r="H518" s="22" t="s">
        <v>4072</v>
      </c>
      <c r="I518" s="22" t="s">
        <v>4073</v>
      </c>
      <c r="J518" s="22" t="s">
        <v>57</v>
      </c>
      <c r="K518" s="22" t="s">
        <v>4074</v>
      </c>
      <c r="L518" s="22" t="s">
        <v>3998</v>
      </c>
      <c r="M518" s="22" t="s">
        <v>4075</v>
      </c>
      <c r="N518" s="22"/>
      <c r="O518" s="22" t="s">
        <v>258</v>
      </c>
      <c r="P518" s="22"/>
    </row>
    <row r="519" ht="15.75" customHeight="1">
      <c r="A519" s="20" t="s">
        <v>4076</v>
      </c>
      <c r="B519" s="20" t="s">
        <v>4077</v>
      </c>
      <c r="C519" s="20" t="s">
        <v>4078</v>
      </c>
      <c r="D519" s="20" t="s">
        <v>4079</v>
      </c>
      <c r="E519" s="20" t="s">
        <v>4080</v>
      </c>
      <c r="F519" s="20" t="s">
        <v>79</v>
      </c>
      <c r="G519" s="20" t="s">
        <v>4081</v>
      </c>
      <c r="H519" s="20" t="s">
        <v>4082</v>
      </c>
      <c r="I519" s="20" t="s">
        <v>4083</v>
      </c>
      <c r="J519" s="20" t="s">
        <v>57</v>
      </c>
      <c r="K519" s="21" t="s">
        <v>798</v>
      </c>
      <c r="L519" s="21" t="s">
        <v>1416</v>
      </c>
      <c r="M519" s="21" t="s">
        <v>2901</v>
      </c>
      <c r="N519" s="21"/>
      <c r="O519" s="21" t="s">
        <v>495</v>
      </c>
      <c r="P519" s="21"/>
    </row>
    <row r="520" ht="15.75" customHeight="1">
      <c r="A520" s="22" t="s">
        <v>4084</v>
      </c>
      <c r="B520" s="22"/>
      <c r="C520" s="22" t="s">
        <v>4085</v>
      </c>
      <c r="D520" s="22" t="s">
        <v>4086</v>
      </c>
      <c r="E520" s="22" t="s">
        <v>129</v>
      </c>
      <c r="F520" s="22" t="s">
        <v>130</v>
      </c>
      <c r="G520" s="22" t="s">
        <v>4087</v>
      </c>
      <c r="H520" s="22"/>
      <c r="I520" s="22"/>
      <c r="J520" s="22" t="s">
        <v>57</v>
      </c>
      <c r="K520" s="22" t="s">
        <v>4088</v>
      </c>
      <c r="L520" s="22" t="s">
        <v>84</v>
      </c>
      <c r="M520" s="22"/>
      <c r="N520" s="22"/>
      <c r="O520" s="22" t="s">
        <v>185</v>
      </c>
      <c r="P520" s="22"/>
    </row>
    <row r="521" ht="15.75" customHeight="1">
      <c r="A521" s="20" t="s">
        <v>4089</v>
      </c>
      <c r="B521" s="20" t="s">
        <v>4090</v>
      </c>
      <c r="C521" s="20"/>
      <c r="D521" s="20" t="s">
        <v>4091</v>
      </c>
      <c r="E521" s="20" t="s">
        <v>1822</v>
      </c>
      <c r="F521" s="20" t="s">
        <v>130</v>
      </c>
      <c r="G521" s="20" t="s">
        <v>4092</v>
      </c>
      <c r="H521" s="20" t="s">
        <v>4093</v>
      </c>
      <c r="I521" s="20" t="s">
        <v>4094</v>
      </c>
      <c r="J521" s="20" t="s">
        <v>57</v>
      </c>
      <c r="K521" s="21" t="s">
        <v>4095</v>
      </c>
      <c r="L521" s="21" t="s">
        <v>4096</v>
      </c>
      <c r="M521" s="21"/>
      <c r="N521" s="21"/>
      <c r="O521" s="21" t="s">
        <v>137</v>
      </c>
      <c r="P521" s="21"/>
    </row>
    <row r="522" ht="15.75" customHeight="1">
      <c r="A522" s="22" t="s">
        <v>4097</v>
      </c>
      <c r="B522" s="22" t="s">
        <v>4098</v>
      </c>
      <c r="C522" s="22" t="s">
        <v>4099</v>
      </c>
      <c r="D522" s="22" t="s">
        <v>4100</v>
      </c>
      <c r="E522" s="22" t="s">
        <v>4101</v>
      </c>
      <c r="F522" s="22" t="s">
        <v>2163</v>
      </c>
      <c r="G522" s="22" t="s">
        <v>4102</v>
      </c>
      <c r="H522" s="22" t="s">
        <v>4103</v>
      </c>
      <c r="I522" s="22" t="s">
        <v>4104</v>
      </c>
      <c r="J522" s="22" t="s">
        <v>57</v>
      </c>
      <c r="K522" s="22" t="s">
        <v>4105</v>
      </c>
      <c r="L522" s="22" t="s">
        <v>4106</v>
      </c>
      <c r="M522" s="22" t="s">
        <v>401</v>
      </c>
      <c r="N522" s="22" t="s">
        <v>4107</v>
      </c>
      <c r="O522" s="22" t="s">
        <v>4108</v>
      </c>
      <c r="P522" s="22" t="s">
        <v>107</v>
      </c>
    </row>
    <row r="523" ht="15.75" customHeight="1">
      <c r="A523" s="20" t="s">
        <v>4109</v>
      </c>
      <c r="B523" s="20" t="s">
        <v>4110</v>
      </c>
      <c r="C523" s="20" t="s">
        <v>4111</v>
      </c>
      <c r="D523" s="20" t="s">
        <v>4112</v>
      </c>
      <c r="E523" s="20" t="s">
        <v>4113</v>
      </c>
      <c r="F523" s="20" t="s">
        <v>101</v>
      </c>
      <c r="G523" s="20" t="s">
        <v>4114</v>
      </c>
      <c r="H523" s="20" t="s">
        <v>4115</v>
      </c>
      <c r="I523" s="20" t="s">
        <v>4116</v>
      </c>
      <c r="J523" s="20" t="s">
        <v>57</v>
      </c>
      <c r="K523" s="21" t="s">
        <v>4117</v>
      </c>
      <c r="L523" s="21" t="s">
        <v>84</v>
      </c>
      <c r="M523" s="21"/>
      <c r="N523" s="21"/>
      <c r="O523" s="21"/>
      <c r="P523" s="21"/>
    </row>
    <row r="524" ht="15.75" customHeight="1">
      <c r="A524" s="22" t="s">
        <v>4118</v>
      </c>
      <c r="B524" s="22" t="s">
        <v>4119</v>
      </c>
      <c r="C524" s="22"/>
      <c r="D524" s="22" t="s">
        <v>4120</v>
      </c>
      <c r="E524" s="22" t="s">
        <v>4121</v>
      </c>
      <c r="F524" s="22" t="s">
        <v>4122</v>
      </c>
      <c r="G524" s="22" t="s">
        <v>4123</v>
      </c>
      <c r="H524" s="22" t="s">
        <v>4124</v>
      </c>
      <c r="I524" s="22" t="s">
        <v>4125</v>
      </c>
      <c r="J524" s="22" t="s">
        <v>57</v>
      </c>
      <c r="K524" s="22" t="s">
        <v>4126</v>
      </c>
      <c r="L524" s="22" t="s">
        <v>567</v>
      </c>
      <c r="M524" s="22" t="s">
        <v>4127</v>
      </c>
      <c r="N524" s="22"/>
      <c r="O524" s="22" t="s">
        <v>269</v>
      </c>
      <c r="P524" s="22"/>
    </row>
    <row r="525" ht="15.75" customHeight="1">
      <c r="A525" s="20" t="s">
        <v>4128</v>
      </c>
      <c r="B525" s="20" t="s">
        <v>4129</v>
      </c>
      <c r="C525" s="20"/>
      <c r="D525" s="20" t="s">
        <v>4130</v>
      </c>
      <c r="E525" s="20" t="s">
        <v>4131</v>
      </c>
      <c r="F525" s="20" t="s">
        <v>101</v>
      </c>
      <c r="G525" s="20" t="s">
        <v>4132</v>
      </c>
      <c r="H525" s="20" t="s">
        <v>4133</v>
      </c>
      <c r="I525" s="20" t="s">
        <v>4134</v>
      </c>
      <c r="J525" s="20" t="s">
        <v>57</v>
      </c>
      <c r="K525" s="21" t="s">
        <v>1744</v>
      </c>
      <c r="L525" s="21" t="s">
        <v>4135</v>
      </c>
      <c r="M525" s="21"/>
      <c r="N525" s="21"/>
      <c r="O525" s="21" t="s">
        <v>73</v>
      </c>
      <c r="P525" s="21"/>
    </row>
    <row r="526" ht="15.75" customHeight="1">
      <c r="A526" s="22" t="s">
        <v>4136</v>
      </c>
      <c r="B526" s="22" t="s">
        <v>4137</v>
      </c>
      <c r="C526" s="22"/>
      <c r="D526" s="22" t="s">
        <v>4138</v>
      </c>
      <c r="E526" s="22" t="s">
        <v>4139</v>
      </c>
      <c r="F526" s="22" t="s">
        <v>2163</v>
      </c>
      <c r="G526" s="22" t="s">
        <v>4140</v>
      </c>
      <c r="H526" s="22"/>
      <c r="I526" s="22" t="s">
        <v>4141</v>
      </c>
      <c r="J526" s="22" t="s">
        <v>57</v>
      </c>
      <c r="K526" s="22" t="s">
        <v>2173</v>
      </c>
      <c r="L526" s="22" t="s">
        <v>4142</v>
      </c>
      <c r="M526" s="22" t="s">
        <v>147</v>
      </c>
      <c r="N526" s="22"/>
      <c r="O526" s="22" t="s">
        <v>1665</v>
      </c>
      <c r="P526" s="22"/>
    </row>
    <row r="527" ht="15.75" customHeight="1">
      <c r="A527" s="20" t="s">
        <v>4143</v>
      </c>
      <c r="B527" s="20" t="s">
        <v>4144</v>
      </c>
      <c r="C527" s="20"/>
      <c r="D527" s="20" t="s">
        <v>4145</v>
      </c>
      <c r="E527" s="20" t="s">
        <v>4146</v>
      </c>
      <c r="F527" s="20" t="s">
        <v>4147</v>
      </c>
      <c r="G527" s="20" t="s">
        <v>4148</v>
      </c>
      <c r="H527" s="20"/>
      <c r="I527" s="20" t="s">
        <v>4149</v>
      </c>
      <c r="J527" s="20" t="s">
        <v>57</v>
      </c>
      <c r="K527" s="21" t="s">
        <v>4150</v>
      </c>
      <c r="L527" s="21" t="s">
        <v>4151</v>
      </c>
      <c r="M527" s="21" t="s">
        <v>3486</v>
      </c>
      <c r="N527" s="21"/>
      <c r="O527" s="21" t="s">
        <v>258</v>
      </c>
      <c r="P527" s="21"/>
    </row>
    <row r="528" ht="15.75" customHeight="1">
      <c r="A528" s="22" t="s">
        <v>4152</v>
      </c>
      <c r="B528" s="22" t="s">
        <v>4153</v>
      </c>
      <c r="C528" s="22"/>
      <c r="D528" s="22" t="s">
        <v>4154</v>
      </c>
      <c r="E528" s="22" t="s">
        <v>4155</v>
      </c>
      <c r="F528" s="22" t="s">
        <v>4156</v>
      </c>
      <c r="G528" s="22" t="s">
        <v>4157</v>
      </c>
      <c r="H528" s="22" t="s">
        <v>4158</v>
      </c>
      <c r="I528" s="22" t="s">
        <v>4159</v>
      </c>
      <c r="J528" s="22" t="s">
        <v>57</v>
      </c>
      <c r="K528" s="22" t="s">
        <v>1398</v>
      </c>
      <c r="L528" s="22" t="s">
        <v>2623</v>
      </c>
      <c r="M528" s="22" t="s">
        <v>1151</v>
      </c>
      <c r="N528" s="22"/>
      <c r="O528" s="22" t="s">
        <v>61</v>
      </c>
      <c r="P528" s="22"/>
    </row>
    <row r="529" ht="15.75" customHeight="1">
      <c r="A529" s="20" t="s">
        <v>4160</v>
      </c>
      <c r="B529" s="20" t="s">
        <v>4161</v>
      </c>
      <c r="C529" s="20"/>
      <c r="D529" s="20" t="s">
        <v>4162</v>
      </c>
      <c r="E529" s="20" t="s">
        <v>4163</v>
      </c>
      <c r="F529" s="20" t="s">
        <v>2163</v>
      </c>
      <c r="G529" s="20" t="s">
        <v>4163</v>
      </c>
      <c r="H529" s="20" t="s">
        <v>4164</v>
      </c>
      <c r="I529" s="20" t="s">
        <v>4165</v>
      </c>
      <c r="J529" s="20" t="s">
        <v>57</v>
      </c>
      <c r="K529" s="21" t="s">
        <v>4166</v>
      </c>
      <c r="L529" s="21" t="s">
        <v>4167</v>
      </c>
      <c r="M529" s="21" t="s">
        <v>60</v>
      </c>
      <c r="N529" s="21"/>
      <c r="O529" s="21" t="s">
        <v>359</v>
      </c>
      <c r="P529" s="21"/>
    </row>
    <row r="530" ht="15.75" customHeight="1">
      <c r="A530" s="22" t="s">
        <v>4168</v>
      </c>
      <c r="B530" s="22" t="s">
        <v>4169</v>
      </c>
      <c r="C530" s="22"/>
      <c r="D530" s="22" t="s">
        <v>4170</v>
      </c>
      <c r="E530" s="22" t="s">
        <v>4171</v>
      </c>
      <c r="F530" s="22" t="s">
        <v>130</v>
      </c>
      <c r="G530" s="22" t="s">
        <v>4172</v>
      </c>
      <c r="H530" s="22"/>
      <c r="I530" s="22" t="s">
        <v>4173</v>
      </c>
      <c r="J530" s="22" t="s">
        <v>57</v>
      </c>
      <c r="K530" s="22" t="s">
        <v>248</v>
      </c>
      <c r="L530" s="22" t="s">
        <v>84</v>
      </c>
      <c r="M530" s="22"/>
      <c r="N530" s="22"/>
      <c r="O530" s="22"/>
      <c r="P530" s="22"/>
    </row>
    <row r="531" ht="15.75" customHeight="1">
      <c r="A531" s="20" t="s">
        <v>4174</v>
      </c>
      <c r="B531" s="20" t="s">
        <v>3797</v>
      </c>
      <c r="C531" s="20" t="s">
        <v>4175</v>
      </c>
      <c r="D531" s="20" t="s">
        <v>4176</v>
      </c>
      <c r="E531" s="20" t="s">
        <v>129</v>
      </c>
      <c r="F531" s="20" t="s">
        <v>130</v>
      </c>
      <c r="G531" s="20" t="s">
        <v>129</v>
      </c>
      <c r="H531" s="20" t="s">
        <v>4177</v>
      </c>
      <c r="I531" s="20" t="s">
        <v>4178</v>
      </c>
      <c r="J531" s="20" t="s">
        <v>57</v>
      </c>
      <c r="K531" s="21" t="s">
        <v>4179</v>
      </c>
      <c r="L531" s="21" t="s">
        <v>84</v>
      </c>
      <c r="M531" s="21" t="s">
        <v>941</v>
      </c>
      <c r="N531" s="21" t="s">
        <v>4180</v>
      </c>
      <c r="O531" s="21" t="s">
        <v>159</v>
      </c>
      <c r="P531" s="21"/>
    </row>
    <row r="532" ht="15.75" customHeight="1">
      <c r="A532" s="22" t="s">
        <v>4181</v>
      </c>
      <c r="B532" s="22" t="s">
        <v>1507</v>
      </c>
      <c r="C532" s="22"/>
      <c r="D532" s="22" t="s">
        <v>4182</v>
      </c>
      <c r="E532" s="22" t="s">
        <v>4183</v>
      </c>
      <c r="F532" s="22" t="s">
        <v>79</v>
      </c>
      <c r="G532" s="22" t="s">
        <v>4184</v>
      </c>
      <c r="H532" s="22" t="s">
        <v>4185</v>
      </c>
      <c r="I532" s="22" t="s">
        <v>4186</v>
      </c>
      <c r="J532" s="22" t="s">
        <v>57</v>
      </c>
      <c r="K532" s="22" t="s">
        <v>70</v>
      </c>
      <c r="L532" s="22" t="s">
        <v>4187</v>
      </c>
      <c r="M532" s="22"/>
      <c r="N532" s="22"/>
      <c r="O532" s="22" t="s">
        <v>4188</v>
      </c>
      <c r="P532" s="22" t="s">
        <v>107</v>
      </c>
    </row>
    <row r="533" ht="15.75" customHeight="1">
      <c r="A533" s="20" t="s">
        <v>4189</v>
      </c>
      <c r="B533" s="20" t="s">
        <v>4190</v>
      </c>
      <c r="C533" s="20" t="s">
        <v>2198</v>
      </c>
      <c r="D533" s="20" t="s">
        <v>4191</v>
      </c>
      <c r="E533" s="20" t="s">
        <v>4192</v>
      </c>
      <c r="F533" s="20" t="s">
        <v>79</v>
      </c>
      <c r="G533" s="20" t="s">
        <v>4193</v>
      </c>
      <c r="H533" s="20" t="s">
        <v>4194</v>
      </c>
      <c r="I533" s="20" t="s">
        <v>4195</v>
      </c>
      <c r="J533" s="20" t="s">
        <v>57</v>
      </c>
      <c r="K533" s="21" t="s">
        <v>4196</v>
      </c>
      <c r="L533" s="21" t="s">
        <v>4197</v>
      </c>
      <c r="M533" s="21" t="s">
        <v>2250</v>
      </c>
      <c r="N533" s="21"/>
      <c r="O533" s="21" t="s">
        <v>4188</v>
      </c>
      <c r="P533" s="21" t="s">
        <v>107</v>
      </c>
    </row>
    <row r="534" ht="15.75" customHeight="1">
      <c r="A534" s="22" t="s">
        <v>4198</v>
      </c>
      <c r="B534" s="22" t="s">
        <v>4199</v>
      </c>
      <c r="C534" s="22"/>
      <c r="D534" s="22" t="s">
        <v>4200</v>
      </c>
      <c r="E534" s="22" t="s">
        <v>4201</v>
      </c>
      <c r="F534" s="22" t="s">
        <v>418</v>
      </c>
      <c r="G534" s="22" t="s">
        <v>4201</v>
      </c>
      <c r="H534" s="22" t="s">
        <v>4124</v>
      </c>
      <c r="I534" s="22" t="s">
        <v>4202</v>
      </c>
      <c r="J534" s="22" t="s">
        <v>57</v>
      </c>
      <c r="K534" s="22" t="s">
        <v>2973</v>
      </c>
      <c r="L534" s="22" t="s">
        <v>4203</v>
      </c>
      <c r="M534" s="22" t="s">
        <v>4204</v>
      </c>
      <c r="N534" s="22"/>
      <c r="O534" s="22" t="s">
        <v>501</v>
      </c>
      <c r="P534" s="22"/>
    </row>
    <row r="535" ht="15.75" customHeight="1">
      <c r="A535" s="20" t="s">
        <v>4205</v>
      </c>
      <c r="B535" s="20" t="s">
        <v>4206</v>
      </c>
      <c r="C535" s="20" t="s">
        <v>4207</v>
      </c>
      <c r="D535" s="20" t="s">
        <v>4208</v>
      </c>
      <c r="E535" s="20" t="s">
        <v>4209</v>
      </c>
      <c r="F535" s="20" t="s">
        <v>79</v>
      </c>
      <c r="G535" s="20"/>
      <c r="H535" s="20" t="s">
        <v>4210</v>
      </c>
      <c r="I535" s="20" t="s">
        <v>4211</v>
      </c>
      <c r="J535" s="20" t="s">
        <v>57</v>
      </c>
      <c r="K535" s="21" t="s">
        <v>4212</v>
      </c>
      <c r="L535" s="21" t="s">
        <v>84</v>
      </c>
      <c r="M535" s="21"/>
      <c r="N535" s="21" t="s">
        <v>4213</v>
      </c>
      <c r="O535" s="21" t="s">
        <v>185</v>
      </c>
      <c r="P535" s="21"/>
    </row>
    <row r="536" ht="15.75" customHeight="1">
      <c r="A536" s="22" t="s">
        <v>4214</v>
      </c>
      <c r="B536" s="22" t="s">
        <v>4215</v>
      </c>
      <c r="C536" s="22" t="s">
        <v>1460</v>
      </c>
      <c r="D536" s="22" t="s">
        <v>4216</v>
      </c>
      <c r="E536" s="22" t="s">
        <v>4217</v>
      </c>
      <c r="F536" s="22" t="s">
        <v>112</v>
      </c>
      <c r="G536" s="22" t="s">
        <v>4218</v>
      </c>
      <c r="H536" s="22" t="s">
        <v>4219</v>
      </c>
      <c r="I536" s="22" t="s">
        <v>4220</v>
      </c>
      <c r="J536" s="22" t="s">
        <v>57</v>
      </c>
      <c r="K536" s="22" t="s">
        <v>4221</v>
      </c>
      <c r="L536" s="22" t="s">
        <v>2449</v>
      </c>
      <c r="M536" s="22" t="s">
        <v>3632</v>
      </c>
      <c r="N536" s="22" t="s">
        <v>4222</v>
      </c>
      <c r="O536" s="22" t="s">
        <v>495</v>
      </c>
      <c r="P536" s="22" t="s">
        <v>107</v>
      </c>
    </row>
    <row r="537" ht="15.75" customHeight="1">
      <c r="A537" s="20" t="s">
        <v>4223</v>
      </c>
      <c r="B537" s="20" t="s">
        <v>4224</v>
      </c>
      <c r="C537" s="20"/>
      <c r="D537" s="20" t="s">
        <v>4225</v>
      </c>
      <c r="E537" s="20" t="s">
        <v>55</v>
      </c>
      <c r="F537" s="20" t="s">
        <v>91</v>
      </c>
      <c r="G537" s="20" t="s">
        <v>4226</v>
      </c>
      <c r="H537" s="20"/>
      <c r="I537" s="20" t="s">
        <v>4227</v>
      </c>
      <c r="J537" s="20" t="s">
        <v>57</v>
      </c>
      <c r="K537" s="21" t="s">
        <v>344</v>
      </c>
      <c r="L537" s="21" t="s">
        <v>84</v>
      </c>
      <c r="M537" s="21"/>
      <c r="N537" s="21"/>
      <c r="O537" s="21"/>
      <c r="P537" s="21"/>
    </row>
    <row r="538" ht="15.75" customHeight="1">
      <c r="A538" s="22" t="s">
        <v>4228</v>
      </c>
      <c r="B538" s="22" t="s">
        <v>3992</v>
      </c>
      <c r="C538" s="22"/>
      <c r="D538" s="22" t="s">
        <v>4229</v>
      </c>
      <c r="E538" s="22" t="s">
        <v>3994</v>
      </c>
      <c r="F538" s="22" t="s">
        <v>363</v>
      </c>
      <c r="G538" s="22" t="s">
        <v>3994</v>
      </c>
      <c r="H538" s="22" t="s">
        <v>4230</v>
      </c>
      <c r="I538" s="22" t="s">
        <v>4231</v>
      </c>
      <c r="J538" s="22" t="s">
        <v>57</v>
      </c>
      <c r="K538" s="22" t="s">
        <v>4232</v>
      </c>
      <c r="L538" s="22" t="s">
        <v>4233</v>
      </c>
      <c r="M538" s="22" t="s">
        <v>72</v>
      </c>
      <c r="N538" s="22"/>
      <c r="O538" s="22" t="s">
        <v>185</v>
      </c>
      <c r="P538" s="22"/>
    </row>
    <row r="539" ht="15.75" customHeight="1">
      <c r="A539" s="20" t="s">
        <v>4234</v>
      </c>
      <c r="B539" s="20" t="s">
        <v>4235</v>
      </c>
      <c r="C539" s="20" t="s">
        <v>4236</v>
      </c>
      <c r="D539" s="20" t="s">
        <v>4237</v>
      </c>
      <c r="E539" s="20" t="s">
        <v>4238</v>
      </c>
      <c r="F539" s="20" t="s">
        <v>406</v>
      </c>
      <c r="G539" s="20" t="s">
        <v>4239</v>
      </c>
      <c r="H539" s="20" t="s">
        <v>4240</v>
      </c>
      <c r="I539" s="20" t="s">
        <v>4241</v>
      </c>
      <c r="J539" s="20" t="s">
        <v>57</v>
      </c>
      <c r="K539" s="21" t="s">
        <v>4242</v>
      </c>
      <c r="L539" s="21" t="s">
        <v>3430</v>
      </c>
      <c r="M539" s="21" t="s">
        <v>781</v>
      </c>
      <c r="N539" s="21"/>
      <c r="O539" s="21" t="s">
        <v>258</v>
      </c>
      <c r="P539" s="21"/>
    </row>
    <row r="540" ht="15.75" customHeight="1">
      <c r="A540" s="22" t="s">
        <v>4243</v>
      </c>
      <c r="B540" s="22" t="s">
        <v>4244</v>
      </c>
      <c r="C540" s="22" t="s">
        <v>4245</v>
      </c>
      <c r="D540" s="22" t="s">
        <v>4246</v>
      </c>
      <c r="E540" s="22" t="s">
        <v>2374</v>
      </c>
      <c r="F540" s="22" t="s">
        <v>101</v>
      </c>
      <c r="G540" s="22" t="s">
        <v>4247</v>
      </c>
      <c r="H540" s="22"/>
      <c r="I540" s="22" t="s">
        <v>4248</v>
      </c>
      <c r="J540" s="22" t="s">
        <v>57</v>
      </c>
      <c r="K540" s="22" t="s">
        <v>4249</v>
      </c>
      <c r="L540" s="22" t="s">
        <v>762</v>
      </c>
      <c r="M540" s="22"/>
      <c r="N540" s="22"/>
      <c r="O540" s="22" t="s">
        <v>73</v>
      </c>
      <c r="P540" s="22"/>
    </row>
    <row r="541" ht="15.75" customHeight="1">
      <c r="A541" s="20" t="s">
        <v>4250</v>
      </c>
      <c r="B541" s="20" t="s">
        <v>4251</v>
      </c>
      <c r="C541" s="20" t="s">
        <v>4252</v>
      </c>
      <c r="D541" s="20" t="s">
        <v>4253</v>
      </c>
      <c r="E541" s="20" t="s">
        <v>4254</v>
      </c>
      <c r="F541" s="20" t="s">
        <v>4255</v>
      </c>
      <c r="G541" s="20" t="s">
        <v>4256</v>
      </c>
      <c r="H541" s="20" t="s">
        <v>4257</v>
      </c>
      <c r="I541" s="20" t="s">
        <v>4258</v>
      </c>
      <c r="J541" s="20" t="s">
        <v>57</v>
      </c>
      <c r="K541" s="21" t="s">
        <v>4259</v>
      </c>
      <c r="L541" s="21" t="s">
        <v>2314</v>
      </c>
      <c r="M541" s="21"/>
      <c r="N541" s="21"/>
      <c r="O541" s="21"/>
      <c r="P541" s="21"/>
    </row>
    <row r="542" ht="15.75" customHeight="1">
      <c r="A542" s="22" t="s">
        <v>4260</v>
      </c>
      <c r="B542" s="22" t="s">
        <v>4251</v>
      </c>
      <c r="C542" s="22" t="s">
        <v>4261</v>
      </c>
      <c r="D542" s="22" t="s">
        <v>4262</v>
      </c>
      <c r="E542" s="22" t="s">
        <v>231</v>
      </c>
      <c r="F542" s="22" t="s">
        <v>79</v>
      </c>
      <c r="G542" s="22" t="s">
        <v>231</v>
      </c>
      <c r="H542" s="22" t="s">
        <v>4263</v>
      </c>
      <c r="I542" s="22" t="s">
        <v>4264</v>
      </c>
      <c r="J542" s="22" t="s">
        <v>57</v>
      </c>
      <c r="K542" s="22" t="s">
        <v>4265</v>
      </c>
      <c r="L542" s="22" t="s">
        <v>4266</v>
      </c>
      <c r="M542" s="22" t="s">
        <v>4267</v>
      </c>
      <c r="N542" s="22"/>
      <c r="O542" s="22" t="s">
        <v>1134</v>
      </c>
      <c r="P542" s="22"/>
    </row>
    <row r="543" ht="15.75" customHeight="1">
      <c r="A543" s="20" t="s">
        <v>4268</v>
      </c>
      <c r="B543" s="20" t="s">
        <v>4269</v>
      </c>
      <c r="C543" s="20" t="s">
        <v>4270</v>
      </c>
      <c r="D543" s="20" t="s">
        <v>4271</v>
      </c>
      <c r="E543" s="20" t="s">
        <v>2980</v>
      </c>
      <c r="F543" s="20" t="s">
        <v>101</v>
      </c>
      <c r="G543" s="20" t="s">
        <v>4272</v>
      </c>
      <c r="H543" s="20" t="s">
        <v>1238</v>
      </c>
      <c r="I543" s="20" t="s">
        <v>4273</v>
      </c>
      <c r="J543" s="20" t="s">
        <v>57</v>
      </c>
      <c r="K543" s="21" t="s">
        <v>4274</v>
      </c>
      <c r="L543" s="21" t="s">
        <v>4275</v>
      </c>
      <c r="M543" s="21" t="s">
        <v>4276</v>
      </c>
      <c r="N543" s="21"/>
      <c r="O543" s="21" t="s">
        <v>258</v>
      </c>
      <c r="P543" s="21"/>
    </row>
    <row r="544" ht="15.75" customHeight="1">
      <c r="A544" s="22" t="s">
        <v>4277</v>
      </c>
      <c r="B544" s="22" t="s">
        <v>4278</v>
      </c>
      <c r="C544" s="22" t="s">
        <v>4279</v>
      </c>
      <c r="D544" s="22" t="s">
        <v>4280</v>
      </c>
      <c r="E544" s="22" t="s">
        <v>231</v>
      </c>
      <c r="F544" s="22" t="s">
        <v>79</v>
      </c>
      <c r="G544" s="22" t="s">
        <v>4281</v>
      </c>
      <c r="H544" s="22" t="s">
        <v>4282</v>
      </c>
      <c r="I544" s="22" t="s">
        <v>4283</v>
      </c>
      <c r="J544" s="22" t="s">
        <v>57</v>
      </c>
      <c r="K544" s="22" t="s">
        <v>105</v>
      </c>
      <c r="L544" s="22" t="s">
        <v>84</v>
      </c>
      <c r="M544" s="22"/>
      <c r="N544" s="22"/>
      <c r="O544" s="22"/>
      <c r="P544" s="22"/>
    </row>
    <row r="545" ht="15.75" customHeight="1">
      <c r="A545" s="20" t="s">
        <v>4284</v>
      </c>
      <c r="B545" s="20" t="s">
        <v>4285</v>
      </c>
      <c r="C545" s="20" t="s">
        <v>4286</v>
      </c>
      <c r="D545" s="20" t="s">
        <v>4287</v>
      </c>
      <c r="E545" s="20" t="s">
        <v>316</v>
      </c>
      <c r="F545" s="20" t="s">
        <v>101</v>
      </c>
      <c r="G545" s="20" t="s">
        <v>4288</v>
      </c>
      <c r="H545" s="20" t="s">
        <v>4289</v>
      </c>
      <c r="I545" s="20" t="s">
        <v>4290</v>
      </c>
      <c r="J545" s="20" t="s">
        <v>57</v>
      </c>
      <c r="K545" s="21" t="s">
        <v>4291</v>
      </c>
      <c r="L545" s="21" t="s">
        <v>4292</v>
      </c>
      <c r="M545" s="21" t="s">
        <v>1151</v>
      </c>
      <c r="N545" s="21"/>
      <c r="O545" s="21" t="s">
        <v>148</v>
      </c>
      <c r="P545" s="21"/>
    </row>
    <row r="546" ht="15.75" customHeight="1">
      <c r="A546" s="22" t="s">
        <v>4293</v>
      </c>
      <c r="B546" s="22" t="s">
        <v>2672</v>
      </c>
      <c r="C546" s="22" t="s">
        <v>2673</v>
      </c>
      <c r="D546" s="22" t="s">
        <v>4294</v>
      </c>
      <c r="E546" s="22" t="s">
        <v>4295</v>
      </c>
      <c r="F546" s="22" t="s">
        <v>101</v>
      </c>
      <c r="G546" s="22" t="s">
        <v>4296</v>
      </c>
      <c r="H546" s="22" t="s">
        <v>2677</v>
      </c>
      <c r="I546" s="22" t="s">
        <v>4297</v>
      </c>
      <c r="J546" s="22" t="s">
        <v>57</v>
      </c>
      <c r="K546" s="22" t="s">
        <v>105</v>
      </c>
      <c r="L546" s="22" t="s">
        <v>4298</v>
      </c>
      <c r="M546" s="22"/>
      <c r="N546" s="22"/>
      <c r="O546" s="22" t="s">
        <v>137</v>
      </c>
      <c r="P546" s="22" t="s">
        <v>107</v>
      </c>
    </row>
    <row r="547" ht="15.75" customHeight="1">
      <c r="A547" s="20" t="s">
        <v>4299</v>
      </c>
      <c r="B547" s="20" t="s">
        <v>4300</v>
      </c>
      <c r="C547" s="20"/>
      <c r="D547" s="20" t="s">
        <v>4301</v>
      </c>
      <c r="E547" s="20" t="s">
        <v>3600</v>
      </c>
      <c r="F547" s="20" t="s">
        <v>101</v>
      </c>
      <c r="G547" s="20" t="s">
        <v>4302</v>
      </c>
      <c r="H547" s="20" t="s">
        <v>4303</v>
      </c>
      <c r="I547" s="20" t="s">
        <v>4304</v>
      </c>
      <c r="J547" s="20" t="s">
        <v>57</v>
      </c>
      <c r="K547" s="21" t="s">
        <v>4305</v>
      </c>
      <c r="L547" s="21" t="s">
        <v>4306</v>
      </c>
      <c r="M547" s="21" t="s">
        <v>4307</v>
      </c>
      <c r="N547" s="21"/>
      <c r="O547" s="21" t="s">
        <v>269</v>
      </c>
      <c r="P547" s="21"/>
    </row>
    <row r="548" ht="15.75" customHeight="1">
      <c r="A548" s="22" t="s">
        <v>4308</v>
      </c>
      <c r="B548" s="22" t="s">
        <v>4309</v>
      </c>
      <c r="C548" s="22"/>
      <c r="D548" s="22" t="s">
        <v>4310</v>
      </c>
      <c r="E548" s="22" t="s">
        <v>4123</v>
      </c>
      <c r="F548" s="22" t="s">
        <v>363</v>
      </c>
      <c r="G548" s="22"/>
      <c r="H548" s="22" t="s">
        <v>4311</v>
      </c>
      <c r="I548" s="22"/>
      <c r="J548" s="22" t="s">
        <v>57</v>
      </c>
      <c r="K548" s="22" t="s">
        <v>4312</v>
      </c>
      <c r="L548" s="22" t="s">
        <v>84</v>
      </c>
      <c r="M548" s="22" t="s">
        <v>985</v>
      </c>
      <c r="N548" s="22"/>
      <c r="O548" s="22" t="s">
        <v>346</v>
      </c>
      <c r="P548" s="22"/>
    </row>
    <row r="549" ht="15.75" customHeight="1">
      <c r="A549" s="20" t="s">
        <v>4313</v>
      </c>
      <c r="B549" s="20" t="s">
        <v>4314</v>
      </c>
      <c r="C549" s="20"/>
      <c r="D549" s="20" t="s">
        <v>4315</v>
      </c>
      <c r="E549" s="20" t="s">
        <v>4316</v>
      </c>
      <c r="F549" s="20" t="s">
        <v>130</v>
      </c>
      <c r="G549" s="20" t="s">
        <v>4317</v>
      </c>
      <c r="H549" s="20"/>
      <c r="I549" s="20" t="s">
        <v>4318</v>
      </c>
      <c r="J549" s="20" t="s">
        <v>57</v>
      </c>
      <c r="K549" s="21" t="s">
        <v>248</v>
      </c>
      <c r="L549" s="21" t="s">
        <v>2816</v>
      </c>
      <c r="M549" s="21"/>
      <c r="N549" s="21"/>
      <c r="O549" s="21"/>
      <c r="P549" s="21"/>
    </row>
    <row r="550" ht="15.75" customHeight="1">
      <c r="A550" s="22" t="s">
        <v>4319</v>
      </c>
      <c r="B550" s="22" t="s">
        <v>4320</v>
      </c>
      <c r="C550" s="22"/>
      <c r="D550" s="22" t="s">
        <v>4321</v>
      </c>
      <c r="E550" s="22" t="s">
        <v>443</v>
      </c>
      <c r="F550" s="22" t="s">
        <v>130</v>
      </c>
      <c r="G550" s="22" t="s">
        <v>4322</v>
      </c>
      <c r="H550" s="22" t="s">
        <v>4323</v>
      </c>
      <c r="I550" s="22" t="s">
        <v>4324</v>
      </c>
      <c r="J550" s="22" t="s">
        <v>57</v>
      </c>
      <c r="K550" s="22" t="s">
        <v>4325</v>
      </c>
      <c r="L550" s="22" t="s">
        <v>84</v>
      </c>
      <c r="M550" s="22" t="s">
        <v>531</v>
      </c>
      <c r="N550" s="22"/>
      <c r="O550" s="22" t="s">
        <v>495</v>
      </c>
      <c r="P550" s="22"/>
    </row>
    <row r="551" ht="15.75" customHeight="1">
      <c r="A551" s="20" t="s">
        <v>4326</v>
      </c>
      <c r="B551" s="20" t="s">
        <v>503</v>
      </c>
      <c r="C551" s="20" t="s">
        <v>504</v>
      </c>
      <c r="D551" s="20" t="s">
        <v>4327</v>
      </c>
      <c r="E551" s="20" t="s">
        <v>163</v>
      </c>
      <c r="F551" s="20" t="s">
        <v>101</v>
      </c>
      <c r="G551" s="20" t="s">
        <v>4328</v>
      </c>
      <c r="H551" s="20" t="s">
        <v>508</v>
      </c>
      <c r="I551" s="20" t="s">
        <v>4329</v>
      </c>
      <c r="J551" s="20" t="s">
        <v>57</v>
      </c>
      <c r="K551" s="21" t="s">
        <v>663</v>
      </c>
      <c r="L551" s="21" t="s">
        <v>4330</v>
      </c>
      <c r="M551" s="21"/>
      <c r="N551" s="21"/>
      <c r="O551" s="21"/>
      <c r="P551" s="21" t="s">
        <v>107</v>
      </c>
    </row>
    <row r="552" ht="15.75" customHeight="1">
      <c r="A552" s="22" t="s">
        <v>4331</v>
      </c>
      <c r="B552" s="22" t="s">
        <v>4332</v>
      </c>
      <c r="C552" s="22"/>
      <c r="D552" s="22" t="s">
        <v>4333</v>
      </c>
      <c r="E552" s="22" t="s">
        <v>1305</v>
      </c>
      <c r="F552" s="22" t="s">
        <v>130</v>
      </c>
      <c r="G552" s="22" t="s">
        <v>2025</v>
      </c>
      <c r="H552" s="22" t="s">
        <v>4334</v>
      </c>
      <c r="I552" s="22" t="s">
        <v>4335</v>
      </c>
      <c r="J552" s="22" t="s">
        <v>57</v>
      </c>
      <c r="K552" s="22" t="s">
        <v>4336</v>
      </c>
      <c r="L552" s="22" t="s">
        <v>4337</v>
      </c>
      <c r="M552" s="22" t="s">
        <v>3249</v>
      </c>
      <c r="N552" s="22"/>
      <c r="O552" s="22" t="s">
        <v>258</v>
      </c>
      <c r="P552" s="22"/>
    </row>
    <row r="553" ht="15.75" customHeight="1">
      <c r="A553" s="20" t="s">
        <v>4338</v>
      </c>
      <c r="B553" s="20" t="s">
        <v>4339</v>
      </c>
      <c r="C553" s="20"/>
      <c r="D553" s="20" t="s">
        <v>4340</v>
      </c>
      <c r="E553" s="20" t="s">
        <v>55</v>
      </c>
      <c r="F553" s="20" t="s">
        <v>91</v>
      </c>
      <c r="G553" s="20" t="s">
        <v>55</v>
      </c>
      <c r="H553" s="20" t="s">
        <v>4341</v>
      </c>
      <c r="I553" s="20" t="s">
        <v>4342</v>
      </c>
      <c r="J553" s="20" t="s">
        <v>57</v>
      </c>
      <c r="K553" s="21" t="s">
        <v>4343</v>
      </c>
      <c r="L553" s="21" t="s">
        <v>4344</v>
      </c>
      <c r="M553" s="21" t="s">
        <v>1151</v>
      </c>
      <c r="N553" s="21"/>
      <c r="O553" s="21" t="s">
        <v>269</v>
      </c>
      <c r="P553" s="21"/>
    </row>
    <row r="554" ht="15.75" customHeight="1">
      <c r="A554" s="22" t="s">
        <v>4345</v>
      </c>
      <c r="B554" s="22"/>
      <c r="C554" s="22"/>
      <c r="D554" s="22" t="s">
        <v>4346</v>
      </c>
      <c r="E554" s="22"/>
      <c r="F554" s="22" t="s">
        <v>580</v>
      </c>
      <c r="G554" s="22"/>
      <c r="H554" s="22" t="s">
        <v>4347</v>
      </c>
      <c r="I554" s="22" t="s">
        <v>4348</v>
      </c>
      <c r="J554" s="22" t="s">
        <v>57</v>
      </c>
      <c r="K554" s="22" t="s">
        <v>248</v>
      </c>
      <c r="L554" s="22" t="s">
        <v>285</v>
      </c>
      <c r="M554" s="22"/>
      <c r="N554" s="22"/>
      <c r="O554" s="22"/>
      <c r="P554" s="22"/>
    </row>
    <row r="555" ht="15.75" customHeight="1">
      <c r="A555" s="20" t="s">
        <v>4349</v>
      </c>
      <c r="B555" s="20" t="s">
        <v>4350</v>
      </c>
      <c r="C555" s="20" t="s">
        <v>4351</v>
      </c>
      <c r="D555" s="20" t="s">
        <v>4352</v>
      </c>
      <c r="E555" s="20" t="s">
        <v>4353</v>
      </c>
      <c r="F555" s="20" t="s">
        <v>79</v>
      </c>
      <c r="G555" s="20" t="s">
        <v>231</v>
      </c>
      <c r="H555" s="20" t="s">
        <v>4354</v>
      </c>
      <c r="I555" s="20" t="s">
        <v>4355</v>
      </c>
      <c r="J555" s="20" t="s">
        <v>57</v>
      </c>
      <c r="K555" s="21" t="s">
        <v>4356</v>
      </c>
      <c r="L555" s="21" t="s">
        <v>4357</v>
      </c>
      <c r="M555" s="21"/>
      <c r="N555" s="21"/>
      <c r="O555" s="21" t="s">
        <v>159</v>
      </c>
      <c r="P555" s="21"/>
    </row>
    <row r="556" ht="15.75" customHeight="1">
      <c r="A556" s="22" t="s">
        <v>4358</v>
      </c>
      <c r="B556" s="22" t="s">
        <v>4359</v>
      </c>
      <c r="C556" s="22"/>
      <c r="D556" s="22" t="s">
        <v>4360</v>
      </c>
      <c r="E556" s="22" t="s">
        <v>4361</v>
      </c>
      <c r="F556" s="22" t="s">
        <v>91</v>
      </c>
      <c r="G556" s="22" t="s">
        <v>3655</v>
      </c>
      <c r="H556" s="22" t="s">
        <v>4362</v>
      </c>
      <c r="I556" s="22" t="s">
        <v>4363</v>
      </c>
      <c r="J556" s="22" t="s">
        <v>57</v>
      </c>
      <c r="K556" s="22" t="s">
        <v>3003</v>
      </c>
      <c r="L556" s="22" t="s">
        <v>84</v>
      </c>
      <c r="M556" s="22" t="s">
        <v>3486</v>
      </c>
      <c r="N556" s="22"/>
      <c r="O556" s="22" t="s">
        <v>73</v>
      </c>
      <c r="P556" s="22"/>
    </row>
    <row r="557" ht="15.75" customHeight="1">
      <c r="A557" s="20" t="s">
        <v>4364</v>
      </c>
      <c r="B557" s="20" t="s">
        <v>4365</v>
      </c>
      <c r="C557" s="20"/>
      <c r="D557" s="20" t="s">
        <v>4366</v>
      </c>
      <c r="E557" s="20" t="s">
        <v>3958</v>
      </c>
      <c r="F557" s="20" t="s">
        <v>112</v>
      </c>
      <c r="G557" s="20"/>
      <c r="H557" s="20" t="s">
        <v>4367</v>
      </c>
      <c r="I557" s="20" t="s">
        <v>4368</v>
      </c>
      <c r="J557" s="20" t="s">
        <v>57</v>
      </c>
      <c r="K557" s="21" t="s">
        <v>248</v>
      </c>
      <c r="L557" s="21" t="s">
        <v>762</v>
      </c>
      <c r="M557" s="21"/>
      <c r="N557" s="21"/>
      <c r="O557" s="21"/>
      <c r="P557" s="21"/>
    </row>
    <row r="558" ht="15.75" customHeight="1">
      <c r="A558" s="22" t="s">
        <v>4369</v>
      </c>
      <c r="B558" s="22" t="s">
        <v>4370</v>
      </c>
      <c r="C558" s="22"/>
      <c r="D558" s="22" t="s">
        <v>4371</v>
      </c>
      <c r="E558" s="22" t="s">
        <v>4372</v>
      </c>
      <c r="F558" s="22" t="s">
        <v>112</v>
      </c>
      <c r="G558" s="22" t="s">
        <v>4373</v>
      </c>
      <c r="H558" s="22" t="s">
        <v>4374</v>
      </c>
      <c r="I558" s="22" t="s">
        <v>4375</v>
      </c>
      <c r="J558" s="22" t="s">
        <v>57</v>
      </c>
      <c r="K558" s="22" t="s">
        <v>4376</v>
      </c>
      <c r="L558" s="22" t="s">
        <v>4377</v>
      </c>
      <c r="M558" s="22" t="s">
        <v>4378</v>
      </c>
      <c r="N558" s="22"/>
      <c r="O558" s="22" t="s">
        <v>86</v>
      </c>
      <c r="P558" s="22"/>
    </row>
    <row r="559" ht="15.75" customHeight="1">
      <c r="A559" s="20" t="s">
        <v>4379</v>
      </c>
      <c r="B559" s="20" t="s">
        <v>4380</v>
      </c>
      <c r="C559" s="20" t="s">
        <v>4381</v>
      </c>
      <c r="D559" s="20" t="s">
        <v>4382</v>
      </c>
      <c r="E559" s="20" t="s">
        <v>2595</v>
      </c>
      <c r="F559" s="20" t="s">
        <v>112</v>
      </c>
      <c r="G559" s="20" t="s">
        <v>4383</v>
      </c>
      <c r="H559" s="20" t="s">
        <v>4384</v>
      </c>
      <c r="I559" s="20" t="s">
        <v>4385</v>
      </c>
      <c r="J559" s="20" t="s">
        <v>57</v>
      </c>
      <c r="K559" s="21" t="s">
        <v>4386</v>
      </c>
      <c r="L559" s="21" t="s">
        <v>4387</v>
      </c>
      <c r="M559" s="21" t="s">
        <v>4388</v>
      </c>
      <c r="N559" s="21"/>
      <c r="O559" s="21" t="s">
        <v>117</v>
      </c>
      <c r="P559" s="21"/>
    </row>
    <row r="560" ht="15.75" customHeight="1">
      <c r="A560" s="22" t="s">
        <v>4389</v>
      </c>
      <c r="B560" s="22" t="s">
        <v>1459</v>
      </c>
      <c r="C560" s="22" t="s">
        <v>1460</v>
      </c>
      <c r="D560" s="22"/>
      <c r="E560" s="22"/>
      <c r="F560" s="22" t="s">
        <v>112</v>
      </c>
      <c r="G560" s="22"/>
      <c r="H560" s="22" t="s">
        <v>1464</v>
      </c>
      <c r="I560" s="22"/>
      <c r="J560" s="22" t="s">
        <v>57</v>
      </c>
      <c r="K560" s="22"/>
      <c r="L560" s="22" t="s">
        <v>4390</v>
      </c>
      <c r="M560" s="22"/>
      <c r="N560" s="22" t="s">
        <v>4222</v>
      </c>
      <c r="O560" s="22"/>
      <c r="P560" s="22" t="s">
        <v>107</v>
      </c>
    </row>
    <row r="561" ht="15.75" customHeight="1">
      <c r="A561" s="20" t="s">
        <v>4391</v>
      </c>
      <c r="B561" s="20"/>
      <c r="C561" s="20" t="s">
        <v>4392</v>
      </c>
      <c r="D561" s="20" t="s">
        <v>4393</v>
      </c>
      <c r="E561" s="20" t="s">
        <v>4394</v>
      </c>
      <c r="F561" s="20" t="s">
        <v>112</v>
      </c>
      <c r="G561" s="20" t="s">
        <v>4395</v>
      </c>
      <c r="H561" s="20" t="s">
        <v>4396</v>
      </c>
      <c r="I561" s="20" t="s">
        <v>4397</v>
      </c>
      <c r="J561" s="20" t="s">
        <v>57</v>
      </c>
      <c r="K561" s="21" t="s">
        <v>3285</v>
      </c>
      <c r="L561" s="21" t="s">
        <v>4398</v>
      </c>
      <c r="M561" s="21"/>
      <c r="N561" s="21"/>
      <c r="O561" s="21" t="s">
        <v>648</v>
      </c>
      <c r="P561" s="21"/>
    </row>
    <row r="562" ht="15.75" customHeight="1">
      <c r="A562" s="22" t="s">
        <v>4399</v>
      </c>
      <c r="B562" s="22" t="s">
        <v>4400</v>
      </c>
      <c r="C562" s="22"/>
      <c r="D562" s="22" t="s">
        <v>4401</v>
      </c>
      <c r="E562" s="22" t="s">
        <v>3767</v>
      </c>
      <c r="F562" s="22" t="s">
        <v>253</v>
      </c>
      <c r="G562" s="22" t="s">
        <v>3767</v>
      </c>
      <c r="H562" s="22" t="s">
        <v>2702</v>
      </c>
      <c r="I562" s="22" t="s">
        <v>4402</v>
      </c>
      <c r="J562" s="22" t="s">
        <v>57</v>
      </c>
      <c r="K562" s="22" t="s">
        <v>4403</v>
      </c>
      <c r="L562" s="22" t="s">
        <v>3104</v>
      </c>
      <c r="M562" s="22" t="s">
        <v>985</v>
      </c>
      <c r="N562" s="22"/>
      <c r="O562" s="22" t="s">
        <v>61</v>
      </c>
      <c r="P562" s="22"/>
    </row>
    <row r="563" ht="15.75" customHeight="1">
      <c r="A563" s="20" t="s">
        <v>4404</v>
      </c>
      <c r="B563" s="20" t="s">
        <v>4405</v>
      </c>
      <c r="C563" s="20" t="s">
        <v>4406</v>
      </c>
      <c r="D563" s="20" t="s">
        <v>4407</v>
      </c>
      <c r="E563" s="20" t="s">
        <v>55</v>
      </c>
      <c r="F563" s="20" t="s">
        <v>91</v>
      </c>
      <c r="G563" s="20" t="s">
        <v>4408</v>
      </c>
      <c r="H563" s="20" t="s">
        <v>4409</v>
      </c>
      <c r="I563" s="20" t="s">
        <v>4410</v>
      </c>
      <c r="J563" s="20" t="s">
        <v>57</v>
      </c>
      <c r="K563" s="21" t="s">
        <v>4411</v>
      </c>
      <c r="L563" s="21" t="s">
        <v>4412</v>
      </c>
      <c r="M563" s="21" t="s">
        <v>225</v>
      </c>
      <c r="N563" s="21"/>
      <c r="O563" s="21" t="s">
        <v>159</v>
      </c>
      <c r="P563" s="21" t="s">
        <v>107</v>
      </c>
    </row>
    <row r="564" ht="15.75" customHeight="1">
      <c r="A564" s="22" t="s">
        <v>4413</v>
      </c>
      <c r="B564" s="22" t="s">
        <v>4414</v>
      </c>
      <c r="C564" s="22" t="s">
        <v>4415</v>
      </c>
      <c r="D564" s="22" t="s">
        <v>4416</v>
      </c>
      <c r="E564" s="22" t="s">
        <v>2421</v>
      </c>
      <c r="F564" s="22" t="s">
        <v>91</v>
      </c>
      <c r="G564" s="22" t="s">
        <v>4417</v>
      </c>
      <c r="H564" s="22" t="s">
        <v>4418</v>
      </c>
      <c r="I564" s="22" t="s">
        <v>4419</v>
      </c>
      <c r="J564" s="22" t="s">
        <v>57</v>
      </c>
      <c r="K564" s="22" t="s">
        <v>4420</v>
      </c>
      <c r="L564" s="22" t="s">
        <v>4421</v>
      </c>
      <c r="M564" s="22"/>
      <c r="N564" s="22"/>
      <c r="O564" s="22" t="s">
        <v>258</v>
      </c>
      <c r="P564" s="22" t="s">
        <v>107</v>
      </c>
    </row>
    <row r="565" ht="15.75" customHeight="1">
      <c r="A565" s="20" t="s">
        <v>4422</v>
      </c>
      <c r="B565" s="20" t="s">
        <v>4423</v>
      </c>
      <c r="C565" s="20" t="s">
        <v>4424</v>
      </c>
      <c r="D565" s="20" t="s">
        <v>4425</v>
      </c>
      <c r="E565" s="20" t="s">
        <v>2162</v>
      </c>
      <c r="F565" s="20" t="s">
        <v>2163</v>
      </c>
      <c r="G565" s="20" t="s">
        <v>4426</v>
      </c>
      <c r="H565" s="20"/>
      <c r="I565" s="20" t="s">
        <v>4427</v>
      </c>
      <c r="J565" s="20" t="s">
        <v>57</v>
      </c>
      <c r="K565" s="21" t="s">
        <v>4428</v>
      </c>
      <c r="L565" s="21" t="s">
        <v>84</v>
      </c>
      <c r="M565" s="21"/>
      <c r="N565" s="21"/>
      <c r="O565" s="21" t="s">
        <v>185</v>
      </c>
      <c r="P565" s="21"/>
    </row>
    <row r="566" ht="15.75" customHeight="1">
      <c r="A566" s="22" t="s">
        <v>4429</v>
      </c>
      <c r="B566" s="22" t="s">
        <v>4430</v>
      </c>
      <c r="C566" s="22"/>
      <c r="D566" s="22" t="s">
        <v>4431</v>
      </c>
      <c r="E566" s="22" t="s">
        <v>3889</v>
      </c>
      <c r="F566" s="22" t="s">
        <v>406</v>
      </c>
      <c r="G566" s="22" t="s">
        <v>4432</v>
      </c>
      <c r="H566" s="22" t="s">
        <v>3496</v>
      </c>
      <c r="I566" s="22" t="s">
        <v>4433</v>
      </c>
      <c r="J566" s="22" t="s">
        <v>57</v>
      </c>
      <c r="K566" s="22" t="s">
        <v>4428</v>
      </c>
      <c r="L566" s="22" t="s">
        <v>1373</v>
      </c>
      <c r="M566" s="22"/>
      <c r="N566" s="22"/>
      <c r="O566" s="22" t="s">
        <v>61</v>
      </c>
      <c r="P566" s="22"/>
    </row>
    <row r="567" ht="15.75" customHeight="1">
      <c r="A567" s="20" t="s">
        <v>4434</v>
      </c>
      <c r="B567" s="20" t="s">
        <v>4435</v>
      </c>
      <c r="C567" s="20"/>
      <c r="D567" s="20" t="s">
        <v>4436</v>
      </c>
      <c r="E567" s="20" t="s">
        <v>4437</v>
      </c>
      <c r="F567" s="20" t="s">
        <v>101</v>
      </c>
      <c r="G567" s="20"/>
      <c r="H567" s="20" t="s">
        <v>4438</v>
      </c>
      <c r="I567" s="20"/>
      <c r="J567" s="20" t="s">
        <v>57</v>
      </c>
      <c r="K567" s="21" t="s">
        <v>248</v>
      </c>
      <c r="L567" s="21" t="s">
        <v>2597</v>
      </c>
      <c r="M567" s="21" t="s">
        <v>1986</v>
      </c>
      <c r="N567" s="21"/>
      <c r="O567" s="21" t="s">
        <v>137</v>
      </c>
      <c r="P567" s="21"/>
    </row>
    <row r="568" ht="15.75" customHeight="1">
      <c r="A568" s="22" t="s">
        <v>4439</v>
      </c>
      <c r="B568" s="22" t="s">
        <v>4440</v>
      </c>
      <c r="C568" s="22" t="s">
        <v>2680</v>
      </c>
      <c r="D568" s="22" t="s">
        <v>4441</v>
      </c>
      <c r="E568" s="22" t="s">
        <v>2682</v>
      </c>
      <c r="F568" s="22" t="s">
        <v>580</v>
      </c>
      <c r="G568" s="22"/>
      <c r="H568" s="22" t="s">
        <v>1405</v>
      </c>
      <c r="I568" s="22" t="s">
        <v>4442</v>
      </c>
      <c r="J568" s="22" t="s">
        <v>57</v>
      </c>
      <c r="K568" s="22" t="s">
        <v>248</v>
      </c>
      <c r="L568" s="22" t="s">
        <v>84</v>
      </c>
      <c r="M568" s="22"/>
      <c r="N568" s="22"/>
      <c r="O568" s="22" t="s">
        <v>73</v>
      </c>
      <c r="P568" s="22" t="s">
        <v>107</v>
      </c>
    </row>
    <row r="569" ht="15.75" customHeight="1">
      <c r="A569" s="20" t="s">
        <v>4443</v>
      </c>
      <c r="B569" s="20" t="s">
        <v>4444</v>
      </c>
      <c r="C569" s="20" t="s">
        <v>4445</v>
      </c>
      <c r="D569" s="20" t="s">
        <v>4446</v>
      </c>
      <c r="E569" s="20" t="s">
        <v>4447</v>
      </c>
      <c r="F569" s="20" t="s">
        <v>79</v>
      </c>
      <c r="G569" s="20" t="s">
        <v>4448</v>
      </c>
      <c r="H569" s="20" t="s">
        <v>4449</v>
      </c>
      <c r="I569" s="20" t="s">
        <v>4450</v>
      </c>
      <c r="J569" s="20" t="s">
        <v>57</v>
      </c>
      <c r="K569" s="21" t="s">
        <v>157</v>
      </c>
      <c r="L569" s="21" t="s">
        <v>2449</v>
      </c>
      <c r="M569" s="21" t="s">
        <v>3632</v>
      </c>
      <c r="N569" s="21"/>
      <c r="O569" s="21" t="s">
        <v>258</v>
      </c>
      <c r="P569" s="21" t="s">
        <v>107</v>
      </c>
    </row>
    <row r="570" ht="15.75" customHeight="1">
      <c r="A570" s="22" t="s">
        <v>4451</v>
      </c>
      <c r="B570" s="22" t="s">
        <v>4452</v>
      </c>
      <c r="C570" s="22" t="s">
        <v>4453</v>
      </c>
      <c r="D570" s="22" t="s">
        <v>4454</v>
      </c>
      <c r="E570" s="22" t="s">
        <v>4455</v>
      </c>
      <c r="F570" s="22" t="s">
        <v>112</v>
      </c>
      <c r="G570" s="22" t="s">
        <v>4456</v>
      </c>
      <c r="H570" s="22" t="s">
        <v>4457</v>
      </c>
      <c r="I570" s="22" t="s">
        <v>4458</v>
      </c>
      <c r="J570" s="22" t="s">
        <v>57</v>
      </c>
      <c r="K570" s="22" t="s">
        <v>4459</v>
      </c>
      <c r="L570" s="22" t="s">
        <v>84</v>
      </c>
      <c r="M570" s="22" t="s">
        <v>60</v>
      </c>
      <c r="N570" s="22"/>
      <c r="O570" s="22" t="s">
        <v>185</v>
      </c>
      <c r="P570" s="22"/>
    </row>
    <row r="571" ht="15.75" customHeight="1">
      <c r="A571" s="20" t="s">
        <v>4460</v>
      </c>
      <c r="B571" s="20" t="s">
        <v>4461</v>
      </c>
      <c r="C571" s="20"/>
      <c r="D571" s="20" t="s">
        <v>4462</v>
      </c>
      <c r="E571" s="20" t="s">
        <v>55</v>
      </c>
      <c r="F571" s="20" t="s">
        <v>91</v>
      </c>
      <c r="G571" s="20" t="s">
        <v>4463</v>
      </c>
      <c r="H571" s="20" t="s">
        <v>4464</v>
      </c>
      <c r="I571" s="20" t="s">
        <v>4465</v>
      </c>
      <c r="J571" s="20" t="s">
        <v>57</v>
      </c>
      <c r="K571" s="21" t="s">
        <v>248</v>
      </c>
      <c r="L571" s="21" t="s">
        <v>4466</v>
      </c>
      <c r="M571" s="21"/>
      <c r="N571" s="21"/>
      <c r="O571" s="21" t="s">
        <v>61</v>
      </c>
      <c r="P571" s="21"/>
    </row>
    <row r="572" ht="15.75" customHeight="1">
      <c r="A572" s="22" t="s">
        <v>4467</v>
      </c>
      <c r="B572" s="22" t="s">
        <v>4468</v>
      </c>
      <c r="C572" s="22" t="s">
        <v>4469</v>
      </c>
      <c r="D572" s="22" t="s">
        <v>4470</v>
      </c>
      <c r="E572" s="22" t="s">
        <v>4471</v>
      </c>
      <c r="F572" s="22" t="s">
        <v>130</v>
      </c>
      <c r="G572" s="22" t="s">
        <v>4472</v>
      </c>
      <c r="H572" s="22" t="s">
        <v>4473</v>
      </c>
      <c r="I572" s="22" t="s">
        <v>4083</v>
      </c>
      <c r="J572" s="22" t="s">
        <v>57</v>
      </c>
      <c r="K572" s="22" t="s">
        <v>798</v>
      </c>
      <c r="L572" s="22" t="s">
        <v>762</v>
      </c>
      <c r="M572" s="22"/>
      <c r="N572" s="22"/>
      <c r="O572" s="22"/>
      <c r="P572" s="22"/>
    </row>
    <row r="573" ht="15.75" customHeight="1">
      <c r="A573" s="20" t="s">
        <v>4474</v>
      </c>
      <c r="B573" s="20" t="s">
        <v>4475</v>
      </c>
      <c r="C573" s="20" t="s">
        <v>2904</v>
      </c>
      <c r="D573" s="20" t="s">
        <v>4476</v>
      </c>
      <c r="E573" s="20" t="s">
        <v>1929</v>
      </c>
      <c r="F573" s="20" t="s">
        <v>263</v>
      </c>
      <c r="G573" s="20" t="s">
        <v>1291</v>
      </c>
      <c r="H573" s="20" t="s">
        <v>2907</v>
      </c>
      <c r="I573" s="20" t="s">
        <v>4477</v>
      </c>
      <c r="J573" s="20" t="s">
        <v>57</v>
      </c>
      <c r="K573" s="21" t="s">
        <v>1597</v>
      </c>
      <c r="L573" s="21" t="s">
        <v>84</v>
      </c>
      <c r="M573" s="21"/>
      <c r="N573" s="21"/>
      <c r="O573" s="21"/>
      <c r="P573" s="21" t="s">
        <v>107</v>
      </c>
    </row>
    <row r="574" ht="15.75" customHeight="1">
      <c r="A574" s="22" t="s">
        <v>4478</v>
      </c>
      <c r="B574" s="22" t="s">
        <v>375</v>
      </c>
      <c r="C574" s="22"/>
      <c r="D574" s="22" t="s">
        <v>4479</v>
      </c>
      <c r="E574" s="22" t="s">
        <v>926</v>
      </c>
      <c r="F574" s="22" t="s">
        <v>112</v>
      </c>
      <c r="G574" s="22" t="s">
        <v>926</v>
      </c>
      <c r="H574" s="22" t="s">
        <v>380</v>
      </c>
      <c r="I574" s="22" t="s">
        <v>4480</v>
      </c>
      <c r="J574" s="22" t="s">
        <v>57</v>
      </c>
      <c r="K574" s="22" t="s">
        <v>248</v>
      </c>
      <c r="L574" s="22" t="s">
        <v>4481</v>
      </c>
      <c r="M574" s="22"/>
      <c r="N574" s="22"/>
      <c r="O574" s="22" t="s">
        <v>359</v>
      </c>
      <c r="P574" s="22"/>
    </row>
    <row r="575" ht="15.75" customHeight="1">
      <c r="A575" s="20" t="s">
        <v>4482</v>
      </c>
      <c r="B575" s="20" t="s">
        <v>4483</v>
      </c>
      <c r="C575" s="20" t="s">
        <v>4484</v>
      </c>
      <c r="D575" s="20" t="s">
        <v>4485</v>
      </c>
      <c r="E575" s="20" t="s">
        <v>4486</v>
      </c>
      <c r="F575" s="20" t="s">
        <v>101</v>
      </c>
      <c r="G575" s="20" t="s">
        <v>4487</v>
      </c>
      <c r="H575" s="20" t="s">
        <v>4488</v>
      </c>
      <c r="I575" s="20" t="s">
        <v>4489</v>
      </c>
      <c r="J575" s="20" t="s">
        <v>57</v>
      </c>
      <c r="K575" s="21" t="s">
        <v>344</v>
      </c>
      <c r="L575" s="21" t="s">
        <v>4490</v>
      </c>
      <c r="M575" s="21"/>
      <c r="N575" s="21"/>
      <c r="O575" s="21"/>
      <c r="P575" s="21"/>
    </row>
    <row r="576" ht="15.75" customHeight="1">
      <c r="A576" s="22" t="s">
        <v>4491</v>
      </c>
      <c r="B576" s="22" t="s">
        <v>4492</v>
      </c>
      <c r="C576" s="22"/>
      <c r="D576" s="22" t="s">
        <v>4493</v>
      </c>
      <c r="E576" s="22" t="s">
        <v>4494</v>
      </c>
      <c r="F576" s="22" t="s">
        <v>219</v>
      </c>
      <c r="G576" s="22" t="s">
        <v>219</v>
      </c>
      <c r="H576" s="22" t="s">
        <v>4495</v>
      </c>
      <c r="I576" s="22" t="s">
        <v>4496</v>
      </c>
      <c r="J576" s="22" t="s">
        <v>57</v>
      </c>
      <c r="K576" s="22" t="s">
        <v>4497</v>
      </c>
      <c r="L576" s="22" t="s">
        <v>567</v>
      </c>
      <c r="M576" s="22"/>
      <c r="N576" s="22"/>
      <c r="O576" s="22" t="s">
        <v>1498</v>
      </c>
      <c r="P576" s="22" t="s">
        <v>107</v>
      </c>
    </row>
    <row r="577" ht="15.75" customHeight="1">
      <c r="A577" s="20" t="s">
        <v>4498</v>
      </c>
      <c r="B577" s="20" t="s">
        <v>4499</v>
      </c>
      <c r="C577" s="20"/>
      <c r="D577" s="20" t="s">
        <v>4500</v>
      </c>
      <c r="E577" s="20" t="s">
        <v>3945</v>
      </c>
      <c r="F577" s="20" t="s">
        <v>352</v>
      </c>
      <c r="G577" s="20" t="s">
        <v>4501</v>
      </c>
      <c r="H577" s="20" t="s">
        <v>4502</v>
      </c>
      <c r="I577" s="20" t="s">
        <v>4503</v>
      </c>
      <c r="J577" s="20" t="s">
        <v>57</v>
      </c>
      <c r="K577" s="21" t="s">
        <v>4504</v>
      </c>
      <c r="L577" s="21" t="s">
        <v>84</v>
      </c>
      <c r="M577" s="21" t="s">
        <v>985</v>
      </c>
      <c r="N577" s="21"/>
      <c r="O577" s="21" t="s">
        <v>73</v>
      </c>
      <c r="P577" s="21"/>
    </row>
    <row r="578" ht="15.75" customHeight="1">
      <c r="A578" s="22" t="s">
        <v>4505</v>
      </c>
      <c r="B578" s="22" t="s">
        <v>4506</v>
      </c>
      <c r="C578" s="22"/>
      <c r="D578" s="22" t="s">
        <v>4507</v>
      </c>
      <c r="E578" s="22" t="s">
        <v>4508</v>
      </c>
      <c r="F578" s="22" t="s">
        <v>378</v>
      </c>
      <c r="G578" s="22" t="s">
        <v>4509</v>
      </c>
      <c r="H578" s="22" t="s">
        <v>4510</v>
      </c>
      <c r="I578" s="22" t="s">
        <v>4511</v>
      </c>
      <c r="J578" s="22" t="s">
        <v>57</v>
      </c>
      <c r="K578" s="22" t="s">
        <v>4512</v>
      </c>
      <c r="L578" s="22" t="s">
        <v>3099</v>
      </c>
      <c r="M578" s="22" t="s">
        <v>1151</v>
      </c>
      <c r="N578" s="22"/>
      <c r="O578" s="22" t="s">
        <v>3170</v>
      </c>
      <c r="P578" s="22"/>
    </row>
    <row r="579" ht="15.75" customHeight="1">
      <c r="A579" s="20" t="s">
        <v>4513</v>
      </c>
      <c r="B579" s="20"/>
      <c r="C579" s="20"/>
      <c r="D579" s="20"/>
      <c r="E579" s="20" t="s">
        <v>4514</v>
      </c>
      <c r="F579" s="20" t="s">
        <v>4515</v>
      </c>
      <c r="G579" s="20" t="s">
        <v>4516</v>
      </c>
      <c r="H579" s="20"/>
      <c r="I579" s="20"/>
      <c r="J579" s="20" t="s">
        <v>57</v>
      </c>
      <c r="K579" s="21" t="s">
        <v>410</v>
      </c>
      <c r="L579" s="21" t="s">
        <v>84</v>
      </c>
      <c r="M579" s="21"/>
      <c r="N579" s="21"/>
      <c r="O579" s="21"/>
      <c r="P579" s="21"/>
    </row>
    <row r="580" ht="15.75" customHeight="1">
      <c r="A580" s="22" t="s">
        <v>4517</v>
      </c>
      <c r="B580" s="22" t="s">
        <v>4518</v>
      </c>
      <c r="C580" s="22" t="s">
        <v>1056</v>
      </c>
      <c r="D580" s="22" t="s">
        <v>4519</v>
      </c>
      <c r="E580" s="22" t="s">
        <v>4254</v>
      </c>
      <c r="F580" s="22" t="s">
        <v>4255</v>
      </c>
      <c r="G580" s="22" t="s">
        <v>4520</v>
      </c>
      <c r="H580" s="22" t="s">
        <v>1130</v>
      </c>
      <c r="I580" s="22" t="s">
        <v>4521</v>
      </c>
      <c r="J580" s="22" t="s">
        <v>57</v>
      </c>
      <c r="K580" s="22" t="s">
        <v>613</v>
      </c>
      <c r="L580" s="22" t="s">
        <v>84</v>
      </c>
      <c r="M580" s="22"/>
      <c r="N580" s="22" t="s">
        <v>4522</v>
      </c>
      <c r="O580" s="22"/>
      <c r="P580" s="22" t="s">
        <v>107</v>
      </c>
    </row>
    <row r="581" ht="15.75" customHeight="1">
      <c r="A581" s="20" t="s">
        <v>4523</v>
      </c>
      <c r="B581" s="20" t="s">
        <v>4524</v>
      </c>
      <c r="C581" s="20" t="s">
        <v>4525</v>
      </c>
      <c r="D581" s="20" t="s">
        <v>4526</v>
      </c>
      <c r="E581" s="20" t="s">
        <v>4527</v>
      </c>
      <c r="F581" s="20" t="s">
        <v>130</v>
      </c>
      <c r="G581" s="20" t="s">
        <v>4528</v>
      </c>
      <c r="H581" s="20" t="s">
        <v>4529</v>
      </c>
      <c r="I581" s="20" t="s">
        <v>4530</v>
      </c>
      <c r="J581" s="20" t="s">
        <v>57</v>
      </c>
      <c r="K581" s="21" t="s">
        <v>4531</v>
      </c>
      <c r="L581" s="21" t="s">
        <v>4532</v>
      </c>
      <c r="M581" s="21" t="s">
        <v>4533</v>
      </c>
      <c r="N581" s="21" t="s">
        <v>4534</v>
      </c>
      <c r="O581" s="21" t="s">
        <v>1167</v>
      </c>
      <c r="P581" s="21"/>
    </row>
    <row r="582" ht="15.75" customHeight="1">
      <c r="A582" s="22" t="s">
        <v>4535</v>
      </c>
      <c r="B582" s="22" t="s">
        <v>4536</v>
      </c>
      <c r="C582" s="22"/>
      <c r="D582" s="22" t="s">
        <v>4537</v>
      </c>
      <c r="E582" s="22" t="s">
        <v>2391</v>
      </c>
      <c r="F582" s="22" t="s">
        <v>101</v>
      </c>
      <c r="G582" s="22" t="s">
        <v>4538</v>
      </c>
      <c r="H582" s="22" t="s">
        <v>4539</v>
      </c>
      <c r="I582" s="22" t="s">
        <v>4540</v>
      </c>
      <c r="J582" s="22" t="s">
        <v>57</v>
      </c>
      <c r="K582" s="22" t="s">
        <v>4541</v>
      </c>
      <c r="L582" s="22" t="s">
        <v>834</v>
      </c>
      <c r="M582" s="22"/>
      <c r="N582" s="22"/>
      <c r="O582" s="22" t="s">
        <v>61</v>
      </c>
      <c r="P582" s="22"/>
    </row>
    <row r="583" ht="15.75" customHeight="1">
      <c r="A583" s="20" t="s">
        <v>4542</v>
      </c>
      <c r="B583" s="20" t="s">
        <v>4543</v>
      </c>
      <c r="C583" s="20"/>
      <c r="D583" s="20" t="s">
        <v>4544</v>
      </c>
      <c r="E583" s="20" t="s">
        <v>4545</v>
      </c>
      <c r="F583" s="20" t="s">
        <v>66</v>
      </c>
      <c r="G583" s="20" t="s">
        <v>4546</v>
      </c>
      <c r="H583" s="20" t="s">
        <v>4547</v>
      </c>
      <c r="I583" s="20" t="s">
        <v>4548</v>
      </c>
      <c r="J583" s="20" t="s">
        <v>57</v>
      </c>
      <c r="K583" s="21" t="s">
        <v>4549</v>
      </c>
      <c r="L583" s="21" t="s">
        <v>84</v>
      </c>
      <c r="M583" s="21" t="s">
        <v>304</v>
      </c>
      <c r="N583" s="21"/>
      <c r="O583" s="21" t="s">
        <v>185</v>
      </c>
      <c r="P583" s="21"/>
    </row>
    <row r="584" ht="15.75" customHeight="1">
      <c r="A584" s="22" t="s">
        <v>4550</v>
      </c>
      <c r="B584" s="22" t="s">
        <v>4551</v>
      </c>
      <c r="C584" s="22"/>
      <c r="D584" s="22" t="s">
        <v>4552</v>
      </c>
      <c r="E584" s="22" t="s">
        <v>4553</v>
      </c>
      <c r="F584" s="22" t="s">
        <v>406</v>
      </c>
      <c r="G584" s="22"/>
      <c r="H584" s="22" t="s">
        <v>4554</v>
      </c>
      <c r="I584" s="22" t="s">
        <v>4555</v>
      </c>
      <c r="J584" s="22" t="s">
        <v>57</v>
      </c>
      <c r="K584" s="22" t="s">
        <v>157</v>
      </c>
      <c r="L584" s="22" t="s">
        <v>4556</v>
      </c>
      <c r="M584" s="22" t="s">
        <v>719</v>
      </c>
      <c r="N584" s="22"/>
      <c r="O584" s="22" t="s">
        <v>648</v>
      </c>
      <c r="P584" s="22"/>
    </row>
    <row r="585" ht="15.75" customHeight="1">
      <c r="A585" s="20" t="s">
        <v>4557</v>
      </c>
      <c r="B585" s="20" t="s">
        <v>4558</v>
      </c>
      <c r="C585" s="20" t="s">
        <v>4559</v>
      </c>
      <c r="D585" s="20" t="s">
        <v>4560</v>
      </c>
      <c r="E585" s="20" t="s">
        <v>4527</v>
      </c>
      <c r="F585" s="20" t="s">
        <v>130</v>
      </c>
      <c r="G585" s="20" t="s">
        <v>4561</v>
      </c>
      <c r="H585" s="20" t="s">
        <v>4562</v>
      </c>
      <c r="I585" s="20" t="s">
        <v>4563</v>
      </c>
      <c r="J585" s="20" t="s">
        <v>57</v>
      </c>
      <c r="K585" s="21" t="s">
        <v>4564</v>
      </c>
      <c r="L585" s="21" t="s">
        <v>4565</v>
      </c>
      <c r="M585" s="21" t="s">
        <v>4566</v>
      </c>
      <c r="N585" s="21"/>
      <c r="O585" s="21" t="s">
        <v>185</v>
      </c>
      <c r="P585" s="21"/>
    </row>
    <row r="586" ht="15.75" customHeight="1">
      <c r="A586" s="22" t="s">
        <v>4567</v>
      </c>
      <c r="B586" s="22" t="s">
        <v>4568</v>
      </c>
      <c r="C586" s="22" t="s">
        <v>4569</v>
      </c>
      <c r="D586" s="22" t="s">
        <v>4570</v>
      </c>
      <c r="E586" s="22" t="s">
        <v>2837</v>
      </c>
      <c r="F586" s="22" t="s">
        <v>580</v>
      </c>
      <c r="G586" s="22" t="s">
        <v>2683</v>
      </c>
      <c r="H586" s="22" t="s">
        <v>4571</v>
      </c>
      <c r="I586" s="22" t="s">
        <v>4572</v>
      </c>
      <c r="J586" s="22" t="s">
        <v>57</v>
      </c>
      <c r="K586" s="22" t="s">
        <v>4573</v>
      </c>
      <c r="L586" s="22" t="s">
        <v>4574</v>
      </c>
      <c r="M586" s="22" t="s">
        <v>225</v>
      </c>
      <c r="N586" s="22"/>
      <c r="O586" s="22" t="s">
        <v>459</v>
      </c>
      <c r="P586" s="22" t="s">
        <v>107</v>
      </c>
    </row>
    <row r="587" ht="15.75" customHeight="1">
      <c r="A587" s="20" t="s">
        <v>4575</v>
      </c>
      <c r="B587" s="20" t="s">
        <v>4576</v>
      </c>
      <c r="C587" s="20" t="s">
        <v>4577</v>
      </c>
      <c r="D587" s="20" t="s">
        <v>4578</v>
      </c>
      <c r="E587" s="20" t="s">
        <v>1163</v>
      </c>
      <c r="F587" s="20" t="s">
        <v>253</v>
      </c>
      <c r="G587" s="20" t="s">
        <v>2897</v>
      </c>
      <c r="H587" s="20" t="s">
        <v>4579</v>
      </c>
      <c r="I587" s="20" t="s">
        <v>4580</v>
      </c>
      <c r="J587" s="20" t="s">
        <v>57</v>
      </c>
      <c r="K587" s="21" t="s">
        <v>604</v>
      </c>
      <c r="L587" s="21" t="s">
        <v>4581</v>
      </c>
      <c r="M587" s="21" t="s">
        <v>294</v>
      </c>
      <c r="N587" s="21"/>
      <c r="O587" s="21" t="s">
        <v>258</v>
      </c>
      <c r="P587" s="21"/>
    </row>
    <row r="588" ht="15.75" customHeight="1">
      <c r="A588" s="22" t="s">
        <v>4582</v>
      </c>
      <c r="B588" s="22" t="s">
        <v>4583</v>
      </c>
      <c r="C588" s="22" t="s">
        <v>4584</v>
      </c>
      <c r="D588" s="22" t="s">
        <v>4585</v>
      </c>
      <c r="E588" s="22" t="s">
        <v>231</v>
      </c>
      <c r="F588" s="22" t="s">
        <v>79</v>
      </c>
      <c r="G588" s="22" t="s">
        <v>1613</v>
      </c>
      <c r="H588" s="22" t="s">
        <v>4586</v>
      </c>
      <c r="I588" s="22" t="s">
        <v>4587</v>
      </c>
      <c r="J588" s="22" t="s">
        <v>57</v>
      </c>
      <c r="K588" s="22" t="s">
        <v>919</v>
      </c>
      <c r="L588" s="22" t="s">
        <v>4588</v>
      </c>
      <c r="M588" s="22" t="s">
        <v>4589</v>
      </c>
      <c r="N588" s="22"/>
      <c r="O588" s="22" t="s">
        <v>459</v>
      </c>
      <c r="P588" s="22"/>
    </row>
    <row r="589" ht="15.75" customHeight="1">
      <c r="A589" s="20" t="s">
        <v>4590</v>
      </c>
      <c r="B589" s="20" t="s">
        <v>4591</v>
      </c>
      <c r="C589" s="20" t="s">
        <v>4592</v>
      </c>
      <c r="D589" s="20" t="s">
        <v>4593</v>
      </c>
      <c r="E589" s="20" t="s">
        <v>4594</v>
      </c>
      <c r="F589" s="20" t="s">
        <v>79</v>
      </c>
      <c r="G589" s="20" t="s">
        <v>4595</v>
      </c>
      <c r="H589" s="20" t="s">
        <v>4596</v>
      </c>
      <c r="I589" s="20" t="s">
        <v>4597</v>
      </c>
      <c r="J589" s="20" t="s">
        <v>57</v>
      </c>
      <c r="K589" s="21" t="s">
        <v>4598</v>
      </c>
      <c r="L589" s="21" t="s">
        <v>4599</v>
      </c>
      <c r="M589" s="21" t="s">
        <v>710</v>
      </c>
      <c r="N589" s="21"/>
      <c r="O589" s="21" t="s">
        <v>1250</v>
      </c>
      <c r="P589" s="21"/>
    </row>
    <row r="590" ht="15.75" customHeight="1">
      <c r="A590" s="22" t="s">
        <v>4600</v>
      </c>
      <c r="B590" s="22" t="s">
        <v>4601</v>
      </c>
      <c r="C590" s="22"/>
      <c r="D590" s="22" t="s">
        <v>4602</v>
      </c>
      <c r="E590" s="22" t="s">
        <v>926</v>
      </c>
      <c r="F590" s="22" t="s">
        <v>112</v>
      </c>
      <c r="G590" s="22" t="s">
        <v>4603</v>
      </c>
      <c r="H590" s="22" t="s">
        <v>4604</v>
      </c>
      <c r="I590" s="22"/>
      <c r="J590" s="22" t="s">
        <v>57</v>
      </c>
      <c r="K590" s="22" t="s">
        <v>4605</v>
      </c>
      <c r="L590" s="22" t="s">
        <v>84</v>
      </c>
      <c r="M590" s="22" t="s">
        <v>941</v>
      </c>
      <c r="N590" s="22"/>
      <c r="O590" s="22" t="s">
        <v>159</v>
      </c>
      <c r="P590" s="22"/>
    </row>
    <row r="591" ht="15.75" customHeight="1">
      <c r="A591" s="20" t="s">
        <v>4606</v>
      </c>
      <c r="B591" s="20" t="s">
        <v>2340</v>
      </c>
      <c r="C591" s="20" t="s">
        <v>2341</v>
      </c>
      <c r="D591" s="20" t="s">
        <v>4607</v>
      </c>
      <c r="E591" s="20" t="s">
        <v>4608</v>
      </c>
      <c r="F591" s="20" t="s">
        <v>101</v>
      </c>
      <c r="G591" s="20" t="s">
        <v>4609</v>
      </c>
      <c r="H591" s="20" t="s">
        <v>1846</v>
      </c>
      <c r="I591" s="20" t="s">
        <v>4610</v>
      </c>
      <c r="J591" s="20" t="s">
        <v>57</v>
      </c>
      <c r="K591" s="21" t="s">
        <v>2345</v>
      </c>
      <c r="L591" s="21" t="s">
        <v>84</v>
      </c>
      <c r="M591" s="21" t="s">
        <v>710</v>
      </c>
      <c r="N591" s="21"/>
      <c r="O591" s="21" t="s">
        <v>258</v>
      </c>
      <c r="P591" s="21" t="s">
        <v>107</v>
      </c>
    </row>
    <row r="592" ht="15.75" customHeight="1">
      <c r="A592" s="22" t="s">
        <v>4611</v>
      </c>
      <c r="B592" s="22" t="s">
        <v>4612</v>
      </c>
      <c r="C592" s="22"/>
      <c r="D592" s="22" t="s">
        <v>4613</v>
      </c>
      <c r="E592" s="22" t="s">
        <v>2114</v>
      </c>
      <c r="F592" s="22" t="s">
        <v>101</v>
      </c>
      <c r="G592" s="22"/>
      <c r="H592" s="22"/>
      <c r="I592" s="22"/>
      <c r="J592" s="22" t="s">
        <v>57</v>
      </c>
      <c r="K592" s="22" t="s">
        <v>248</v>
      </c>
      <c r="L592" s="22" t="s">
        <v>84</v>
      </c>
      <c r="M592" s="22"/>
      <c r="N592" s="22"/>
      <c r="O592" s="22"/>
      <c r="P592" s="22"/>
    </row>
    <row r="593" ht="15.75" customHeight="1">
      <c r="A593" s="20" t="s">
        <v>4614</v>
      </c>
      <c r="B593" s="20" t="s">
        <v>4615</v>
      </c>
      <c r="C593" s="20"/>
      <c r="D593" s="20" t="s">
        <v>4616</v>
      </c>
      <c r="E593" s="20" t="s">
        <v>4617</v>
      </c>
      <c r="F593" s="20" t="s">
        <v>112</v>
      </c>
      <c r="G593" s="20" t="s">
        <v>4618</v>
      </c>
      <c r="H593" s="20" t="s">
        <v>4619</v>
      </c>
      <c r="I593" s="20" t="s">
        <v>4620</v>
      </c>
      <c r="J593" s="20" t="s">
        <v>57</v>
      </c>
      <c r="K593" s="21" t="s">
        <v>4621</v>
      </c>
      <c r="L593" s="21" t="s">
        <v>84</v>
      </c>
      <c r="M593" s="21" t="s">
        <v>710</v>
      </c>
      <c r="N593" s="21"/>
      <c r="O593" s="21" t="s">
        <v>269</v>
      </c>
      <c r="P593" s="21"/>
    </row>
    <row r="594" ht="15.75" customHeight="1">
      <c r="A594" s="22" t="s">
        <v>4622</v>
      </c>
      <c r="B594" s="22" t="s">
        <v>4623</v>
      </c>
      <c r="C594" s="22" t="s">
        <v>4624</v>
      </c>
      <c r="D594" s="22" t="s">
        <v>4625</v>
      </c>
      <c r="E594" s="22" t="s">
        <v>813</v>
      </c>
      <c r="F594" s="22" t="s">
        <v>101</v>
      </c>
      <c r="G594" s="22" t="s">
        <v>4626</v>
      </c>
      <c r="H594" s="22" t="s">
        <v>4627</v>
      </c>
      <c r="I594" s="22" t="s">
        <v>4628</v>
      </c>
      <c r="J594" s="22" t="s">
        <v>57</v>
      </c>
      <c r="K594" s="22" t="s">
        <v>248</v>
      </c>
      <c r="L594" s="22" t="s">
        <v>2417</v>
      </c>
      <c r="M594" s="22"/>
      <c r="N594" s="22"/>
      <c r="O594" s="22" t="s">
        <v>61</v>
      </c>
      <c r="P594" s="22" t="s">
        <v>107</v>
      </c>
    </row>
    <row r="595" ht="15.75" customHeight="1">
      <c r="A595" s="20" t="s">
        <v>4629</v>
      </c>
      <c r="B595" s="20"/>
      <c r="C595" s="20"/>
      <c r="D595" s="20" t="s">
        <v>4630</v>
      </c>
      <c r="E595" s="20" t="s">
        <v>231</v>
      </c>
      <c r="F595" s="20" t="s">
        <v>79</v>
      </c>
      <c r="G595" s="20" t="s">
        <v>231</v>
      </c>
      <c r="H595" s="20" t="s">
        <v>4631</v>
      </c>
      <c r="I595" s="20" t="s">
        <v>4632</v>
      </c>
      <c r="J595" s="20" t="s">
        <v>57</v>
      </c>
      <c r="K595" s="21" t="s">
        <v>4633</v>
      </c>
      <c r="L595" s="21" t="s">
        <v>826</v>
      </c>
      <c r="M595" s="21" t="s">
        <v>985</v>
      </c>
      <c r="N595" s="21"/>
      <c r="O595" s="21" t="s">
        <v>269</v>
      </c>
      <c r="P595" s="21"/>
    </row>
    <row r="596" ht="15.75" customHeight="1">
      <c r="A596" s="22" t="s">
        <v>4634</v>
      </c>
      <c r="B596" s="22" t="s">
        <v>4635</v>
      </c>
      <c r="C596" s="22"/>
      <c r="D596" s="22" t="s">
        <v>4636</v>
      </c>
      <c r="E596" s="22" t="s">
        <v>129</v>
      </c>
      <c r="F596" s="22" t="s">
        <v>130</v>
      </c>
      <c r="G596" s="22" t="s">
        <v>4637</v>
      </c>
      <c r="H596" s="22" t="s">
        <v>4638</v>
      </c>
      <c r="I596" s="22" t="s">
        <v>4639</v>
      </c>
      <c r="J596" s="22" t="s">
        <v>57</v>
      </c>
      <c r="K596" s="22" t="s">
        <v>1372</v>
      </c>
      <c r="L596" s="22" t="s">
        <v>762</v>
      </c>
      <c r="M596" s="22" t="s">
        <v>304</v>
      </c>
      <c r="N596" s="22"/>
      <c r="O596" s="22" t="s">
        <v>137</v>
      </c>
      <c r="P596" s="22"/>
    </row>
    <row r="597" ht="15.75" customHeight="1">
      <c r="A597" s="20" t="s">
        <v>4640</v>
      </c>
      <c r="B597" s="20" t="s">
        <v>4641</v>
      </c>
      <c r="C597" s="20" t="s">
        <v>4642</v>
      </c>
      <c r="D597" s="20" t="s">
        <v>4643</v>
      </c>
      <c r="E597" s="20" t="s">
        <v>4644</v>
      </c>
      <c r="F597" s="20" t="s">
        <v>363</v>
      </c>
      <c r="G597" s="20" t="s">
        <v>4645</v>
      </c>
      <c r="H597" s="20" t="s">
        <v>4646</v>
      </c>
      <c r="I597" s="20" t="s">
        <v>4647</v>
      </c>
      <c r="J597" s="20" t="s">
        <v>57</v>
      </c>
      <c r="K597" s="21" t="s">
        <v>157</v>
      </c>
      <c r="L597" s="21" t="s">
        <v>4648</v>
      </c>
      <c r="M597" s="21" t="s">
        <v>85</v>
      </c>
      <c r="N597" s="21"/>
      <c r="O597" s="21" t="s">
        <v>501</v>
      </c>
      <c r="P597" s="21"/>
    </row>
    <row r="598" ht="15.75" customHeight="1">
      <c r="A598" s="22" t="s">
        <v>4649</v>
      </c>
      <c r="B598" s="22" t="s">
        <v>997</v>
      </c>
      <c r="C598" s="22" t="s">
        <v>4650</v>
      </c>
      <c r="D598" s="22" t="s">
        <v>4651</v>
      </c>
      <c r="E598" s="22" t="s">
        <v>4652</v>
      </c>
      <c r="F598" s="22" t="s">
        <v>101</v>
      </c>
      <c r="G598" s="22" t="s">
        <v>4653</v>
      </c>
      <c r="H598" s="22" t="s">
        <v>4654</v>
      </c>
      <c r="I598" s="22" t="s">
        <v>4655</v>
      </c>
      <c r="J598" s="22" t="s">
        <v>57</v>
      </c>
      <c r="K598" s="22" t="s">
        <v>4656</v>
      </c>
      <c r="L598" s="22" t="s">
        <v>84</v>
      </c>
      <c r="M598" s="22" t="s">
        <v>304</v>
      </c>
      <c r="N598" s="22"/>
      <c r="O598" s="22" t="s">
        <v>213</v>
      </c>
      <c r="P598" s="22" t="s">
        <v>107</v>
      </c>
    </row>
    <row r="599" ht="15.75" customHeight="1">
      <c r="A599" s="20" t="s">
        <v>4657</v>
      </c>
      <c r="B599" s="20" t="s">
        <v>4658</v>
      </c>
      <c r="C599" s="20"/>
      <c r="D599" s="20"/>
      <c r="E599" s="20" t="s">
        <v>4659</v>
      </c>
      <c r="F599" s="20" t="s">
        <v>112</v>
      </c>
      <c r="G599" s="20" t="s">
        <v>4660</v>
      </c>
      <c r="H599" s="20" t="s">
        <v>4661</v>
      </c>
      <c r="I599" s="20" t="s">
        <v>4662</v>
      </c>
      <c r="J599" s="20" t="s">
        <v>57</v>
      </c>
      <c r="K599" s="21" t="s">
        <v>4663</v>
      </c>
      <c r="L599" s="21" t="s">
        <v>4664</v>
      </c>
      <c r="M599" s="21" t="s">
        <v>278</v>
      </c>
      <c r="N599" s="21"/>
      <c r="O599" s="21" t="s">
        <v>269</v>
      </c>
      <c r="P599" s="21"/>
    </row>
    <row r="600" ht="15.75" customHeight="1">
      <c r="A600" s="22" t="s">
        <v>4665</v>
      </c>
      <c r="B600" s="22" t="s">
        <v>4666</v>
      </c>
      <c r="C600" s="22"/>
      <c r="D600" s="22" t="s">
        <v>4667</v>
      </c>
      <c r="E600" s="22" t="s">
        <v>4668</v>
      </c>
      <c r="F600" s="22" t="s">
        <v>112</v>
      </c>
      <c r="G600" s="22" t="s">
        <v>4668</v>
      </c>
      <c r="H600" s="22" t="s">
        <v>4669</v>
      </c>
      <c r="I600" s="22" t="s">
        <v>4670</v>
      </c>
      <c r="J600" s="22" t="s">
        <v>57</v>
      </c>
      <c r="K600" s="22" t="s">
        <v>4671</v>
      </c>
      <c r="L600" s="22" t="s">
        <v>4672</v>
      </c>
      <c r="M600" s="22" t="s">
        <v>3446</v>
      </c>
      <c r="N600" s="22"/>
      <c r="O600" s="22" t="s">
        <v>159</v>
      </c>
      <c r="P600" s="22"/>
    </row>
    <row r="601" ht="15.75" customHeight="1">
      <c r="A601" s="20" t="s">
        <v>4673</v>
      </c>
      <c r="B601" s="20" t="s">
        <v>4674</v>
      </c>
      <c r="C601" s="20" t="s">
        <v>4675</v>
      </c>
      <c r="D601" s="20" t="s">
        <v>4676</v>
      </c>
      <c r="E601" s="20" t="s">
        <v>4677</v>
      </c>
      <c r="F601" s="20" t="s">
        <v>112</v>
      </c>
      <c r="G601" s="20" t="s">
        <v>4678</v>
      </c>
      <c r="H601" s="20" t="s">
        <v>4679</v>
      </c>
      <c r="I601" s="20" t="s">
        <v>4680</v>
      </c>
      <c r="J601" s="20" t="s">
        <v>57</v>
      </c>
      <c r="K601" s="21" t="s">
        <v>4681</v>
      </c>
      <c r="L601" s="21" t="s">
        <v>84</v>
      </c>
      <c r="M601" s="21" t="s">
        <v>304</v>
      </c>
      <c r="N601" s="21"/>
      <c r="O601" s="21" t="s">
        <v>117</v>
      </c>
      <c r="P601" s="21"/>
    </row>
    <row r="602" ht="15.75" customHeight="1">
      <c r="A602" s="22" t="s">
        <v>4682</v>
      </c>
      <c r="B602" s="22" t="s">
        <v>4683</v>
      </c>
      <c r="C602" s="22" t="s">
        <v>4684</v>
      </c>
      <c r="D602" s="22" t="s">
        <v>4685</v>
      </c>
      <c r="E602" s="22" t="s">
        <v>2162</v>
      </c>
      <c r="F602" s="22" t="s">
        <v>2163</v>
      </c>
      <c r="G602" s="22"/>
      <c r="H602" s="22" t="s">
        <v>4686</v>
      </c>
      <c r="I602" s="22" t="s">
        <v>4687</v>
      </c>
      <c r="J602" s="22" t="s">
        <v>57</v>
      </c>
      <c r="K602" s="22" t="s">
        <v>4688</v>
      </c>
      <c r="L602" s="22" t="s">
        <v>657</v>
      </c>
      <c r="M602" s="22" t="s">
        <v>4689</v>
      </c>
      <c r="N602" s="22"/>
      <c r="O602" s="22" t="s">
        <v>495</v>
      </c>
      <c r="P602" s="22"/>
    </row>
    <row r="603" ht="15.75" customHeight="1">
      <c r="A603" s="20" t="s">
        <v>4690</v>
      </c>
      <c r="B603" s="20" t="s">
        <v>4691</v>
      </c>
      <c r="C603" s="20"/>
      <c r="D603" s="20" t="s">
        <v>4692</v>
      </c>
      <c r="E603" s="20" t="s">
        <v>55</v>
      </c>
      <c r="F603" s="20" t="s">
        <v>91</v>
      </c>
      <c r="G603" s="20" t="s">
        <v>4693</v>
      </c>
      <c r="H603" s="20" t="s">
        <v>4694</v>
      </c>
      <c r="I603" s="20" t="s">
        <v>4695</v>
      </c>
      <c r="J603" s="20" t="s">
        <v>57</v>
      </c>
      <c r="K603" s="21" t="s">
        <v>663</v>
      </c>
      <c r="L603" s="21" t="s">
        <v>84</v>
      </c>
      <c r="M603" s="21" t="s">
        <v>710</v>
      </c>
      <c r="N603" s="21"/>
      <c r="O603" s="21" t="s">
        <v>137</v>
      </c>
      <c r="P603" s="21"/>
    </row>
    <row r="604" ht="15.75" customHeight="1">
      <c r="A604" s="22" t="s">
        <v>4696</v>
      </c>
      <c r="B604" s="22" t="s">
        <v>4697</v>
      </c>
      <c r="C604" s="22"/>
      <c r="D604" s="22" t="s">
        <v>4698</v>
      </c>
      <c r="E604" s="22" t="s">
        <v>1944</v>
      </c>
      <c r="F604" s="22" t="s">
        <v>219</v>
      </c>
      <c r="G604" s="22" t="s">
        <v>4699</v>
      </c>
      <c r="H604" s="22"/>
      <c r="I604" s="22" t="s">
        <v>4700</v>
      </c>
      <c r="J604" s="22" t="s">
        <v>57</v>
      </c>
      <c r="K604" s="22" t="s">
        <v>430</v>
      </c>
      <c r="L604" s="22" t="s">
        <v>84</v>
      </c>
      <c r="M604" s="22"/>
      <c r="N604" s="22"/>
      <c r="O604" s="22" t="s">
        <v>159</v>
      </c>
      <c r="P604" s="22"/>
    </row>
    <row r="605" ht="15.75" customHeight="1">
      <c r="A605" s="20" t="s">
        <v>4701</v>
      </c>
      <c r="B605" s="20" t="s">
        <v>4702</v>
      </c>
      <c r="C605" s="20"/>
      <c r="D605" s="20" t="s">
        <v>4703</v>
      </c>
      <c r="E605" s="20" t="s">
        <v>4704</v>
      </c>
      <c r="F605" s="20" t="s">
        <v>418</v>
      </c>
      <c r="G605" s="20" t="s">
        <v>4705</v>
      </c>
      <c r="H605" s="20" t="s">
        <v>4706</v>
      </c>
      <c r="I605" s="20" t="s">
        <v>4707</v>
      </c>
      <c r="J605" s="20" t="s">
        <v>57</v>
      </c>
      <c r="K605" s="21" t="s">
        <v>430</v>
      </c>
      <c r="L605" s="21" t="s">
        <v>4708</v>
      </c>
      <c r="M605" s="21" t="s">
        <v>278</v>
      </c>
      <c r="N605" s="21"/>
      <c r="O605" s="21" t="s">
        <v>159</v>
      </c>
      <c r="P605" s="21"/>
    </row>
    <row r="606" ht="15.75" customHeight="1">
      <c r="A606" s="22" t="s">
        <v>4709</v>
      </c>
      <c r="B606" s="22" t="s">
        <v>4710</v>
      </c>
      <c r="C606" s="22" t="s">
        <v>4711</v>
      </c>
      <c r="D606" s="22" t="s">
        <v>4712</v>
      </c>
      <c r="E606" s="22" t="s">
        <v>231</v>
      </c>
      <c r="F606" s="22" t="s">
        <v>79</v>
      </c>
      <c r="G606" s="22" t="s">
        <v>4713</v>
      </c>
      <c r="H606" s="22" t="s">
        <v>4714</v>
      </c>
      <c r="I606" s="22" t="s">
        <v>4715</v>
      </c>
      <c r="J606" s="22" t="s">
        <v>57</v>
      </c>
      <c r="K606" s="22" t="s">
        <v>4716</v>
      </c>
      <c r="L606" s="22" t="s">
        <v>3883</v>
      </c>
      <c r="M606" s="22" t="s">
        <v>4717</v>
      </c>
      <c r="N606" s="22"/>
      <c r="O606" s="22" t="s">
        <v>1167</v>
      </c>
      <c r="P606" s="22"/>
    </row>
    <row r="607" ht="15.75" customHeight="1">
      <c r="A607" s="20" t="s">
        <v>4718</v>
      </c>
      <c r="B607" s="20" t="s">
        <v>4719</v>
      </c>
      <c r="C607" s="20" t="s">
        <v>4720</v>
      </c>
      <c r="D607" s="20" t="s">
        <v>4721</v>
      </c>
      <c r="E607" s="20" t="s">
        <v>4722</v>
      </c>
      <c r="F607" s="20" t="s">
        <v>475</v>
      </c>
      <c r="G607" s="20" t="s">
        <v>4723</v>
      </c>
      <c r="H607" s="20" t="s">
        <v>4724</v>
      </c>
      <c r="I607" s="20" t="s">
        <v>4725</v>
      </c>
      <c r="J607" s="20" t="s">
        <v>57</v>
      </c>
      <c r="K607" s="21" t="s">
        <v>4726</v>
      </c>
      <c r="L607" s="21" t="s">
        <v>2139</v>
      </c>
      <c r="M607" s="21" t="s">
        <v>304</v>
      </c>
      <c r="N607" s="21"/>
      <c r="O607" s="21" t="s">
        <v>495</v>
      </c>
      <c r="P607" s="21"/>
    </row>
    <row r="608" ht="15.75" customHeight="1">
      <c r="A608" s="22" t="s">
        <v>4727</v>
      </c>
      <c r="B608" s="22" t="s">
        <v>4728</v>
      </c>
      <c r="C608" s="22" t="s">
        <v>4729</v>
      </c>
      <c r="D608" s="22" t="s">
        <v>4730</v>
      </c>
      <c r="E608" s="22" t="s">
        <v>4731</v>
      </c>
      <c r="F608" s="22" t="s">
        <v>363</v>
      </c>
      <c r="G608" s="22" t="s">
        <v>4732</v>
      </c>
      <c r="H608" s="22" t="s">
        <v>4733</v>
      </c>
      <c r="I608" s="22" t="s">
        <v>4734</v>
      </c>
      <c r="J608" s="22" t="s">
        <v>57</v>
      </c>
      <c r="K608" s="22" t="s">
        <v>4735</v>
      </c>
      <c r="L608" s="22" t="s">
        <v>4736</v>
      </c>
      <c r="M608" s="22" t="s">
        <v>4737</v>
      </c>
      <c r="N608" s="22"/>
      <c r="O608" s="22" t="s">
        <v>1250</v>
      </c>
      <c r="P608" s="22"/>
    </row>
    <row r="609" ht="15.75" customHeight="1">
      <c r="A609" s="20" t="s">
        <v>4738</v>
      </c>
      <c r="B609" s="20" t="s">
        <v>4739</v>
      </c>
      <c r="C609" s="20"/>
      <c r="D609" s="20" t="s">
        <v>4740</v>
      </c>
      <c r="E609" s="20" t="s">
        <v>4741</v>
      </c>
      <c r="F609" s="20" t="s">
        <v>112</v>
      </c>
      <c r="G609" s="20" t="s">
        <v>4742</v>
      </c>
      <c r="H609" s="20" t="s">
        <v>4743</v>
      </c>
      <c r="I609" s="20" t="s">
        <v>4744</v>
      </c>
      <c r="J609" s="20" t="s">
        <v>57</v>
      </c>
      <c r="K609" s="21" t="s">
        <v>4745</v>
      </c>
      <c r="L609" s="21" t="s">
        <v>4746</v>
      </c>
      <c r="M609" s="21" t="s">
        <v>4747</v>
      </c>
      <c r="N609" s="21"/>
      <c r="O609" s="21" t="s">
        <v>117</v>
      </c>
      <c r="P609" s="21" t="s">
        <v>4748</v>
      </c>
    </row>
    <row r="610" ht="15.75" customHeight="1">
      <c r="A610" s="22" t="s">
        <v>4749</v>
      </c>
      <c r="B610" s="22" t="s">
        <v>4750</v>
      </c>
      <c r="C610" s="22" t="s">
        <v>4751</v>
      </c>
      <c r="D610" s="22" t="s">
        <v>4752</v>
      </c>
      <c r="E610" s="22" t="s">
        <v>129</v>
      </c>
      <c r="F610" s="22" t="s">
        <v>130</v>
      </c>
      <c r="G610" s="22" t="s">
        <v>4753</v>
      </c>
      <c r="H610" s="22" t="s">
        <v>4754</v>
      </c>
      <c r="I610" s="22" t="s">
        <v>4755</v>
      </c>
      <c r="J610" s="22" t="s">
        <v>57</v>
      </c>
      <c r="K610" s="22" t="s">
        <v>430</v>
      </c>
      <c r="L610" s="22" t="s">
        <v>4756</v>
      </c>
      <c r="M610" s="22" t="s">
        <v>1608</v>
      </c>
      <c r="N610" s="22"/>
      <c r="O610" s="22" t="s">
        <v>73</v>
      </c>
      <c r="P610" s="22"/>
    </row>
    <row r="611" ht="15.75" customHeight="1">
      <c r="A611" s="20" t="s">
        <v>4757</v>
      </c>
      <c r="B611" s="20" t="s">
        <v>4758</v>
      </c>
      <c r="C611" s="20" t="s">
        <v>4759</v>
      </c>
      <c r="D611" s="20" t="s">
        <v>4760</v>
      </c>
      <c r="E611" s="20" t="s">
        <v>4761</v>
      </c>
      <c r="F611" s="20" t="s">
        <v>79</v>
      </c>
      <c r="G611" s="20" t="s">
        <v>4762</v>
      </c>
      <c r="H611" s="20" t="s">
        <v>4763</v>
      </c>
      <c r="I611" s="20"/>
      <c r="J611" s="20" t="s">
        <v>57</v>
      </c>
      <c r="K611" s="21" t="s">
        <v>1322</v>
      </c>
      <c r="L611" s="21" t="s">
        <v>4764</v>
      </c>
      <c r="M611" s="21" t="s">
        <v>72</v>
      </c>
      <c r="N611" s="21" t="s">
        <v>4765</v>
      </c>
      <c r="O611" s="21" t="s">
        <v>258</v>
      </c>
      <c r="P611" s="21"/>
    </row>
    <row r="612" ht="15.75" customHeight="1">
      <c r="A612" s="22" t="s">
        <v>4766</v>
      </c>
      <c r="B612" s="22" t="s">
        <v>4767</v>
      </c>
      <c r="C612" s="22" t="s">
        <v>4768</v>
      </c>
      <c r="D612" s="22" t="s">
        <v>4769</v>
      </c>
      <c r="E612" s="22" t="s">
        <v>4770</v>
      </c>
      <c r="F612" s="22" t="s">
        <v>378</v>
      </c>
      <c r="G612" s="22" t="s">
        <v>220</v>
      </c>
      <c r="H612" s="22" t="s">
        <v>4771</v>
      </c>
      <c r="I612" s="22" t="s">
        <v>4772</v>
      </c>
      <c r="J612" s="22" t="s">
        <v>57</v>
      </c>
      <c r="K612" s="22" t="s">
        <v>4773</v>
      </c>
      <c r="L612" s="22" t="s">
        <v>4774</v>
      </c>
      <c r="M612" s="22"/>
      <c r="N612" s="22"/>
      <c r="O612" s="22" t="s">
        <v>258</v>
      </c>
      <c r="P612" s="22"/>
    </row>
    <row r="613" ht="15.75" customHeight="1">
      <c r="A613" s="20" t="s">
        <v>4775</v>
      </c>
      <c r="B613" s="20" t="s">
        <v>4776</v>
      </c>
      <c r="C613" s="20" t="s">
        <v>3264</v>
      </c>
      <c r="D613" s="20" t="s">
        <v>4777</v>
      </c>
      <c r="E613" s="20" t="s">
        <v>395</v>
      </c>
      <c r="F613" s="20" t="s">
        <v>66</v>
      </c>
      <c r="G613" s="20" t="s">
        <v>4778</v>
      </c>
      <c r="H613" s="20" t="s">
        <v>3267</v>
      </c>
      <c r="I613" s="20" t="s">
        <v>4779</v>
      </c>
      <c r="J613" s="20" t="s">
        <v>57</v>
      </c>
      <c r="K613" s="21" t="s">
        <v>1761</v>
      </c>
      <c r="L613" s="21" t="s">
        <v>2378</v>
      </c>
      <c r="M613" s="21"/>
      <c r="N613" s="21" t="s">
        <v>3269</v>
      </c>
      <c r="O613" s="21"/>
      <c r="P613" s="21"/>
    </row>
    <row r="614" ht="15.75" customHeight="1">
      <c r="A614" s="22" t="s">
        <v>4780</v>
      </c>
      <c r="B614" s="22" t="s">
        <v>4781</v>
      </c>
      <c r="C614" s="22"/>
      <c r="D614" s="22" t="s">
        <v>4782</v>
      </c>
      <c r="E614" s="22" t="s">
        <v>813</v>
      </c>
      <c r="F614" s="22" t="s">
        <v>101</v>
      </c>
      <c r="G614" s="22" t="s">
        <v>813</v>
      </c>
      <c r="H614" s="22" t="s">
        <v>4783</v>
      </c>
      <c r="I614" s="22" t="s">
        <v>4784</v>
      </c>
      <c r="J614" s="22" t="s">
        <v>57</v>
      </c>
      <c r="K614" s="22" t="s">
        <v>4785</v>
      </c>
      <c r="L614" s="22" t="s">
        <v>84</v>
      </c>
      <c r="M614" s="22"/>
      <c r="N614" s="22"/>
      <c r="O614" s="22" t="s">
        <v>258</v>
      </c>
      <c r="P614" s="22"/>
    </row>
    <row r="615" ht="15.75" customHeight="1">
      <c r="A615" s="20" t="s">
        <v>4786</v>
      </c>
      <c r="B615" s="20" t="s">
        <v>4787</v>
      </c>
      <c r="C615" s="20" t="s">
        <v>4788</v>
      </c>
      <c r="D615" s="20" t="s">
        <v>4789</v>
      </c>
      <c r="E615" s="20" t="s">
        <v>55</v>
      </c>
      <c r="F615" s="20" t="s">
        <v>91</v>
      </c>
      <c r="G615" s="20" t="s">
        <v>4790</v>
      </c>
      <c r="H615" s="20"/>
      <c r="I615" s="20" t="s">
        <v>4791</v>
      </c>
      <c r="J615" s="20" t="s">
        <v>57</v>
      </c>
      <c r="K615" s="21" t="s">
        <v>430</v>
      </c>
      <c r="L615" s="21" t="s">
        <v>4792</v>
      </c>
      <c r="M615" s="21"/>
      <c r="N615" s="21"/>
      <c r="O615" s="21" t="s">
        <v>258</v>
      </c>
      <c r="P615" s="21"/>
    </row>
    <row r="616" ht="15.75" customHeight="1">
      <c r="A616" s="22" t="s">
        <v>4793</v>
      </c>
      <c r="B616" s="22" t="s">
        <v>4794</v>
      </c>
      <c r="C616" s="22" t="s">
        <v>4795</v>
      </c>
      <c r="D616" s="22" t="s">
        <v>4796</v>
      </c>
      <c r="E616" s="22" t="s">
        <v>386</v>
      </c>
      <c r="F616" s="22" t="s">
        <v>101</v>
      </c>
      <c r="G616" s="22" t="s">
        <v>4797</v>
      </c>
      <c r="H616" s="22" t="s">
        <v>4798</v>
      </c>
      <c r="I616" s="22" t="s">
        <v>4799</v>
      </c>
      <c r="J616" s="22" t="s">
        <v>57</v>
      </c>
      <c r="K616" s="22" t="s">
        <v>4800</v>
      </c>
      <c r="L616" s="22" t="s">
        <v>84</v>
      </c>
      <c r="M616" s="22" t="s">
        <v>985</v>
      </c>
      <c r="N616" s="22"/>
      <c r="O616" s="22" t="s">
        <v>359</v>
      </c>
      <c r="P616" s="22"/>
    </row>
    <row r="617" ht="15.75" customHeight="1">
      <c r="A617" s="20" t="s">
        <v>4801</v>
      </c>
      <c r="B617" s="20" t="s">
        <v>4802</v>
      </c>
      <c r="C617" s="20"/>
      <c r="D617" s="20" t="s">
        <v>4803</v>
      </c>
      <c r="E617" s="20" t="s">
        <v>2606</v>
      </c>
      <c r="F617" s="20" t="s">
        <v>91</v>
      </c>
      <c r="G617" s="20" t="s">
        <v>4804</v>
      </c>
      <c r="H617" s="20" t="s">
        <v>4805</v>
      </c>
      <c r="I617" s="20" t="s">
        <v>4806</v>
      </c>
      <c r="J617" s="20" t="s">
        <v>57</v>
      </c>
      <c r="K617" s="21" t="s">
        <v>4807</v>
      </c>
      <c r="L617" s="21" t="s">
        <v>4808</v>
      </c>
      <c r="M617" s="21" t="s">
        <v>541</v>
      </c>
      <c r="N617" s="21"/>
      <c r="O617" s="21" t="s">
        <v>258</v>
      </c>
      <c r="P617" s="21"/>
    </row>
    <row r="618" ht="15.75" customHeight="1">
      <c r="A618" s="22" t="s">
        <v>4809</v>
      </c>
      <c r="B618" s="22" t="s">
        <v>4810</v>
      </c>
      <c r="C618" s="22" t="s">
        <v>4811</v>
      </c>
      <c r="D618" s="22" t="s">
        <v>4812</v>
      </c>
      <c r="E618" s="22" t="s">
        <v>813</v>
      </c>
      <c r="F618" s="22" t="s">
        <v>101</v>
      </c>
      <c r="G618" s="22" t="s">
        <v>4813</v>
      </c>
      <c r="H618" s="22" t="s">
        <v>4814</v>
      </c>
      <c r="I618" s="22" t="s">
        <v>4815</v>
      </c>
      <c r="J618" s="22" t="s">
        <v>57</v>
      </c>
      <c r="K618" s="22" t="s">
        <v>105</v>
      </c>
      <c r="L618" s="22" t="s">
        <v>84</v>
      </c>
      <c r="M618" s="22"/>
      <c r="N618" s="22"/>
      <c r="O618" s="22"/>
      <c r="P618" s="22"/>
    </row>
    <row r="619" ht="15.75" customHeight="1">
      <c r="A619" s="20" t="s">
        <v>4816</v>
      </c>
      <c r="B619" s="20" t="s">
        <v>4817</v>
      </c>
      <c r="C619" s="20"/>
      <c r="D619" s="20" t="s">
        <v>4818</v>
      </c>
      <c r="E619" s="20" t="s">
        <v>1612</v>
      </c>
      <c r="F619" s="20" t="s">
        <v>130</v>
      </c>
      <c r="G619" s="20" t="s">
        <v>1612</v>
      </c>
      <c r="H619" s="20" t="s">
        <v>4819</v>
      </c>
      <c r="I619" s="20" t="s">
        <v>4820</v>
      </c>
      <c r="J619" s="20" t="s">
        <v>57</v>
      </c>
      <c r="K619" s="21" t="s">
        <v>4821</v>
      </c>
      <c r="L619" s="21" t="s">
        <v>4822</v>
      </c>
      <c r="M619" s="21" t="s">
        <v>4276</v>
      </c>
      <c r="N619" s="21"/>
      <c r="O619" s="21" t="s">
        <v>269</v>
      </c>
      <c r="P619" s="21"/>
    </row>
    <row r="620" ht="15.75" customHeight="1">
      <c r="A620" s="22" t="s">
        <v>4823</v>
      </c>
      <c r="B620" s="22" t="s">
        <v>4824</v>
      </c>
      <c r="C620" s="22" t="s">
        <v>4825</v>
      </c>
      <c r="D620" s="22" t="s">
        <v>4826</v>
      </c>
      <c r="E620" s="22" t="s">
        <v>4827</v>
      </c>
      <c r="F620" s="22" t="s">
        <v>101</v>
      </c>
      <c r="G620" s="22" t="s">
        <v>4828</v>
      </c>
      <c r="H620" s="22" t="s">
        <v>4829</v>
      </c>
      <c r="I620" s="22" t="s">
        <v>4830</v>
      </c>
      <c r="J620" s="22" t="s">
        <v>57</v>
      </c>
      <c r="K620" s="22" t="s">
        <v>4831</v>
      </c>
      <c r="L620" s="22" t="s">
        <v>4832</v>
      </c>
      <c r="M620" s="22" t="s">
        <v>401</v>
      </c>
      <c r="N620" s="22"/>
      <c r="O620" s="22" t="s">
        <v>495</v>
      </c>
      <c r="P620" s="22"/>
    </row>
    <row r="621" ht="15.75" customHeight="1">
      <c r="A621" s="20" t="s">
        <v>4833</v>
      </c>
      <c r="B621" s="20" t="s">
        <v>4834</v>
      </c>
      <c r="C621" s="20"/>
      <c r="D621" s="20" t="s">
        <v>4835</v>
      </c>
      <c r="E621" s="20" t="s">
        <v>4836</v>
      </c>
      <c r="F621" s="20" t="s">
        <v>263</v>
      </c>
      <c r="G621" s="20" t="s">
        <v>4837</v>
      </c>
      <c r="H621" s="20" t="s">
        <v>4838</v>
      </c>
      <c r="I621" s="20" t="s">
        <v>4839</v>
      </c>
      <c r="J621" s="20" t="s">
        <v>57</v>
      </c>
      <c r="K621" s="21" t="s">
        <v>4840</v>
      </c>
      <c r="L621" s="21" t="s">
        <v>975</v>
      </c>
      <c r="M621" s="21" t="s">
        <v>4841</v>
      </c>
      <c r="N621" s="21"/>
      <c r="O621" s="21" t="s">
        <v>73</v>
      </c>
      <c r="P621" s="21" t="s">
        <v>107</v>
      </c>
    </row>
    <row r="622" ht="15.75" customHeight="1">
      <c r="A622" s="22" t="s">
        <v>4842</v>
      </c>
      <c r="B622" s="22" t="s">
        <v>4843</v>
      </c>
      <c r="C622" s="22" t="s">
        <v>4844</v>
      </c>
      <c r="D622" s="22" t="s">
        <v>4845</v>
      </c>
      <c r="E622" s="22" t="s">
        <v>4846</v>
      </c>
      <c r="F622" s="22" t="s">
        <v>79</v>
      </c>
      <c r="G622" s="22" t="s">
        <v>4847</v>
      </c>
      <c r="H622" s="22" t="s">
        <v>4848</v>
      </c>
      <c r="I622" s="22" t="s">
        <v>4849</v>
      </c>
      <c r="J622" s="22" t="s">
        <v>57</v>
      </c>
      <c r="K622" s="22" t="s">
        <v>105</v>
      </c>
      <c r="L622" s="22" t="s">
        <v>4850</v>
      </c>
      <c r="M622" s="22" t="s">
        <v>4851</v>
      </c>
      <c r="N622" s="22" t="s">
        <v>4852</v>
      </c>
      <c r="O622" s="22" t="s">
        <v>258</v>
      </c>
      <c r="P622" s="22"/>
    </row>
    <row r="623" ht="15.75" customHeight="1">
      <c r="A623" s="20" t="s">
        <v>4853</v>
      </c>
      <c r="B623" s="20" t="s">
        <v>4854</v>
      </c>
      <c r="C623" s="20"/>
      <c r="D623" s="20" t="s">
        <v>4855</v>
      </c>
      <c r="E623" s="20" t="s">
        <v>4856</v>
      </c>
      <c r="F623" s="20" t="s">
        <v>263</v>
      </c>
      <c r="G623" s="20" t="s">
        <v>4857</v>
      </c>
      <c r="H623" s="20" t="s">
        <v>4858</v>
      </c>
      <c r="I623" s="20" t="s">
        <v>4859</v>
      </c>
      <c r="J623" s="20" t="s">
        <v>57</v>
      </c>
      <c r="K623" s="21" t="s">
        <v>4860</v>
      </c>
      <c r="L623" s="21" t="s">
        <v>4292</v>
      </c>
      <c r="M623" s="21" t="s">
        <v>710</v>
      </c>
      <c r="N623" s="21"/>
      <c r="O623" s="21" t="s">
        <v>359</v>
      </c>
      <c r="P623" s="21"/>
    </row>
    <row r="624" ht="15.75" customHeight="1">
      <c r="A624" s="22" t="s">
        <v>4861</v>
      </c>
      <c r="B624" s="22" t="s">
        <v>4862</v>
      </c>
      <c r="C624" s="22"/>
      <c r="D624" s="22" t="s">
        <v>4863</v>
      </c>
      <c r="E624" s="22" t="s">
        <v>1420</v>
      </c>
      <c r="F624" s="22" t="s">
        <v>418</v>
      </c>
      <c r="G624" s="22" t="s">
        <v>4864</v>
      </c>
      <c r="H624" s="22" t="s">
        <v>4865</v>
      </c>
      <c r="I624" s="22" t="s">
        <v>4866</v>
      </c>
      <c r="J624" s="22" t="s">
        <v>57</v>
      </c>
      <c r="K624" s="22" t="s">
        <v>4867</v>
      </c>
      <c r="L624" s="22" t="s">
        <v>4868</v>
      </c>
      <c r="M624" s="22" t="s">
        <v>337</v>
      </c>
      <c r="N624" s="22"/>
      <c r="O624" s="22" t="s">
        <v>73</v>
      </c>
      <c r="P624" s="22"/>
    </row>
    <row r="625" ht="15.75" customHeight="1">
      <c r="A625" s="20" t="s">
        <v>4869</v>
      </c>
      <c r="B625" s="20" t="s">
        <v>4870</v>
      </c>
      <c r="C625" s="20" t="s">
        <v>1056</v>
      </c>
      <c r="D625" s="20" t="s">
        <v>4871</v>
      </c>
      <c r="E625" s="20" t="s">
        <v>231</v>
      </c>
      <c r="F625" s="20" t="s">
        <v>79</v>
      </c>
      <c r="G625" s="20" t="s">
        <v>231</v>
      </c>
      <c r="H625" s="20" t="s">
        <v>1130</v>
      </c>
      <c r="I625" s="20" t="s">
        <v>4872</v>
      </c>
      <c r="J625" s="20" t="s">
        <v>57</v>
      </c>
      <c r="K625" s="21" t="s">
        <v>789</v>
      </c>
      <c r="L625" s="21" t="s">
        <v>4135</v>
      </c>
      <c r="M625" s="21"/>
      <c r="N625" s="21" t="s">
        <v>4522</v>
      </c>
      <c r="O625" s="21" t="s">
        <v>185</v>
      </c>
      <c r="P625" s="21" t="s">
        <v>107</v>
      </c>
    </row>
    <row r="626" ht="15.75" customHeight="1">
      <c r="A626" s="22" t="s">
        <v>4873</v>
      </c>
      <c r="B626" s="22" t="s">
        <v>4874</v>
      </c>
      <c r="C626" s="22" t="s">
        <v>4875</v>
      </c>
      <c r="D626" s="22" t="s">
        <v>4876</v>
      </c>
      <c r="E626" s="22" t="s">
        <v>55</v>
      </c>
      <c r="F626" s="22" t="s">
        <v>91</v>
      </c>
      <c r="G626" s="22" t="s">
        <v>4877</v>
      </c>
      <c r="H626" s="22" t="s">
        <v>4878</v>
      </c>
      <c r="I626" s="22" t="s">
        <v>4879</v>
      </c>
      <c r="J626" s="22" t="s">
        <v>57</v>
      </c>
      <c r="K626" s="22" t="s">
        <v>816</v>
      </c>
      <c r="L626" s="22" t="s">
        <v>84</v>
      </c>
      <c r="M626" s="22"/>
      <c r="N626" s="22"/>
      <c r="O626" s="22"/>
      <c r="P626" s="22"/>
    </row>
    <row r="627" ht="15.75" customHeight="1">
      <c r="A627" s="20" t="s">
        <v>4880</v>
      </c>
      <c r="B627" s="20"/>
      <c r="C627" s="20"/>
      <c r="D627" s="20" t="s">
        <v>4881</v>
      </c>
      <c r="E627" s="20" t="s">
        <v>4882</v>
      </c>
      <c r="F627" s="20" t="s">
        <v>580</v>
      </c>
      <c r="G627" s="20"/>
      <c r="H627" s="20" t="s">
        <v>4883</v>
      </c>
      <c r="I627" s="20" t="s">
        <v>4884</v>
      </c>
      <c r="J627" s="20" t="s">
        <v>57</v>
      </c>
      <c r="K627" s="21" t="s">
        <v>410</v>
      </c>
      <c r="L627" s="21" t="s">
        <v>762</v>
      </c>
      <c r="M627" s="21" t="s">
        <v>337</v>
      </c>
      <c r="N627" s="21"/>
      <c r="O627" s="21" t="s">
        <v>258</v>
      </c>
      <c r="P627" s="21"/>
    </row>
    <row r="628" ht="15.75" customHeight="1">
      <c r="A628" s="22" t="s">
        <v>4885</v>
      </c>
      <c r="B628" s="22" t="s">
        <v>4886</v>
      </c>
      <c r="C628" s="22"/>
      <c r="D628" s="22" t="s">
        <v>4887</v>
      </c>
      <c r="E628" s="22" t="s">
        <v>4652</v>
      </c>
      <c r="F628" s="22" t="s">
        <v>101</v>
      </c>
      <c r="G628" s="22"/>
      <c r="H628" s="22"/>
      <c r="I628" s="22" t="s">
        <v>4888</v>
      </c>
      <c r="J628" s="22" t="s">
        <v>57</v>
      </c>
      <c r="K628" s="22" t="s">
        <v>410</v>
      </c>
      <c r="L628" s="22" t="s">
        <v>4889</v>
      </c>
      <c r="M628" s="22"/>
      <c r="N628" s="22"/>
      <c r="O628" s="22"/>
      <c r="P628" s="22"/>
    </row>
    <row r="629" ht="15.75" customHeight="1">
      <c r="A629" s="20" t="s">
        <v>4890</v>
      </c>
      <c r="B629" s="20" t="s">
        <v>4891</v>
      </c>
      <c r="C629" s="20"/>
      <c r="D629" s="20" t="s">
        <v>4892</v>
      </c>
      <c r="E629" s="20" t="s">
        <v>4893</v>
      </c>
      <c r="F629" s="20" t="s">
        <v>580</v>
      </c>
      <c r="G629" s="20" t="s">
        <v>4894</v>
      </c>
      <c r="H629" s="20"/>
      <c r="I629" s="20" t="s">
        <v>4895</v>
      </c>
      <c r="J629" s="20" t="s">
        <v>57</v>
      </c>
      <c r="K629" s="21" t="s">
        <v>2078</v>
      </c>
      <c r="L629" s="21" t="s">
        <v>762</v>
      </c>
      <c r="M629" s="21"/>
      <c r="N629" s="21"/>
      <c r="O629" s="21" t="s">
        <v>61</v>
      </c>
      <c r="P629" s="21"/>
    </row>
    <row r="630" ht="15.75" customHeight="1">
      <c r="A630" s="22" t="s">
        <v>4896</v>
      </c>
      <c r="B630" s="22" t="s">
        <v>1459</v>
      </c>
      <c r="C630" s="22" t="s">
        <v>1460</v>
      </c>
      <c r="D630" s="22" t="s">
        <v>4897</v>
      </c>
      <c r="E630" s="22" t="s">
        <v>4660</v>
      </c>
      <c r="F630" s="22" t="s">
        <v>112</v>
      </c>
      <c r="G630" s="22" t="s">
        <v>4705</v>
      </c>
      <c r="H630" s="22" t="s">
        <v>4898</v>
      </c>
      <c r="I630" s="22" t="s">
        <v>4899</v>
      </c>
      <c r="J630" s="22" t="s">
        <v>57</v>
      </c>
      <c r="K630" s="22" t="s">
        <v>1744</v>
      </c>
      <c r="L630" s="22" t="s">
        <v>4900</v>
      </c>
      <c r="M630" s="22"/>
      <c r="N630" s="22" t="s">
        <v>4222</v>
      </c>
      <c r="O630" s="22"/>
      <c r="P630" s="22" t="s">
        <v>107</v>
      </c>
    </row>
    <row r="631" ht="15.75" customHeight="1">
      <c r="A631" s="20" t="s">
        <v>4901</v>
      </c>
      <c r="B631" s="20"/>
      <c r="C631" s="20"/>
      <c r="D631" s="20" t="s">
        <v>4902</v>
      </c>
      <c r="E631" s="20" t="s">
        <v>4903</v>
      </c>
      <c r="F631" s="20" t="s">
        <v>112</v>
      </c>
      <c r="G631" s="20"/>
      <c r="H631" s="20" t="s">
        <v>4904</v>
      </c>
      <c r="I631" s="20" t="s">
        <v>4905</v>
      </c>
      <c r="J631" s="20" t="s">
        <v>57</v>
      </c>
      <c r="K631" s="21" t="s">
        <v>157</v>
      </c>
      <c r="L631" s="21" t="s">
        <v>4868</v>
      </c>
      <c r="M631" s="21"/>
      <c r="N631" s="21"/>
      <c r="O631" s="21" t="s">
        <v>495</v>
      </c>
      <c r="P631" s="21"/>
    </row>
    <row r="632" ht="15.75" customHeight="1">
      <c r="A632" s="22" t="s">
        <v>4906</v>
      </c>
      <c r="B632" s="22" t="s">
        <v>4907</v>
      </c>
      <c r="C632" s="22"/>
      <c r="D632" s="22" t="s">
        <v>4908</v>
      </c>
      <c r="E632" s="22" t="s">
        <v>4909</v>
      </c>
      <c r="F632" s="22"/>
      <c r="G632" s="22" t="s">
        <v>4910</v>
      </c>
      <c r="H632" s="22" t="s">
        <v>4911</v>
      </c>
      <c r="I632" s="22" t="s">
        <v>4912</v>
      </c>
      <c r="J632" s="22" t="s">
        <v>57</v>
      </c>
      <c r="K632" s="22" t="s">
        <v>430</v>
      </c>
      <c r="L632" s="22" t="s">
        <v>3099</v>
      </c>
      <c r="M632" s="22" t="s">
        <v>4913</v>
      </c>
      <c r="N632" s="22"/>
      <c r="O632" s="22" t="s">
        <v>1167</v>
      </c>
      <c r="P632" s="22"/>
    </row>
    <row r="633" ht="15.75" customHeight="1">
      <c r="A633" s="20" t="s">
        <v>4914</v>
      </c>
      <c r="B633" s="20" t="s">
        <v>4915</v>
      </c>
      <c r="C633" s="20" t="s">
        <v>4916</v>
      </c>
      <c r="D633" s="20" t="s">
        <v>4917</v>
      </c>
      <c r="E633" s="20" t="s">
        <v>55</v>
      </c>
      <c r="F633" s="20" t="s">
        <v>91</v>
      </c>
      <c r="G633" s="20" t="s">
        <v>1319</v>
      </c>
      <c r="H633" s="20" t="s">
        <v>1320</v>
      </c>
      <c r="I633" s="20" t="s">
        <v>4918</v>
      </c>
      <c r="J633" s="20" t="s">
        <v>57</v>
      </c>
      <c r="K633" s="21" t="s">
        <v>4919</v>
      </c>
      <c r="L633" s="21" t="s">
        <v>84</v>
      </c>
      <c r="M633" s="21" t="s">
        <v>147</v>
      </c>
      <c r="N633" s="21"/>
      <c r="O633" s="21" t="s">
        <v>269</v>
      </c>
      <c r="P633" s="21"/>
    </row>
    <row r="634" ht="15.75" customHeight="1">
      <c r="A634" s="22" t="s">
        <v>4920</v>
      </c>
      <c r="B634" s="22" t="s">
        <v>4921</v>
      </c>
      <c r="C634" s="22" t="s">
        <v>4922</v>
      </c>
      <c r="D634" s="22" t="s">
        <v>4923</v>
      </c>
      <c r="E634" s="22" t="s">
        <v>4924</v>
      </c>
      <c r="F634" s="22" t="s">
        <v>101</v>
      </c>
      <c r="G634" s="22" t="s">
        <v>4925</v>
      </c>
      <c r="H634" s="22" t="s">
        <v>4926</v>
      </c>
      <c r="I634" s="22" t="s">
        <v>4927</v>
      </c>
      <c r="J634" s="22" t="s">
        <v>57</v>
      </c>
      <c r="K634" s="22" t="s">
        <v>4928</v>
      </c>
      <c r="L634" s="22" t="s">
        <v>762</v>
      </c>
      <c r="M634" s="22" t="s">
        <v>1737</v>
      </c>
      <c r="N634" s="22"/>
      <c r="O634" s="22" t="s">
        <v>137</v>
      </c>
      <c r="P634" s="22"/>
    </row>
    <row r="635" ht="15.75" customHeight="1">
      <c r="A635" s="20" t="s">
        <v>4929</v>
      </c>
      <c r="B635" s="20" t="s">
        <v>4930</v>
      </c>
      <c r="C635" s="20" t="s">
        <v>4931</v>
      </c>
      <c r="D635" s="20" t="s">
        <v>4932</v>
      </c>
      <c r="E635" s="20" t="s">
        <v>231</v>
      </c>
      <c r="F635" s="20" t="s">
        <v>79</v>
      </c>
      <c r="G635" s="20" t="s">
        <v>4933</v>
      </c>
      <c r="H635" s="20" t="s">
        <v>4934</v>
      </c>
      <c r="I635" s="20" t="s">
        <v>4935</v>
      </c>
      <c r="J635" s="20" t="s">
        <v>57</v>
      </c>
      <c r="K635" s="21" t="s">
        <v>410</v>
      </c>
      <c r="L635" s="21" t="s">
        <v>4056</v>
      </c>
      <c r="M635" s="21" t="s">
        <v>623</v>
      </c>
      <c r="N635" s="21"/>
      <c r="O635" s="21" t="s">
        <v>4936</v>
      </c>
      <c r="P635" s="21"/>
    </row>
    <row r="636" ht="15.75" customHeight="1">
      <c r="A636" s="22" t="s">
        <v>4937</v>
      </c>
      <c r="B636" s="22" t="s">
        <v>4938</v>
      </c>
      <c r="C636" s="22" t="s">
        <v>4939</v>
      </c>
      <c r="D636" s="22" t="s">
        <v>4940</v>
      </c>
      <c r="E636" s="22" t="s">
        <v>4941</v>
      </c>
      <c r="F636" s="22" t="s">
        <v>101</v>
      </c>
      <c r="G636" s="22" t="s">
        <v>4942</v>
      </c>
      <c r="H636" s="22" t="s">
        <v>4943</v>
      </c>
      <c r="I636" s="22" t="s">
        <v>4944</v>
      </c>
      <c r="J636" s="22" t="s">
        <v>57</v>
      </c>
      <c r="K636" s="22" t="s">
        <v>4945</v>
      </c>
      <c r="L636" s="22" t="s">
        <v>84</v>
      </c>
      <c r="M636" s="22" t="s">
        <v>1151</v>
      </c>
      <c r="N636" s="22"/>
      <c r="O636" s="22" t="s">
        <v>4108</v>
      </c>
      <c r="P636" s="22"/>
    </row>
    <row r="637" ht="15.75" customHeight="1">
      <c r="A637" s="20" t="s">
        <v>4946</v>
      </c>
      <c r="B637" s="20"/>
      <c r="C637" s="20" t="s">
        <v>4947</v>
      </c>
      <c r="D637" s="20" t="s">
        <v>4948</v>
      </c>
      <c r="E637" s="20" t="s">
        <v>4949</v>
      </c>
      <c r="F637" s="20" t="s">
        <v>112</v>
      </c>
      <c r="G637" s="20"/>
      <c r="H637" s="20"/>
      <c r="I637" s="20" t="s">
        <v>4950</v>
      </c>
      <c r="J637" s="20" t="s">
        <v>57</v>
      </c>
      <c r="K637" s="21" t="s">
        <v>124</v>
      </c>
      <c r="L637" s="21" t="s">
        <v>84</v>
      </c>
      <c r="M637" s="21"/>
      <c r="N637" s="21"/>
      <c r="O637" s="21"/>
      <c r="P637" s="21"/>
    </row>
    <row r="638" ht="15.75" customHeight="1">
      <c r="A638" s="22" t="s">
        <v>4951</v>
      </c>
      <c r="B638" s="22" t="s">
        <v>4952</v>
      </c>
      <c r="C638" s="22" t="s">
        <v>4953</v>
      </c>
      <c r="D638" s="22" t="s">
        <v>4954</v>
      </c>
      <c r="E638" s="22" t="s">
        <v>2546</v>
      </c>
      <c r="F638" s="22"/>
      <c r="G638" s="22" t="s">
        <v>4955</v>
      </c>
      <c r="H638" s="22" t="s">
        <v>4956</v>
      </c>
      <c r="I638" s="22" t="s">
        <v>4957</v>
      </c>
      <c r="J638" s="22" t="s">
        <v>57</v>
      </c>
      <c r="K638" s="22" t="s">
        <v>4958</v>
      </c>
      <c r="L638" s="22" t="s">
        <v>84</v>
      </c>
      <c r="M638" s="22"/>
      <c r="N638" s="22"/>
      <c r="O638" s="22" t="s">
        <v>148</v>
      </c>
      <c r="P638" s="22"/>
    </row>
    <row r="639" ht="15.75" customHeight="1">
      <c r="A639" s="20" t="s">
        <v>4959</v>
      </c>
      <c r="B639" s="20" t="s">
        <v>4960</v>
      </c>
      <c r="C639" s="20" t="s">
        <v>4961</v>
      </c>
      <c r="D639" s="20" t="s">
        <v>4962</v>
      </c>
      <c r="E639" s="20" t="s">
        <v>231</v>
      </c>
      <c r="F639" s="20" t="s">
        <v>79</v>
      </c>
      <c r="G639" s="20" t="s">
        <v>4963</v>
      </c>
      <c r="H639" s="20" t="s">
        <v>4964</v>
      </c>
      <c r="I639" s="20" t="s">
        <v>4965</v>
      </c>
      <c r="J639" s="20" t="s">
        <v>57</v>
      </c>
      <c r="K639" s="21" t="s">
        <v>320</v>
      </c>
      <c r="L639" s="21" t="s">
        <v>4966</v>
      </c>
      <c r="M639" s="21"/>
      <c r="N639" s="21"/>
      <c r="O639" s="21"/>
      <c r="P639" s="21"/>
    </row>
    <row r="640" ht="15.75" customHeight="1">
      <c r="A640" s="22" t="s">
        <v>4967</v>
      </c>
      <c r="B640" s="22" t="s">
        <v>4968</v>
      </c>
      <c r="C640" s="22"/>
      <c r="D640" s="22" t="s">
        <v>4969</v>
      </c>
      <c r="E640" s="22" t="s">
        <v>1009</v>
      </c>
      <c r="F640" s="22" t="s">
        <v>79</v>
      </c>
      <c r="G640" s="22"/>
      <c r="H640" s="22"/>
      <c r="I640" s="22" t="s">
        <v>4970</v>
      </c>
      <c r="J640" s="22" t="s">
        <v>57</v>
      </c>
      <c r="K640" s="22" t="s">
        <v>740</v>
      </c>
      <c r="L640" s="22" t="s">
        <v>1241</v>
      </c>
      <c r="M640" s="22"/>
      <c r="N640" s="22"/>
      <c r="O640" s="22"/>
      <c r="P640" s="22"/>
    </row>
    <row r="641" ht="15.75" customHeight="1">
      <c r="A641" s="20" t="s">
        <v>4971</v>
      </c>
      <c r="B641" s="20" t="s">
        <v>4972</v>
      </c>
      <c r="C641" s="20"/>
      <c r="D641" s="20" t="s">
        <v>4973</v>
      </c>
      <c r="E641" s="20" t="s">
        <v>4974</v>
      </c>
      <c r="F641" s="20" t="s">
        <v>101</v>
      </c>
      <c r="G641" s="20" t="s">
        <v>4975</v>
      </c>
      <c r="H641" s="20" t="s">
        <v>4976</v>
      </c>
      <c r="I641" s="20" t="s">
        <v>4977</v>
      </c>
      <c r="J641" s="20" t="s">
        <v>57</v>
      </c>
      <c r="K641" s="21" t="s">
        <v>4978</v>
      </c>
      <c r="L641" s="21" t="s">
        <v>4979</v>
      </c>
      <c r="M641" s="21" t="s">
        <v>1737</v>
      </c>
      <c r="N641" s="21"/>
      <c r="O641" s="21" t="s">
        <v>495</v>
      </c>
      <c r="P641" s="21"/>
    </row>
    <row r="642" ht="15.75" customHeight="1">
      <c r="A642" s="22" t="s">
        <v>4980</v>
      </c>
      <c r="B642" s="22" t="s">
        <v>4981</v>
      </c>
      <c r="C642" s="22"/>
      <c r="D642" s="22" t="s">
        <v>4982</v>
      </c>
      <c r="E642" s="22" t="s">
        <v>4983</v>
      </c>
      <c r="F642" s="22" t="s">
        <v>79</v>
      </c>
      <c r="G642" s="22" t="s">
        <v>4984</v>
      </c>
      <c r="H642" s="22" t="s">
        <v>4985</v>
      </c>
      <c r="I642" s="22" t="s">
        <v>4986</v>
      </c>
      <c r="J642" s="22" t="s">
        <v>57</v>
      </c>
      <c r="K642" s="22" t="s">
        <v>105</v>
      </c>
      <c r="L642" s="22" t="s">
        <v>84</v>
      </c>
      <c r="M642" s="22"/>
      <c r="N642" s="22"/>
      <c r="O642" s="22"/>
      <c r="P642" s="22"/>
    </row>
    <row r="643" ht="15.75" customHeight="1">
      <c r="A643" s="20" t="s">
        <v>4987</v>
      </c>
      <c r="B643" s="20" t="s">
        <v>3780</v>
      </c>
      <c r="C643" s="20" t="s">
        <v>587</v>
      </c>
      <c r="D643" s="20" t="s">
        <v>4988</v>
      </c>
      <c r="E643" s="20" t="s">
        <v>231</v>
      </c>
      <c r="F643" s="20" t="s">
        <v>79</v>
      </c>
      <c r="G643" s="20" t="s">
        <v>4989</v>
      </c>
      <c r="H643" s="20" t="s">
        <v>591</v>
      </c>
      <c r="I643" s="20" t="s">
        <v>4990</v>
      </c>
      <c r="J643" s="20" t="s">
        <v>57</v>
      </c>
      <c r="K643" s="21" t="s">
        <v>248</v>
      </c>
      <c r="L643" s="21" t="s">
        <v>762</v>
      </c>
      <c r="M643" s="21"/>
      <c r="N643" s="21"/>
      <c r="O643" s="21"/>
      <c r="P643" s="21" t="s">
        <v>107</v>
      </c>
    </row>
    <row r="644" ht="15.75" customHeight="1">
      <c r="A644" s="22" t="s">
        <v>4991</v>
      </c>
      <c r="B644" s="22" t="s">
        <v>4992</v>
      </c>
      <c r="C644" s="22" t="s">
        <v>4993</v>
      </c>
      <c r="D644" s="22" t="s">
        <v>4994</v>
      </c>
      <c r="E644" s="22" t="s">
        <v>2980</v>
      </c>
      <c r="F644" s="22" t="s">
        <v>101</v>
      </c>
      <c r="G644" s="22" t="s">
        <v>4995</v>
      </c>
      <c r="H644" s="22" t="s">
        <v>4996</v>
      </c>
      <c r="I644" s="22" t="s">
        <v>4997</v>
      </c>
      <c r="J644" s="22" t="s">
        <v>57</v>
      </c>
      <c r="K644" s="22" t="s">
        <v>1398</v>
      </c>
      <c r="L644" s="22" t="s">
        <v>4998</v>
      </c>
      <c r="M644" s="22"/>
      <c r="N644" s="22"/>
      <c r="O644" s="22"/>
      <c r="P644" s="22"/>
    </row>
    <row r="645" ht="15.75" customHeight="1">
      <c r="A645" s="20" t="s">
        <v>4999</v>
      </c>
      <c r="B645" s="20" t="s">
        <v>5000</v>
      </c>
      <c r="C645" s="20"/>
      <c r="D645" s="20" t="s">
        <v>5001</v>
      </c>
      <c r="E645" s="20" t="s">
        <v>55</v>
      </c>
      <c r="F645" s="20" t="s">
        <v>91</v>
      </c>
      <c r="G645" s="20" t="s">
        <v>5002</v>
      </c>
      <c r="H645" s="20" t="s">
        <v>5003</v>
      </c>
      <c r="I645" s="20" t="s">
        <v>5004</v>
      </c>
      <c r="J645" s="20" t="s">
        <v>57</v>
      </c>
      <c r="K645" s="21" t="s">
        <v>5005</v>
      </c>
      <c r="L645" s="21" t="s">
        <v>3962</v>
      </c>
      <c r="M645" s="21" t="s">
        <v>639</v>
      </c>
      <c r="N645" s="21"/>
      <c r="O645" s="21" t="s">
        <v>73</v>
      </c>
      <c r="P645" s="21"/>
    </row>
    <row r="646" ht="15.75" customHeight="1">
      <c r="A646" s="22" t="s">
        <v>5006</v>
      </c>
      <c r="B646" s="22" t="s">
        <v>5007</v>
      </c>
      <c r="C646" s="22"/>
      <c r="D646" s="22" t="s">
        <v>5008</v>
      </c>
      <c r="E646" s="22" t="s">
        <v>4447</v>
      </c>
      <c r="F646" s="22" t="s">
        <v>79</v>
      </c>
      <c r="G646" s="22" t="s">
        <v>5009</v>
      </c>
      <c r="H646" s="22" t="s">
        <v>5010</v>
      </c>
      <c r="I646" s="22" t="s">
        <v>807</v>
      </c>
      <c r="J646" s="22" t="s">
        <v>57</v>
      </c>
      <c r="K646" s="22" t="s">
        <v>410</v>
      </c>
      <c r="L646" s="22" t="s">
        <v>5011</v>
      </c>
      <c r="M646" s="22"/>
      <c r="N646" s="22"/>
      <c r="O646" s="22" t="s">
        <v>137</v>
      </c>
      <c r="P646" s="22"/>
    </row>
    <row r="647" ht="15.75" customHeight="1">
      <c r="A647" s="20" t="s">
        <v>5012</v>
      </c>
      <c r="B647" s="20" t="s">
        <v>5013</v>
      </c>
      <c r="C647" s="20"/>
      <c r="D647" s="20"/>
      <c r="E647" s="20" t="s">
        <v>5014</v>
      </c>
      <c r="F647" s="20" t="s">
        <v>378</v>
      </c>
      <c r="G647" s="20" t="s">
        <v>5015</v>
      </c>
      <c r="H647" s="20" t="s">
        <v>5016</v>
      </c>
      <c r="I647" s="20" t="s">
        <v>5017</v>
      </c>
      <c r="J647" s="20" t="s">
        <v>57</v>
      </c>
      <c r="K647" s="21" t="s">
        <v>5018</v>
      </c>
      <c r="L647" s="21" t="s">
        <v>84</v>
      </c>
      <c r="M647" s="21" t="s">
        <v>541</v>
      </c>
      <c r="N647" s="21"/>
      <c r="O647" s="21" t="s">
        <v>61</v>
      </c>
      <c r="P647" s="21"/>
    </row>
    <row r="648" ht="15.75" customHeight="1">
      <c r="A648" s="22" t="s">
        <v>5019</v>
      </c>
      <c r="B648" s="22"/>
      <c r="C648" s="22"/>
      <c r="D648" s="22" t="s">
        <v>5020</v>
      </c>
      <c r="E648" s="22" t="s">
        <v>2682</v>
      </c>
      <c r="F648" s="22" t="s">
        <v>580</v>
      </c>
      <c r="G648" s="22" t="s">
        <v>5021</v>
      </c>
      <c r="H648" s="22" t="s">
        <v>5022</v>
      </c>
      <c r="I648" s="22" t="s">
        <v>5023</v>
      </c>
      <c r="J648" s="22" t="s">
        <v>57</v>
      </c>
      <c r="K648" s="22" t="s">
        <v>5024</v>
      </c>
      <c r="L648" s="22" t="s">
        <v>84</v>
      </c>
      <c r="M648" s="22" t="s">
        <v>2149</v>
      </c>
      <c r="N648" s="22"/>
      <c r="O648" s="22" t="s">
        <v>159</v>
      </c>
      <c r="P648" s="22"/>
    </row>
    <row r="649" ht="15.75" customHeight="1">
      <c r="A649" s="20" t="s">
        <v>5025</v>
      </c>
      <c r="B649" s="20" t="s">
        <v>5026</v>
      </c>
      <c r="C649" s="20"/>
      <c r="D649" s="20" t="s">
        <v>5027</v>
      </c>
      <c r="E649" s="20" t="s">
        <v>5028</v>
      </c>
      <c r="F649" s="20" t="s">
        <v>130</v>
      </c>
      <c r="G649" s="20"/>
      <c r="H649" s="20"/>
      <c r="I649" s="20" t="s">
        <v>5029</v>
      </c>
      <c r="J649" s="20" t="s">
        <v>57</v>
      </c>
      <c r="K649" s="21" t="s">
        <v>105</v>
      </c>
      <c r="L649" s="21" t="s">
        <v>762</v>
      </c>
      <c r="M649" s="21"/>
      <c r="N649" s="21"/>
      <c r="O649" s="21"/>
      <c r="P649" s="21"/>
    </row>
    <row r="650" ht="15.75" customHeight="1">
      <c r="A650" s="22" t="s">
        <v>5030</v>
      </c>
      <c r="B650" s="22" t="s">
        <v>5031</v>
      </c>
      <c r="C650" s="22" t="s">
        <v>5032</v>
      </c>
      <c r="D650" s="22" t="s">
        <v>5033</v>
      </c>
      <c r="E650" s="22" t="s">
        <v>1961</v>
      </c>
      <c r="F650" s="22" t="s">
        <v>363</v>
      </c>
      <c r="G650" s="22"/>
      <c r="H650" s="22" t="s">
        <v>5034</v>
      </c>
      <c r="I650" s="22" t="s">
        <v>5035</v>
      </c>
      <c r="J650" s="22" t="s">
        <v>57</v>
      </c>
      <c r="K650" s="22" t="s">
        <v>5036</v>
      </c>
      <c r="L650" s="22" t="s">
        <v>5037</v>
      </c>
      <c r="M650" s="22"/>
      <c r="N650" s="22"/>
      <c r="O650" s="22" t="s">
        <v>185</v>
      </c>
      <c r="P650" s="22"/>
    </row>
    <row r="651" ht="15.75" customHeight="1">
      <c r="A651" s="20" t="s">
        <v>5038</v>
      </c>
      <c r="B651" s="20" t="s">
        <v>5039</v>
      </c>
      <c r="C651" s="20"/>
      <c r="D651" s="20" t="s">
        <v>5040</v>
      </c>
      <c r="E651" s="20" t="s">
        <v>55</v>
      </c>
      <c r="F651" s="20" t="s">
        <v>91</v>
      </c>
      <c r="G651" s="20" t="s">
        <v>5041</v>
      </c>
      <c r="H651" s="20" t="s">
        <v>5042</v>
      </c>
      <c r="I651" s="20" t="s">
        <v>5043</v>
      </c>
      <c r="J651" s="20" t="s">
        <v>57</v>
      </c>
      <c r="K651" s="21" t="s">
        <v>5044</v>
      </c>
      <c r="L651" s="21" t="s">
        <v>1505</v>
      </c>
      <c r="M651" s="21" t="s">
        <v>4276</v>
      </c>
      <c r="N651" s="21"/>
      <c r="O651" s="21" t="s">
        <v>185</v>
      </c>
      <c r="P651" s="21"/>
    </row>
    <row r="652" ht="15.75" customHeight="1">
      <c r="A652" s="22" t="s">
        <v>5045</v>
      </c>
      <c r="B652" s="22" t="s">
        <v>5046</v>
      </c>
      <c r="C652" s="22"/>
      <c r="D652" s="22" t="s">
        <v>5047</v>
      </c>
      <c r="E652" s="22" t="s">
        <v>5048</v>
      </c>
      <c r="F652" s="22" t="s">
        <v>130</v>
      </c>
      <c r="G652" s="22" t="s">
        <v>5049</v>
      </c>
      <c r="H652" s="22" t="s">
        <v>5050</v>
      </c>
      <c r="I652" s="22" t="s">
        <v>5051</v>
      </c>
      <c r="J652" s="22" t="s">
        <v>57</v>
      </c>
      <c r="K652" s="22" t="s">
        <v>5052</v>
      </c>
      <c r="L652" s="22" t="s">
        <v>5053</v>
      </c>
      <c r="M652" s="22" t="s">
        <v>623</v>
      </c>
      <c r="N652" s="22"/>
      <c r="O652" s="22" t="s">
        <v>501</v>
      </c>
      <c r="P652" s="22"/>
    </row>
    <row r="653" ht="15.75" customHeight="1">
      <c r="A653" s="20" t="s">
        <v>5054</v>
      </c>
      <c r="B653" s="20" t="s">
        <v>5055</v>
      </c>
      <c r="C653" s="20" t="s">
        <v>5056</v>
      </c>
      <c r="D653" s="20" t="s">
        <v>5057</v>
      </c>
      <c r="E653" s="20" t="s">
        <v>5058</v>
      </c>
      <c r="F653" s="20" t="s">
        <v>130</v>
      </c>
      <c r="G653" s="20" t="s">
        <v>5059</v>
      </c>
      <c r="H653" s="20" t="s">
        <v>5060</v>
      </c>
      <c r="I653" s="20" t="s">
        <v>5061</v>
      </c>
      <c r="J653" s="20" t="s">
        <v>57</v>
      </c>
      <c r="K653" s="21" t="s">
        <v>5062</v>
      </c>
      <c r="L653" s="21" t="s">
        <v>84</v>
      </c>
      <c r="M653" s="21" t="s">
        <v>5063</v>
      </c>
      <c r="N653" s="21"/>
      <c r="O653" s="21" t="s">
        <v>258</v>
      </c>
      <c r="P653" s="21"/>
    </row>
    <row r="654" ht="15.75" customHeight="1">
      <c r="A654" s="22" t="s">
        <v>5064</v>
      </c>
      <c r="B654" s="22" t="s">
        <v>5065</v>
      </c>
      <c r="C654" s="22" t="s">
        <v>5066</v>
      </c>
      <c r="D654" s="22" t="s">
        <v>5067</v>
      </c>
      <c r="E654" s="22" t="s">
        <v>723</v>
      </c>
      <c r="F654" s="22" t="s">
        <v>406</v>
      </c>
      <c r="G654" s="22" t="s">
        <v>5068</v>
      </c>
      <c r="H654" s="22" t="s">
        <v>5069</v>
      </c>
      <c r="I654" s="22" t="s">
        <v>5070</v>
      </c>
      <c r="J654" s="22" t="s">
        <v>57</v>
      </c>
      <c r="K654" s="22" t="s">
        <v>5071</v>
      </c>
      <c r="L654" s="22" t="s">
        <v>4306</v>
      </c>
      <c r="M654" s="22" t="s">
        <v>623</v>
      </c>
      <c r="N654" s="22"/>
      <c r="O654" s="22" t="s">
        <v>159</v>
      </c>
      <c r="P654" s="22"/>
    </row>
    <row r="655" ht="15.75" customHeight="1">
      <c r="A655" s="20" t="s">
        <v>5072</v>
      </c>
      <c r="B655" s="20" t="s">
        <v>5073</v>
      </c>
      <c r="C655" s="20"/>
      <c r="D655" s="20" t="s">
        <v>5074</v>
      </c>
      <c r="E655" s="20" t="s">
        <v>5075</v>
      </c>
      <c r="F655" s="20" t="s">
        <v>79</v>
      </c>
      <c r="G655" s="20" t="s">
        <v>5076</v>
      </c>
      <c r="H655" s="20"/>
      <c r="I655" s="20" t="s">
        <v>5077</v>
      </c>
      <c r="J655" s="20" t="s">
        <v>57</v>
      </c>
      <c r="K655" s="21" t="s">
        <v>248</v>
      </c>
      <c r="L655" s="21" t="s">
        <v>762</v>
      </c>
      <c r="M655" s="21"/>
      <c r="N655" s="21"/>
      <c r="O655" s="21"/>
      <c r="P655" s="21"/>
    </row>
    <row r="656" ht="15.75" customHeight="1">
      <c r="A656" s="22" t="s">
        <v>5078</v>
      </c>
      <c r="B656" s="22" t="s">
        <v>5079</v>
      </c>
      <c r="C656" s="22"/>
      <c r="D656" s="22" t="s">
        <v>5080</v>
      </c>
      <c r="E656" s="22" t="s">
        <v>1163</v>
      </c>
      <c r="F656" s="22" t="s">
        <v>253</v>
      </c>
      <c r="G656" s="22" t="s">
        <v>2897</v>
      </c>
      <c r="H656" s="22" t="s">
        <v>5081</v>
      </c>
      <c r="I656" s="22" t="s">
        <v>5082</v>
      </c>
      <c r="J656" s="22" t="s">
        <v>57</v>
      </c>
      <c r="K656" s="22" t="s">
        <v>5083</v>
      </c>
      <c r="L656" s="22" t="s">
        <v>5084</v>
      </c>
      <c r="M656" s="22" t="s">
        <v>710</v>
      </c>
      <c r="N656" s="22"/>
      <c r="O656" s="22" t="s">
        <v>61</v>
      </c>
      <c r="P656" s="22" t="s">
        <v>107</v>
      </c>
    </row>
    <row r="657" ht="15.75" customHeight="1">
      <c r="A657" s="20" t="s">
        <v>5085</v>
      </c>
      <c r="B657" s="20"/>
      <c r="C657" s="20"/>
      <c r="D657" s="20" t="s">
        <v>5086</v>
      </c>
      <c r="E657" s="20" t="s">
        <v>1009</v>
      </c>
      <c r="F657" s="20" t="s">
        <v>79</v>
      </c>
      <c r="G657" s="20" t="s">
        <v>5087</v>
      </c>
      <c r="H657" s="20" t="s">
        <v>5088</v>
      </c>
      <c r="I657" s="20" t="s">
        <v>5089</v>
      </c>
      <c r="J657" s="20" t="s">
        <v>57</v>
      </c>
      <c r="K657" s="21" t="s">
        <v>604</v>
      </c>
      <c r="L657" s="21" t="s">
        <v>5090</v>
      </c>
      <c r="M657" s="21"/>
      <c r="N657" s="21"/>
      <c r="O657" s="21"/>
      <c r="P657" s="21"/>
    </row>
    <row r="658" ht="15.75" customHeight="1">
      <c r="A658" s="22" t="s">
        <v>5091</v>
      </c>
      <c r="B658" s="22" t="s">
        <v>5092</v>
      </c>
      <c r="C658" s="22"/>
      <c r="D658" s="22" t="s">
        <v>5093</v>
      </c>
      <c r="E658" s="22" t="s">
        <v>2162</v>
      </c>
      <c r="F658" s="22" t="s">
        <v>2163</v>
      </c>
      <c r="G658" s="22" t="s">
        <v>5094</v>
      </c>
      <c r="H658" s="22" t="s">
        <v>5095</v>
      </c>
      <c r="I658" s="22" t="s">
        <v>5096</v>
      </c>
      <c r="J658" s="22" t="s">
        <v>57</v>
      </c>
      <c r="K658" s="22" t="s">
        <v>5097</v>
      </c>
      <c r="L658" s="22" t="s">
        <v>84</v>
      </c>
      <c r="M658" s="22" t="s">
        <v>5098</v>
      </c>
      <c r="N658" s="22"/>
      <c r="O658" s="22" t="s">
        <v>258</v>
      </c>
      <c r="P658" s="22"/>
    </row>
    <row r="659" ht="15.75" customHeight="1">
      <c r="A659" s="20" t="s">
        <v>5099</v>
      </c>
      <c r="B659" s="20" t="s">
        <v>461</v>
      </c>
      <c r="C659" s="20"/>
      <c r="D659" s="20" t="s">
        <v>5100</v>
      </c>
      <c r="E659" s="20" t="s">
        <v>5101</v>
      </c>
      <c r="F659" s="20" t="s">
        <v>378</v>
      </c>
      <c r="G659" s="20" t="s">
        <v>464</v>
      </c>
      <c r="H659" s="20"/>
      <c r="I659" s="20" t="s">
        <v>5102</v>
      </c>
      <c r="J659" s="20" t="s">
        <v>57</v>
      </c>
      <c r="K659" s="21" t="s">
        <v>2770</v>
      </c>
      <c r="L659" s="21" t="s">
        <v>5103</v>
      </c>
      <c r="M659" s="21" t="s">
        <v>5104</v>
      </c>
      <c r="N659" s="21"/>
      <c r="O659" s="21" t="s">
        <v>226</v>
      </c>
      <c r="P659" s="21"/>
    </row>
    <row r="660" ht="15.75" customHeight="1">
      <c r="A660" s="22" t="s">
        <v>5105</v>
      </c>
      <c r="B660" s="22" t="s">
        <v>5106</v>
      </c>
      <c r="C660" s="22" t="s">
        <v>5107</v>
      </c>
      <c r="D660" s="22" t="s">
        <v>5108</v>
      </c>
      <c r="E660" s="22" t="s">
        <v>3914</v>
      </c>
      <c r="F660" s="22" t="s">
        <v>101</v>
      </c>
      <c r="G660" s="22" t="s">
        <v>3915</v>
      </c>
      <c r="H660" s="22" t="s">
        <v>5109</v>
      </c>
      <c r="I660" s="22" t="s">
        <v>5110</v>
      </c>
      <c r="J660" s="22" t="s">
        <v>57</v>
      </c>
      <c r="K660" s="22" t="s">
        <v>5083</v>
      </c>
      <c r="L660" s="22" t="s">
        <v>4292</v>
      </c>
      <c r="M660" s="22" t="s">
        <v>304</v>
      </c>
      <c r="N660" s="22"/>
      <c r="O660" s="22" t="s">
        <v>1134</v>
      </c>
      <c r="P660" s="22"/>
    </row>
    <row r="661" ht="15.75" customHeight="1">
      <c r="A661" s="20" t="s">
        <v>5111</v>
      </c>
      <c r="B661" s="20" t="s">
        <v>5112</v>
      </c>
      <c r="C661" s="20"/>
      <c r="D661" s="20" t="s">
        <v>5113</v>
      </c>
      <c r="E661" s="20" t="s">
        <v>698</v>
      </c>
      <c r="F661" s="20" t="s">
        <v>378</v>
      </c>
      <c r="G661" s="20" t="s">
        <v>5114</v>
      </c>
      <c r="H661" s="20" t="s">
        <v>5115</v>
      </c>
      <c r="I661" s="20" t="s">
        <v>5116</v>
      </c>
      <c r="J661" s="20" t="s">
        <v>57</v>
      </c>
      <c r="K661" s="21" t="s">
        <v>430</v>
      </c>
      <c r="L661" s="21" t="s">
        <v>84</v>
      </c>
      <c r="M661" s="21"/>
      <c r="N661" s="21"/>
      <c r="O661" s="21" t="s">
        <v>159</v>
      </c>
      <c r="P661" s="21"/>
    </row>
    <row r="662" ht="15.75" customHeight="1">
      <c r="A662" s="22" t="s">
        <v>5117</v>
      </c>
      <c r="B662" s="22" t="s">
        <v>5118</v>
      </c>
      <c r="C662" s="22" t="s">
        <v>5119</v>
      </c>
      <c r="D662" s="22" t="s">
        <v>5120</v>
      </c>
      <c r="E662" s="22" t="s">
        <v>55</v>
      </c>
      <c r="F662" s="22" t="s">
        <v>91</v>
      </c>
      <c r="G662" s="22" t="s">
        <v>55</v>
      </c>
      <c r="H662" s="22" t="s">
        <v>5121</v>
      </c>
      <c r="I662" s="22" t="s">
        <v>5122</v>
      </c>
      <c r="J662" s="22" t="s">
        <v>57</v>
      </c>
      <c r="K662" s="22" t="s">
        <v>5123</v>
      </c>
      <c r="L662" s="22" t="s">
        <v>84</v>
      </c>
      <c r="M662" s="22" t="s">
        <v>268</v>
      </c>
      <c r="N662" s="22"/>
      <c r="O662" s="22" t="s">
        <v>258</v>
      </c>
      <c r="P662" s="22" t="s">
        <v>107</v>
      </c>
    </row>
    <row r="663" ht="15.75" customHeight="1">
      <c r="A663" s="20" t="s">
        <v>5124</v>
      </c>
      <c r="B663" s="20" t="s">
        <v>5125</v>
      </c>
      <c r="C663" s="20"/>
      <c r="D663" s="20" t="s">
        <v>5126</v>
      </c>
      <c r="E663" s="20" t="s">
        <v>55</v>
      </c>
      <c r="F663" s="20" t="s">
        <v>91</v>
      </c>
      <c r="G663" s="20" t="s">
        <v>55</v>
      </c>
      <c r="H663" s="20" t="s">
        <v>5127</v>
      </c>
      <c r="I663" s="20" t="s">
        <v>5128</v>
      </c>
      <c r="J663" s="20" t="s">
        <v>57</v>
      </c>
      <c r="K663" s="21" t="s">
        <v>5129</v>
      </c>
      <c r="L663" s="21" t="s">
        <v>84</v>
      </c>
      <c r="M663" s="21"/>
      <c r="N663" s="21"/>
      <c r="O663" s="21" t="s">
        <v>73</v>
      </c>
      <c r="P663" s="21"/>
    </row>
    <row r="664" ht="15.75" customHeight="1">
      <c r="A664" s="22" t="s">
        <v>5130</v>
      </c>
      <c r="B664" s="22" t="s">
        <v>5131</v>
      </c>
      <c r="C664" s="22"/>
      <c r="D664" s="22" t="s">
        <v>5132</v>
      </c>
      <c r="E664" s="22" t="s">
        <v>55</v>
      </c>
      <c r="F664" s="22" t="s">
        <v>91</v>
      </c>
      <c r="G664" s="22" t="s">
        <v>5133</v>
      </c>
      <c r="H664" s="22" t="s">
        <v>5134</v>
      </c>
      <c r="I664" s="22" t="s">
        <v>5135</v>
      </c>
      <c r="J664" s="22" t="s">
        <v>57</v>
      </c>
      <c r="K664" s="22" t="s">
        <v>4024</v>
      </c>
      <c r="L664" s="22" t="s">
        <v>5136</v>
      </c>
      <c r="M664" s="22"/>
      <c r="N664" s="22"/>
      <c r="O664" s="22"/>
      <c r="P664" s="22"/>
    </row>
    <row r="665" ht="15.75" customHeight="1">
      <c r="A665" s="20" t="s">
        <v>5137</v>
      </c>
      <c r="B665" s="20" t="s">
        <v>5138</v>
      </c>
      <c r="C665" s="20" t="s">
        <v>5139</v>
      </c>
      <c r="D665" s="20" t="s">
        <v>5140</v>
      </c>
      <c r="E665" s="20" t="s">
        <v>5141</v>
      </c>
      <c r="F665" s="20" t="s">
        <v>112</v>
      </c>
      <c r="G665" s="20" t="s">
        <v>5142</v>
      </c>
      <c r="H665" s="20" t="s">
        <v>5143</v>
      </c>
      <c r="I665" s="20" t="s">
        <v>5144</v>
      </c>
      <c r="J665" s="20" t="s">
        <v>57</v>
      </c>
      <c r="K665" s="21" t="s">
        <v>1372</v>
      </c>
      <c r="L665" s="21" t="s">
        <v>5145</v>
      </c>
      <c r="M665" s="21"/>
      <c r="N665" s="21"/>
      <c r="O665" s="21" t="s">
        <v>1093</v>
      </c>
      <c r="P665" s="21"/>
    </row>
    <row r="666" ht="15.75" customHeight="1">
      <c r="A666" s="22" t="s">
        <v>5146</v>
      </c>
      <c r="B666" s="22" t="s">
        <v>5147</v>
      </c>
      <c r="C666" s="22"/>
      <c r="D666" s="22" t="s">
        <v>5148</v>
      </c>
      <c r="E666" s="22" t="s">
        <v>2546</v>
      </c>
      <c r="F666" s="22"/>
      <c r="G666" s="22" t="s">
        <v>5149</v>
      </c>
      <c r="H666" s="22" t="s">
        <v>5150</v>
      </c>
      <c r="I666" s="22" t="s">
        <v>5151</v>
      </c>
      <c r="J666" s="22" t="s">
        <v>57</v>
      </c>
      <c r="K666" s="22" t="s">
        <v>5152</v>
      </c>
      <c r="L666" s="22" t="s">
        <v>4306</v>
      </c>
      <c r="M666" s="22"/>
      <c r="N666" s="22"/>
      <c r="O666" s="22" t="s">
        <v>73</v>
      </c>
      <c r="P666" s="22"/>
    </row>
    <row r="667" ht="15.75" customHeight="1">
      <c r="A667" s="20" t="s">
        <v>5153</v>
      </c>
      <c r="B667" s="20" t="s">
        <v>5154</v>
      </c>
      <c r="C667" s="20" t="s">
        <v>5155</v>
      </c>
      <c r="D667" s="20" t="s">
        <v>5156</v>
      </c>
      <c r="E667" s="20" t="s">
        <v>129</v>
      </c>
      <c r="F667" s="20" t="s">
        <v>130</v>
      </c>
      <c r="G667" s="20" t="s">
        <v>5157</v>
      </c>
      <c r="H667" s="20" t="s">
        <v>5158</v>
      </c>
      <c r="I667" s="20" t="s">
        <v>5159</v>
      </c>
      <c r="J667" s="20" t="s">
        <v>57</v>
      </c>
      <c r="K667" s="21" t="s">
        <v>5160</v>
      </c>
      <c r="L667" s="21" t="s">
        <v>762</v>
      </c>
      <c r="M667" s="21"/>
      <c r="N667" s="21"/>
      <c r="O667" s="21"/>
      <c r="P667" s="21"/>
    </row>
    <row r="668" ht="15.75" customHeight="1">
      <c r="A668" s="22" t="s">
        <v>5161</v>
      </c>
      <c r="B668" s="22" t="s">
        <v>5162</v>
      </c>
      <c r="C668" s="22" t="s">
        <v>5163</v>
      </c>
      <c r="D668" s="22" t="s">
        <v>5164</v>
      </c>
      <c r="E668" s="22" t="s">
        <v>129</v>
      </c>
      <c r="F668" s="22" t="s">
        <v>130</v>
      </c>
      <c r="G668" s="22" t="s">
        <v>5165</v>
      </c>
      <c r="H668" s="22"/>
      <c r="I668" s="22"/>
      <c r="J668" s="22" t="s">
        <v>57</v>
      </c>
      <c r="K668" s="22" t="s">
        <v>663</v>
      </c>
      <c r="L668" s="22" t="s">
        <v>5166</v>
      </c>
      <c r="M668" s="22"/>
      <c r="N668" s="22"/>
      <c r="O668" s="22" t="s">
        <v>3170</v>
      </c>
      <c r="P668" s="22"/>
    </row>
    <row r="669" ht="15.75" customHeight="1">
      <c r="A669" s="20" t="s">
        <v>5167</v>
      </c>
      <c r="B669" s="20" t="s">
        <v>5168</v>
      </c>
      <c r="C669" s="20" t="s">
        <v>5169</v>
      </c>
      <c r="D669" s="20" t="s">
        <v>5170</v>
      </c>
      <c r="E669" s="20" t="s">
        <v>5171</v>
      </c>
      <c r="F669" s="20" t="s">
        <v>130</v>
      </c>
      <c r="G669" s="20" t="s">
        <v>5172</v>
      </c>
      <c r="H669" s="20" t="s">
        <v>5173</v>
      </c>
      <c r="I669" s="20" t="s">
        <v>5174</v>
      </c>
      <c r="J669" s="20" t="s">
        <v>57</v>
      </c>
      <c r="K669" s="21" t="s">
        <v>5175</v>
      </c>
      <c r="L669" s="21" t="s">
        <v>3376</v>
      </c>
      <c r="M669" s="21"/>
      <c r="N669" s="21"/>
      <c r="O669" s="21" t="s">
        <v>1498</v>
      </c>
      <c r="P669" s="21"/>
    </row>
    <row r="670" ht="15.75" customHeight="1">
      <c r="A670" s="22" t="s">
        <v>5176</v>
      </c>
      <c r="B670" s="22" t="s">
        <v>5177</v>
      </c>
      <c r="C670" s="22" t="s">
        <v>5178</v>
      </c>
      <c r="D670" s="22" t="s">
        <v>5179</v>
      </c>
      <c r="E670" s="22" t="s">
        <v>5180</v>
      </c>
      <c r="F670" s="22" t="s">
        <v>363</v>
      </c>
      <c r="G670" s="22" t="s">
        <v>5181</v>
      </c>
      <c r="H670" s="22" t="s">
        <v>5182</v>
      </c>
      <c r="I670" s="22"/>
      <c r="J670" s="22" t="s">
        <v>57</v>
      </c>
      <c r="K670" s="22" t="s">
        <v>5183</v>
      </c>
      <c r="L670" s="22" t="s">
        <v>762</v>
      </c>
      <c r="M670" s="22"/>
      <c r="N670" s="22"/>
      <c r="O670" s="22"/>
      <c r="P670" s="22"/>
    </row>
    <row r="671" ht="15.75" customHeight="1">
      <c r="A671" s="20" t="s">
        <v>5184</v>
      </c>
      <c r="B671" s="20" t="s">
        <v>4475</v>
      </c>
      <c r="C671" s="20" t="s">
        <v>2904</v>
      </c>
      <c r="D671" s="20" t="s">
        <v>5185</v>
      </c>
      <c r="E671" s="20" t="s">
        <v>1929</v>
      </c>
      <c r="F671" s="20" t="s">
        <v>263</v>
      </c>
      <c r="G671" s="20" t="s">
        <v>1291</v>
      </c>
      <c r="H671" s="20" t="s">
        <v>2907</v>
      </c>
      <c r="I671" s="20" t="s">
        <v>5186</v>
      </c>
      <c r="J671" s="20" t="s">
        <v>57</v>
      </c>
      <c r="K671" s="21" t="s">
        <v>604</v>
      </c>
      <c r="L671" s="21" t="s">
        <v>84</v>
      </c>
      <c r="M671" s="21"/>
      <c r="N671" s="21"/>
      <c r="O671" s="21"/>
      <c r="P671" s="21" t="s">
        <v>107</v>
      </c>
    </row>
    <row r="672" ht="15.75" customHeight="1">
      <c r="A672" s="22" t="s">
        <v>5187</v>
      </c>
      <c r="B672" s="22" t="s">
        <v>5188</v>
      </c>
      <c r="C672" s="22" t="s">
        <v>5189</v>
      </c>
      <c r="D672" s="22" t="s">
        <v>5190</v>
      </c>
      <c r="E672" s="22" t="s">
        <v>55</v>
      </c>
      <c r="F672" s="22" t="s">
        <v>91</v>
      </c>
      <c r="G672" s="22" t="s">
        <v>5191</v>
      </c>
      <c r="H672" s="22"/>
      <c r="I672" s="22" t="s">
        <v>5192</v>
      </c>
      <c r="J672" s="22" t="s">
        <v>57</v>
      </c>
      <c r="K672" s="22"/>
      <c r="L672" s="22" t="s">
        <v>2021</v>
      </c>
      <c r="M672" s="22"/>
      <c r="N672" s="22" t="s">
        <v>5193</v>
      </c>
      <c r="O672" s="22"/>
      <c r="P672" s="22"/>
    </row>
    <row r="673" ht="15.75" customHeight="1">
      <c r="A673" s="20" t="s">
        <v>5194</v>
      </c>
      <c r="B673" s="20" t="s">
        <v>5195</v>
      </c>
      <c r="C673" s="20" t="s">
        <v>2264</v>
      </c>
      <c r="D673" s="20" t="s">
        <v>5196</v>
      </c>
      <c r="E673" s="20" t="s">
        <v>5197</v>
      </c>
      <c r="F673" s="20" t="s">
        <v>263</v>
      </c>
      <c r="G673" s="20"/>
      <c r="H673" s="20" t="s">
        <v>5198</v>
      </c>
      <c r="I673" s="20" t="s">
        <v>5199</v>
      </c>
      <c r="J673" s="20" t="s">
        <v>57</v>
      </c>
      <c r="K673" s="21" t="s">
        <v>5200</v>
      </c>
      <c r="L673" s="21" t="s">
        <v>84</v>
      </c>
      <c r="M673" s="21"/>
      <c r="N673" s="21"/>
      <c r="O673" s="21" t="s">
        <v>459</v>
      </c>
      <c r="P673" s="21"/>
    </row>
    <row r="674" ht="15.75" customHeight="1">
      <c r="A674" s="22" t="s">
        <v>5201</v>
      </c>
      <c r="B674" s="22" t="s">
        <v>5202</v>
      </c>
      <c r="C674" s="22"/>
      <c r="D674" s="22" t="s">
        <v>5203</v>
      </c>
      <c r="E674" s="22" t="s">
        <v>5204</v>
      </c>
      <c r="F674" s="22" t="s">
        <v>101</v>
      </c>
      <c r="G674" s="22"/>
      <c r="H674" s="22" t="s">
        <v>5205</v>
      </c>
      <c r="I674" s="22" t="s">
        <v>5206</v>
      </c>
      <c r="J674" s="22" t="s">
        <v>57</v>
      </c>
      <c r="K674" s="22" t="s">
        <v>518</v>
      </c>
      <c r="L674" s="22" t="s">
        <v>5207</v>
      </c>
      <c r="M674" s="22" t="s">
        <v>5208</v>
      </c>
      <c r="N674" s="22"/>
      <c r="O674" s="22" t="s">
        <v>148</v>
      </c>
      <c r="P674" s="22"/>
    </row>
    <row r="675" ht="15.75" customHeight="1">
      <c r="A675" s="20" t="s">
        <v>5209</v>
      </c>
      <c r="B675" s="20" t="s">
        <v>5210</v>
      </c>
      <c r="C675" s="20"/>
      <c r="D675" s="20" t="s">
        <v>5211</v>
      </c>
      <c r="E675" s="20" t="s">
        <v>2294</v>
      </c>
      <c r="F675" s="20" t="s">
        <v>406</v>
      </c>
      <c r="G675" s="20" t="s">
        <v>2294</v>
      </c>
      <c r="H675" s="20" t="s">
        <v>5212</v>
      </c>
      <c r="I675" s="20" t="s">
        <v>5213</v>
      </c>
      <c r="J675" s="20" t="s">
        <v>57</v>
      </c>
      <c r="K675" s="21" t="s">
        <v>5214</v>
      </c>
      <c r="L675" s="21" t="s">
        <v>5215</v>
      </c>
      <c r="M675" s="21" t="s">
        <v>212</v>
      </c>
      <c r="N675" s="21"/>
      <c r="O675" s="21" t="s">
        <v>61</v>
      </c>
      <c r="P675" s="21"/>
    </row>
    <row r="676" ht="15.75" customHeight="1">
      <c r="A676" s="22" t="s">
        <v>5216</v>
      </c>
      <c r="B676" s="22" t="s">
        <v>5217</v>
      </c>
      <c r="C676" s="22"/>
      <c r="D676" s="22" t="s">
        <v>5218</v>
      </c>
      <c r="E676" s="22" t="s">
        <v>55</v>
      </c>
      <c r="F676" s="22" t="s">
        <v>91</v>
      </c>
      <c r="G676" s="22" t="s">
        <v>55</v>
      </c>
      <c r="H676" s="22" t="s">
        <v>5219</v>
      </c>
      <c r="I676" s="22" t="s">
        <v>5220</v>
      </c>
      <c r="J676" s="22" t="s">
        <v>57</v>
      </c>
      <c r="K676" s="22" t="s">
        <v>5221</v>
      </c>
      <c r="L676" s="22" t="s">
        <v>5222</v>
      </c>
      <c r="M676" s="22" t="s">
        <v>278</v>
      </c>
      <c r="N676" s="22"/>
      <c r="O676" s="22" t="s">
        <v>61</v>
      </c>
      <c r="P676" s="22"/>
    </row>
    <row r="677" ht="15.75" customHeight="1">
      <c r="A677" s="20" t="s">
        <v>5223</v>
      </c>
      <c r="B677" s="20" t="s">
        <v>5224</v>
      </c>
      <c r="C677" s="20"/>
      <c r="D677" s="20" t="s">
        <v>5225</v>
      </c>
      <c r="E677" s="20" t="s">
        <v>5226</v>
      </c>
      <c r="F677" s="20" t="s">
        <v>79</v>
      </c>
      <c r="G677" s="20" t="s">
        <v>5227</v>
      </c>
      <c r="H677" s="20" t="s">
        <v>5228</v>
      </c>
      <c r="I677" s="20" t="s">
        <v>5229</v>
      </c>
      <c r="J677" s="20" t="s">
        <v>57</v>
      </c>
      <c r="K677" s="21" t="s">
        <v>1372</v>
      </c>
      <c r="L677" s="21" t="s">
        <v>3721</v>
      </c>
      <c r="M677" s="21" t="s">
        <v>5230</v>
      </c>
      <c r="N677" s="21"/>
      <c r="O677" s="21" t="s">
        <v>73</v>
      </c>
      <c r="P677" s="21"/>
    </row>
    <row r="678" ht="15.75" customHeight="1">
      <c r="A678" s="22" t="s">
        <v>5231</v>
      </c>
      <c r="B678" s="22" t="s">
        <v>5232</v>
      </c>
      <c r="C678" s="22"/>
      <c r="D678" s="22" t="s">
        <v>5233</v>
      </c>
      <c r="E678" s="22" t="s">
        <v>55</v>
      </c>
      <c r="F678" s="22" t="s">
        <v>91</v>
      </c>
      <c r="G678" s="22" t="s">
        <v>55</v>
      </c>
      <c r="H678" s="22" t="s">
        <v>5234</v>
      </c>
      <c r="I678" s="22" t="s">
        <v>5235</v>
      </c>
      <c r="J678" s="22" t="s">
        <v>57</v>
      </c>
      <c r="K678" s="22" t="s">
        <v>5236</v>
      </c>
      <c r="L678" s="22" t="s">
        <v>762</v>
      </c>
      <c r="M678" s="22" t="s">
        <v>3446</v>
      </c>
      <c r="N678" s="22"/>
      <c r="O678" s="22" t="s">
        <v>73</v>
      </c>
      <c r="P678" s="22"/>
    </row>
    <row r="679" ht="15.75" customHeight="1">
      <c r="A679" s="20" t="s">
        <v>5237</v>
      </c>
      <c r="B679" s="20" t="s">
        <v>5238</v>
      </c>
      <c r="C679" s="20"/>
      <c r="D679" s="20" t="s">
        <v>5239</v>
      </c>
      <c r="E679" s="20" t="s">
        <v>1171</v>
      </c>
      <c r="F679" s="20" t="s">
        <v>101</v>
      </c>
      <c r="G679" s="20" t="s">
        <v>5240</v>
      </c>
      <c r="H679" s="20" t="s">
        <v>5241</v>
      </c>
      <c r="I679" s="20" t="s">
        <v>5242</v>
      </c>
      <c r="J679" s="20" t="s">
        <v>57</v>
      </c>
      <c r="K679" s="21" t="s">
        <v>248</v>
      </c>
      <c r="L679" s="21" t="s">
        <v>5243</v>
      </c>
      <c r="M679" s="21" t="s">
        <v>710</v>
      </c>
      <c r="N679" s="21"/>
      <c r="O679" s="21" t="s">
        <v>469</v>
      </c>
      <c r="P679" s="21"/>
    </row>
    <row r="680" ht="15.75" customHeight="1">
      <c r="A680" s="22" t="s">
        <v>5244</v>
      </c>
      <c r="B680" s="22" t="s">
        <v>5245</v>
      </c>
      <c r="C680" s="22"/>
      <c r="D680" s="22" t="s">
        <v>5246</v>
      </c>
      <c r="E680" s="22" t="s">
        <v>5247</v>
      </c>
      <c r="F680" s="22" t="s">
        <v>363</v>
      </c>
      <c r="G680" s="22"/>
      <c r="H680" s="22" t="s">
        <v>5248</v>
      </c>
      <c r="I680" s="22"/>
      <c r="J680" s="22" t="s">
        <v>57</v>
      </c>
      <c r="K680" s="22" t="s">
        <v>5249</v>
      </c>
      <c r="L680" s="22" t="s">
        <v>183</v>
      </c>
      <c r="M680" s="22" t="s">
        <v>304</v>
      </c>
      <c r="N680" s="22"/>
      <c r="O680" s="22" t="s">
        <v>137</v>
      </c>
      <c r="P680" s="22"/>
    </row>
    <row r="681" ht="15.75" customHeight="1">
      <c r="A681" s="20" t="s">
        <v>5250</v>
      </c>
      <c r="B681" s="20"/>
      <c r="C681" s="20"/>
      <c r="D681" s="20" t="s">
        <v>5251</v>
      </c>
      <c r="E681" s="20" t="s">
        <v>5247</v>
      </c>
      <c r="F681" s="20" t="s">
        <v>363</v>
      </c>
      <c r="G681" s="20" t="s">
        <v>5252</v>
      </c>
      <c r="H681" s="20" t="s">
        <v>5253</v>
      </c>
      <c r="I681" s="20" t="s">
        <v>5254</v>
      </c>
      <c r="J681" s="20" t="s">
        <v>57</v>
      </c>
      <c r="K681" s="21" t="s">
        <v>248</v>
      </c>
      <c r="L681" s="21" t="s">
        <v>5255</v>
      </c>
      <c r="M681" s="21"/>
      <c r="N681" s="21"/>
      <c r="O681" s="21" t="s">
        <v>159</v>
      </c>
      <c r="P681" s="21"/>
    </row>
    <row r="682" ht="15.75" customHeight="1">
      <c r="A682" s="22" t="s">
        <v>5256</v>
      </c>
      <c r="B682" s="22" t="s">
        <v>5257</v>
      </c>
      <c r="C682" s="22" t="s">
        <v>5258</v>
      </c>
      <c r="D682" s="22" t="s">
        <v>5259</v>
      </c>
      <c r="E682" s="22" t="s">
        <v>5260</v>
      </c>
      <c r="F682" s="22" t="s">
        <v>79</v>
      </c>
      <c r="G682" s="22" t="s">
        <v>5261</v>
      </c>
      <c r="H682" s="22" t="s">
        <v>5262</v>
      </c>
      <c r="I682" s="22"/>
      <c r="J682" s="22" t="s">
        <v>57</v>
      </c>
      <c r="K682" s="22" t="s">
        <v>5263</v>
      </c>
      <c r="L682" s="22" t="s">
        <v>5264</v>
      </c>
      <c r="M682" s="22"/>
      <c r="N682" s="22" t="s">
        <v>5265</v>
      </c>
      <c r="O682" s="22"/>
      <c r="P682" s="22"/>
    </row>
    <row r="683" ht="15.75" customHeight="1">
      <c r="A683" s="20" t="s">
        <v>5266</v>
      </c>
      <c r="B683" s="20" t="s">
        <v>5267</v>
      </c>
      <c r="C683" s="20" t="s">
        <v>2632</v>
      </c>
      <c r="D683" s="20" t="s">
        <v>5268</v>
      </c>
      <c r="E683" s="20" t="s">
        <v>5269</v>
      </c>
      <c r="F683" s="20" t="s">
        <v>352</v>
      </c>
      <c r="G683" s="20" t="s">
        <v>5270</v>
      </c>
      <c r="H683" s="20" t="s">
        <v>445</v>
      </c>
      <c r="I683" s="20" t="s">
        <v>5271</v>
      </c>
      <c r="J683" s="20" t="s">
        <v>57</v>
      </c>
      <c r="K683" s="21" t="s">
        <v>5272</v>
      </c>
      <c r="L683" s="21" t="s">
        <v>5273</v>
      </c>
      <c r="M683" s="21" t="s">
        <v>5274</v>
      </c>
      <c r="N683" s="21"/>
      <c r="O683" s="21" t="s">
        <v>412</v>
      </c>
      <c r="P683" s="21" t="s">
        <v>107</v>
      </c>
    </row>
    <row r="684" ht="15.75" customHeight="1">
      <c r="A684" s="22" t="s">
        <v>5275</v>
      </c>
      <c r="B684" s="22" t="s">
        <v>5276</v>
      </c>
      <c r="C684" s="22" t="s">
        <v>5277</v>
      </c>
      <c r="D684" s="22" t="s">
        <v>5278</v>
      </c>
      <c r="E684" s="22" t="s">
        <v>5279</v>
      </c>
      <c r="F684" s="22" t="s">
        <v>130</v>
      </c>
      <c r="G684" s="22" t="s">
        <v>5280</v>
      </c>
      <c r="H684" s="22" t="s">
        <v>5281</v>
      </c>
      <c r="I684" s="22" t="s">
        <v>5282</v>
      </c>
      <c r="J684" s="22" t="s">
        <v>57</v>
      </c>
      <c r="K684" s="22" t="s">
        <v>5283</v>
      </c>
      <c r="L684" s="22" t="s">
        <v>5284</v>
      </c>
      <c r="M684" s="22" t="s">
        <v>60</v>
      </c>
      <c r="N684" s="22"/>
      <c r="O684" s="22" t="s">
        <v>269</v>
      </c>
      <c r="P684" s="22"/>
    </row>
    <row r="685" ht="15.75" customHeight="1">
      <c r="A685" s="20" t="s">
        <v>5285</v>
      </c>
      <c r="B685" s="20" t="s">
        <v>5286</v>
      </c>
      <c r="C685" s="20" t="s">
        <v>5287</v>
      </c>
      <c r="D685" s="20" t="s">
        <v>5288</v>
      </c>
      <c r="E685" s="20" t="s">
        <v>2428</v>
      </c>
      <c r="F685" s="20" t="s">
        <v>378</v>
      </c>
      <c r="G685" s="20" t="s">
        <v>590</v>
      </c>
      <c r="H685" s="20" t="s">
        <v>5289</v>
      </c>
      <c r="I685" s="20" t="s">
        <v>5290</v>
      </c>
      <c r="J685" s="20" t="s">
        <v>57</v>
      </c>
      <c r="K685" s="21" t="s">
        <v>320</v>
      </c>
      <c r="L685" s="21" t="s">
        <v>5291</v>
      </c>
      <c r="M685" s="21" t="s">
        <v>401</v>
      </c>
      <c r="N685" s="21" t="s">
        <v>5292</v>
      </c>
      <c r="O685" s="21" t="s">
        <v>5293</v>
      </c>
      <c r="P685" s="21"/>
    </row>
    <row r="686" ht="15.75" customHeight="1">
      <c r="A686" s="22" t="s">
        <v>5294</v>
      </c>
      <c r="B686" s="22" t="s">
        <v>5295</v>
      </c>
      <c r="C686" s="22"/>
      <c r="D686" s="22" t="s">
        <v>5296</v>
      </c>
      <c r="E686" s="22" t="s">
        <v>231</v>
      </c>
      <c r="F686" s="22" t="s">
        <v>79</v>
      </c>
      <c r="G686" s="22" t="s">
        <v>5297</v>
      </c>
      <c r="H686" s="22" t="s">
        <v>5298</v>
      </c>
      <c r="I686" s="22" t="s">
        <v>5299</v>
      </c>
      <c r="J686" s="22" t="s">
        <v>57</v>
      </c>
      <c r="K686" s="22" t="s">
        <v>157</v>
      </c>
      <c r="L686" s="22" t="s">
        <v>5300</v>
      </c>
      <c r="M686" s="22"/>
      <c r="N686" s="22"/>
      <c r="O686" s="22" t="s">
        <v>137</v>
      </c>
      <c r="P686" s="22"/>
    </row>
    <row r="687" ht="15.75" customHeight="1">
      <c r="A687" s="20" t="s">
        <v>5301</v>
      </c>
      <c r="B687" s="20" t="s">
        <v>5302</v>
      </c>
      <c r="C687" s="20"/>
      <c r="D687" s="20" t="s">
        <v>5303</v>
      </c>
      <c r="E687" s="20" t="s">
        <v>2682</v>
      </c>
      <c r="F687" s="20" t="s">
        <v>580</v>
      </c>
      <c r="G687" s="20" t="s">
        <v>3718</v>
      </c>
      <c r="H687" s="20" t="s">
        <v>5304</v>
      </c>
      <c r="I687" s="20" t="s">
        <v>5305</v>
      </c>
      <c r="J687" s="20" t="s">
        <v>57</v>
      </c>
      <c r="K687" s="21" t="s">
        <v>1398</v>
      </c>
      <c r="L687" s="21" t="s">
        <v>84</v>
      </c>
      <c r="M687" s="21"/>
      <c r="N687" s="21"/>
      <c r="O687" s="21" t="s">
        <v>137</v>
      </c>
      <c r="P687" s="21"/>
    </row>
    <row r="688" ht="15.75" customHeight="1">
      <c r="A688" s="22" t="s">
        <v>5306</v>
      </c>
      <c r="B688" s="22" t="s">
        <v>5307</v>
      </c>
      <c r="C688" s="22"/>
      <c r="D688" s="22" t="s">
        <v>5308</v>
      </c>
      <c r="E688" s="22" t="s">
        <v>5309</v>
      </c>
      <c r="F688" s="22" t="s">
        <v>112</v>
      </c>
      <c r="G688" s="22" t="s">
        <v>5310</v>
      </c>
      <c r="H688" s="22" t="s">
        <v>5311</v>
      </c>
      <c r="I688" s="22" t="s">
        <v>5312</v>
      </c>
      <c r="J688" s="22" t="s">
        <v>57</v>
      </c>
      <c r="K688" s="22" t="s">
        <v>2362</v>
      </c>
      <c r="L688" s="22" t="s">
        <v>5313</v>
      </c>
      <c r="M688" s="22" t="s">
        <v>941</v>
      </c>
      <c r="N688" s="22"/>
      <c r="O688" s="22" t="s">
        <v>159</v>
      </c>
      <c r="P688" s="22"/>
    </row>
    <row r="689" ht="15.75" customHeight="1">
      <c r="A689" s="20" t="s">
        <v>5314</v>
      </c>
      <c r="B689" s="20" t="s">
        <v>4190</v>
      </c>
      <c r="C689" s="20" t="s">
        <v>2198</v>
      </c>
      <c r="D689" s="20" t="s">
        <v>661</v>
      </c>
      <c r="E689" s="20" t="s">
        <v>231</v>
      </c>
      <c r="F689" s="20" t="s">
        <v>79</v>
      </c>
      <c r="G689" s="20" t="s">
        <v>5315</v>
      </c>
      <c r="H689" s="20" t="s">
        <v>2201</v>
      </c>
      <c r="I689" s="20" t="s">
        <v>5316</v>
      </c>
      <c r="J689" s="20" t="s">
        <v>57</v>
      </c>
      <c r="K689" s="21" t="s">
        <v>5317</v>
      </c>
      <c r="L689" s="21" t="s">
        <v>5318</v>
      </c>
      <c r="M689" s="21" t="s">
        <v>2149</v>
      </c>
      <c r="N689" s="21"/>
      <c r="O689" s="21" t="s">
        <v>5319</v>
      </c>
      <c r="P689" s="21" t="s">
        <v>107</v>
      </c>
    </row>
    <row r="690" ht="15.75" customHeight="1">
      <c r="A690" s="22" t="s">
        <v>5320</v>
      </c>
      <c r="B690" s="22" t="s">
        <v>5321</v>
      </c>
      <c r="C690" s="22" t="s">
        <v>5322</v>
      </c>
      <c r="D690" s="22" t="s">
        <v>5323</v>
      </c>
      <c r="E690" s="22" t="s">
        <v>129</v>
      </c>
      <c r="F690" s="22" t="s">
        <v>130</v>
      </c>
      <c r="G690" s="22" t="s">
        <v>5324</v>
      </c>
      <c r="H690" s="22"/>
      <c r="I690" s="22" t="s">
        <v>5325</v>
      </c>
      <c r="J690" s="22" t="s">
        <v>57</v>
      </c>
      <c r="K690" s="22" t="s">
        <v>5326</v>
      </c>
      <c r="L690" s="22" t="s">
        <v>84</v>
      </c>
      <c r="M690" s="22"/>
      <c r="N690" s="22"/>
      <c r="O690" s="22" t="s">
        <v>159</v>
      </c>
      <c r="P690" s="22"/>
    </row>
    <row r="691" ht="15.75" customHeight="1">
      <c r="A691" s="20" t="s">
        <v>5327</v>
      </c>
      <c r="B691" s="20" t="s">
        <v>2520</v>
      </c>
      <c r="C691" s="20" t="s">
        <v>5328</v>
      </c>
      <c r="D691" s="20" t="s">
        <v>5329</v>
      </c>
      <c r="E691" s="20" t="s">
        <v>5330</v>
      </c>
      <c r="F691" s="20" t="s">
        <v>91</v>
      </c>
      <c r="G691" s="20" t="s">
        <v>5331</v>
      </c>
      <c r="H691" s="20" t="s">
        <v>5332</v>
      </c>
      <c r="I691" s="20" t="s">
        <v>5333</v>
      </c>
      <c r="J691" s="20" t="s">
        <v>57</v>
      </c>
      <c r="K691" s="21" t="s">
        <v>5334</v>
      </c>
      <c r="L691" s="21" t="s">
        <v>5335</v>
      </c>
      <c r="M691" s="21" t="s">
        <v>985</v>
      </c>
      <c r="N691" s="21"/>
      <c r="O691" s="21" t="s">
        <v>501</v>
      </c>
      <c r="P691" s="21" t="s">
        <v>107</v>
      </c>
    </row>
    <row r="692" ht="15.75" customHeight="1">
      <c r="A692" s="22" t="s">
        <v>5336</v>
      </c>
      <c r="B692" s="22" t="s">
        <v>5337</v>
      </c>
      <c r="C692" s="22" t="s">
        <v>5338</v>
      </c>
      <c r="D692" s="22" t="s">
        <v>5339</v>
      </c>
      <c r="E692" s="22" t="s">
        <v>395</v>
      </c>
      <c r="F692" s="22" t="s">
        <v>66</v>
      </c>
      <c r="G692" s="22" t="s">
        <v>5340</v>
      </c>
      <c r="H692" s="22" t="s">
        <v>5341</v>
      </c>
      <c r="I692" s="22" t="s">
        <v>5342</v>
      </c>
      <c r="J692" s="22" t="s">
        <v>57</v>
      </c>
      <c r="K692" s="22" t="s">
        <v>5343</v>
      </c>
      <c r="L692" s="22" t="s">
        <v>2417</v>
      </c>
      <c r="M692" s="22" t="s">
        <v>184</v>
      </c>
      <c r="N692" s="22"/>
      <c r="O692" s="22" t="s">
        <v>137</v>
      </c>
      <c r="P692" s="22"/>
    </row>
    <row r="693" ht="15.75" customHeight="1">
      <c r="A693" s="20" t="s">
        <v>5344</v>
      </c>
      <c r="B693" s="20"/>
      <c r="C693" s="20"/>
      <c r="D693" s="20" t="s">
        <v>5345</v>
      </c>
      <c r="E693" s="20" t="s">
        <v>1612</v>
      </c>
      <c r="F693" s="20" t="s">
        <v>130</v>
      </c>
      <c r="G693" s="20"/>
      <c r="H693" s="20" t="s">
        <v>5346</v>
      </c>
      <c r="I693" s="20" t="s">
        <v>5347</v>
      </c>
      <c r="J693" s="20" t="s">
        <v>57</v>
      </c>
      <c r="K693" s="21" t="s">
        <v>124</v>
      </c>
      <c r="L693" s="21" t="s">
        <v>84</v>
      </c>
      <c r="M693" s="21"/>
      <c r="N693" s="21"/>
      <c r="O693" s="21" t="s">
        <v>137</v>
      </c>
      <c r="P693" s="21"/>
    </row>
    <row r="694" ht="15.75" customHeight="1">
      <c r="A694" s="22" t="s">
        <v>5348</v>
      </c>
      <c r="B694" s="22" t="s">
        <v>5349</v>
      </c>
      <c r="C694" s="22"/>
      <c r="D694" s="22" t="s">
        <v>5350</v>
      </c>
      <c r="E694" s="22" t="s">
        <v>100</v>
      </c>
      <c r="F694" s="22" t="s">
        <v>101</v>
      </c>
      <c r="G694" s="22" t="s">
        <v>100</v>
      </c>
      <c r="H694" s="22" t="s">
        <v>5351</v>
      </c>
      <c r="I694" s="22" t="s">
        <v>5352</v>
      </c>
      <c r="J694" s="22" t="s">
        <v>57</v>
      </c>
      <c r="K694" s="22" t="s">
        <v>5083</v>
      </c>
      <c r="L694" s="22" t="s">
        <v>84</v>
      </c>
      <c r="M694" s="22" t="s">
        <v>5353</v>
      </c>
      <c r="N694" s="22"/>
      <c r="O694" s="22" t="s">
        <v>137</v>
      </c>
      <c r="P694" s="22"/>
    </row>
    <row r="695" ht="15.75" customHeight="1">
      <c r="A695" s="20" t="s">
        <v>5354</v>
      </c>
      <c r="B695" s="20" t="s">
        <v>5355</v>
      </c>
      <c r="C695" s="20"/>
      <c r="D695" s="20" t="s">
        <v>5356</v>
      </c>
      <c r="E695" s="20" t="s">
        <v>5357</v>
      </c>
      <c r="F695" s="20" t="s">
        <v>378</v>
      </c>
      <c r="G695" s="20" t="s">
        <v>732</v>
      </c>
      <c r="H695" s="20" t="s">
        <v>5358</v>
      </c>
      <c r="I695" s="20" t="s">
        <v>5359</v>
      </c>
      <c r="J695" s="20" t="s">
        <v>57</v>
      </c>
      <c r="K695" s="21" t="s">
        <v>5360</v>
      </c>
      <c r="L695" s="21" t="s">
        <v>762</v>
      </c>
      <c r="M695" s="21"/>
      <c r="N695" s="21"/>
      <c r="O695" s="21" t="s">
        <v>61</v>
      </c>
      <c r="P695" s="21"/>
    </row>
    <row r="696" ht="15.75" customHeight="1">
      <c r="A696" s="22" t="s">
        <v>5361</v>
      </c>
      <c r="B696" s="22" t="s">
        <v>5362</v>
      </c>
      <c r="C696" s="22" t="s">
        <v>5363</v>
      </c>
      <c r="D696" s="22" t="s">
        <v>5364</v>
      </c>
      <c r="E696" s="22" t="s">
        <v>5365</v>
      </c>
      <c r="F696" s="22" t="s">
        <v>101</v>
      </c>
      <c r="G696" s="22" t="s">
        <v>5366</v>
      </c>
      <c r="H696" s="22" t="s">
        <v>1040</v>
      </c>
      <c r="I696" s="22" t="s">
        <v>5367</v>
      </c>
      <c r="J696" s="22" t="s">
        <v>57</v>
      </c>
      <c r="K696" s="22" t="s">
        <v>5368</v>
      </c>
      <c r="L696" s="22" t="s">
        <v>5369</v>
      </c>
      <c r="M696" s="22" t="s">
        <v>3876</v>
      </c>
      <c r="N696" s="22" t="s">
        <v>1012</v>
      </c>
      <c r="O696" s="22" t="s">
        <v>185</v>
      </c>
      <c r="P696" s="22"/>
    </row>
    <row r="697" ht="15.75" customHeight="1">
      <c r="A697" s="20" t="s">
        <v>5370</v>
      </c>
      <c r="B697" s="20"/>
      <c r="C697" s="20" t="s">
        <v>5371</v>
      </c>
      <c r="D697" s="20" t="s">
        <v>5372</v>
      </c>
      <c r="E697" s="20" t="s">
        <v>5373</v>
      </c>
      <c r="F697" s="20" t="s">
        <v>352</v>
      </c>
      <c r="G697" s="20" t="s">
        <v>5374</v>
      </c>
      <c r="H697" s="20"/>
      <c r="I697" s="20" t="s">
        <v>5375</v>
      </c>
      <c r="J697" s="20" t="s">
        <v>57</v>
      </c>
      <c r="K697" s="21" t="s">
        <v>124</v>
      </c>
      <c r="L697" s="21" t="s">
        <v>5376</v>
      </c>
      <c r="M697" s="21"/>
      <c r="N697" s="21"/>
      <c r="O697" s="21"/>
      <c r="P697" s="21"/>
    </row>
    <row r="698" ht="15.75" customHeight="1">
      <c r="A698" s="22" t="s">
        <v>5377</v>
      </c>
      <c r="B698" s="22" t="s">
        <v>5378</v>
      </c>
      <c r="C698" s="22"/>
      <c r="D698" s="22" t="s">
        <v>5379</v>
      </c>
      <c r="E698" s="22" t="s">
        <v>5380</v>
      </c>
      <c r="F698" s="22" t="s">
        <v>363</v>
      </c>
      <c r="G698" s="22" t="s">
        <v>5381</v>
      </c>
      <c r="H698" s="22" t="s">
        <v>5382</v>
      </c>
      <c r="I698" s="22"/>
      <c r="J698" s="22" t="s">
        <v>57</v>
      </c>
      <c r="K698" s="22" t="s">
        <v>5383</v>
      </c>
      <c r="L698" s="22" t="s">
        <v>5384</v>
      </c>
      <c r="M698" s="22"/>
      <c r="N698" s="22"/>
      <c r="O698" s="22" t="s">
        <v>185</v>
      </c>
      <c r="P698" s="22"/>
    </row>
    <row r="699" ht="15.75" customHeight="1">
      <c r="A699" s="20" t="s">
        <v>5385</v>
      </c>
      <c r="B699" s="20" t="s">
        <v>5386</v>
      </c>
      <c r="C699" s="20"/>
      <c r="D699" s="20" t="s">
        <v>5387</v>
      </c>
      <c r="E699" s="20" t="s">
        <v>2154</v>
      </c>
      <c r="F699" s="20" t="s">
        <v>363</v>
      </c>
      <c r="G699" s="20"/>
      <c r="H699" s="20" t="s">
        <v>5388</v>
      </c>
      <c r="I699" s="20" t="s">
        <v>5389</v>
      </c>
      <c r="J699" s="20" t="s">
        <v>57</v>
      </c>
      <c r="K699" s="21" t="s">
        <v>1372</v>
      </c>
      <c r="L699" s="21" t="s">
        <v>84</v>
      </c>
      <c r="M699" s="21" t="s">
        <v>5390</v>
      </c>
      <c r="N699" s="21"/>
      <c r="O699" s="21" t="s">
        <v>495</v>
      </c>
      <c r="P699" s="21"/>
    </row>
    <row r="700" ht="15.75" customHeight="1">
      <c r="A700" s="22" t="s">
        <v>5391</v>
      </c>
      <c r="B700" s="22" t="s">
        <v>1252</v>
      </c>
      <c r="C700" s="22"/>
      <c r="D700" s="22" t="s">
        <v>5392</v>
      </c>
      <c r="E700" s="22" t="s">
        <v>231</v>
      </c>
      <c r="F700" s="22" t="s">
        <v>79</v>
      </c>
      <c r="G700" s="22" t="s">
        <v>231</v>
      </c>
      <c r="H700" s="22" t="s">
        <v>5393</v>
      </c>
      <c r="I700" s="22" t="s">
        <v>5394</v>
      </c>
      <c r="J700" s="22" t="s">
        <v>57</v>
      </c>
      <c r="K700" s="22" t="s">
        <v>5395</v>
      </c>
      <c r="L700" s="22" t="s">
        <v>84</v>
      </c>
      <c r="M700" s="22" t="s">
        <v>1901</v>
      </c>
      <c r="N700" s="22"/>
      <c r="O700" s="22" t="s">
        <v>258</v>
      </c>
      <c r="P700" s="22"/>
    </row>
    <row r="701" ht="15.75" customHeight="1">
      <c r="A701" s="20" t="s">
        <v>5396</v>
      </c>
      <c r="B701" s="20" t="s">
        <v>5397</v>
      </c>
      <c r="C701" s="20" t="s">
        <v>5398</v>
      </c>
      <c r="D701" s="20" t="s">
        <v>5399</v>
      </c>
      <c r="E701" s="20" t="s">
        <v>1929</v>
      </c>
      <c r="F701" s="20" t="s">
        <v>263</v>
      </c>
      <c r="G701" s="20" t="s">
        <v>5400</v>
      </c>
      <c r="H701" s="20" t="s">
        <v>5401</v>
      </c>
      <c r="I701" s="20" t="s">
        <v>5402</v>
      </c>
      <c r="J701" s="20" t="s">
        <v>57</v>
      </c>
      <c r="K701" s="21" t="s">
        <v>5403</v>
      </c>
      <c r="L701" s="21" t="s">
        <v>84</v>
      </c>
      <c r="M701" s="21" t="s">
        <v>985</v>
      </c>
      <c r="N701" s="21"/>
      <c r="O701" s="21" t="s">
        <v>4108</v>
      </c>
      <c r="P701" s="21"/>
    </row>
    <row r="702" ht="15.75" customHeight="1">
      <c r="A702" s="22" t="s">
        <v>5404</v>
      </c>
      <c r="B702" s="22" t="s">
        <v>5405</v>
      </c>
      <c r="C702" s="22" t="s">
        <v>5406</v>
      </c>
      <c r="D702" s="22" t="s">
        <v>5407</v>
      </c>
      <c r="E702" s="22" t="s">
        <v>489</v>
      </c>
      <c r="F702" s="22" t="s">
        <v>475</v>
      </c>
      <c r="G702" s="22" t="s">
        <v>5408</v>
      </c>
      <c r="H702" s="22" t="s">
        <v>5409</v>
      </c>
      <c r="I702" s="22" t="s">
        <v>5410</v>
      </c>
      <c r="J702" s="22" t="s">
        <v>57</v>
      </c>
      <c r="K702" s="22" t="s">
        <v>5411</v>
      </c>
      <c r="L702" s="22" t="s">
        <v>84</v>
      </c>
      <c r="M702" s="22" t="s">
        <v>719</v>
      </c>
      <c r="N702" s="22"/>
      <c r="O702" s="22" t="s">
        <v>1665</v>
      </c>
      <c r="P702" s="22"/>
    </row>
    <row r="703" ht="15.75" customHeight="1">
      <c r="A703" s="20" t="s">
        <v>5412</v>
      </c>
      <c r="B703" s="20"/>
      <c r="C703" s="20"/>
      <c r="D703" s="20" t="s">
        <v>5413</v>
      </c>
      <c r="E703" s="20" t="s">
        <v>5414</v>
      </c>
      <c r="F703" s="20" t="s">
        <v>378</v>
      </c>
      <c r="G703" s="20"/>
      <c r="H703" s="20" t="s">
        <v>5415</v>
      </c>
      <c r="I703" s="20"/>
      <c r="J703" s="20" t="s">
        <v>57</v>
      </c>
      <c r="K703" s="21" t="s">
        <v>248</v>
      </c>
      <c r="L703" s="21" t="s">
        <v>84</v>
      </c>
      <c r="M703" s="21"/>
      <c r="N703" s="21"/>
      <c r="O703" s="21"/>
      <c r="P703" s="21"/>
    </row>
    <row r="704" ht="15.75" customHeight="1">
      <c r="A704" s="22" t="s">
        <v>5416</v>
      </c>
      <c r="B704" s="22"/>
      <c r="C704" s="22"/>
      <c r="D704" s="22" t="s">
        <v>5417</v>
      </c>
      <c r="E704" s="22" t="s">
        <v>308</v>
      </c>
      <c r="F704" s="22" t="s">
        <v>101</v>
      </c>
      <c r="G704" s="22"/>
      <c r="H704" s="22"/>
      <c r="I704" s="22" t="s">
        <v>5418</v>
      </c>
      <c r="J704" s="22" t="s">
        <v>57</v>
      </c>
      <c r="K704" s="22" t="s">
        <v>2278</v>
      </c>
      <c r="L704" s="22" t="s">
        <v>5419</v>
      </c>
      <c r="M704" s="22"/>
      <c r="N704" s="22"/>
      <c r="O704" s="22"/>
      <c r="P704" s="22"/>
    </row>
    <row r="705" ht="15.75" customHeight="1">
      <c r="A705" s="20" t="s">
        <v>5420</v>
      </c>
      <c r="B705" s="20" t="s">
        <v>5421</v>
      </c>
      <c r="C705" s="20"/>
      <c r="D705" s="20" t="s">
        <v>5422</v>
      </c>
      <c r="E705" s="20" t="s">
        <v>5423</v>
      </c>
      <c r="F705" s="20" t="s">
        <v>112</v>
      </c>
      <c r="G705" s="20" t="s">
        <v>3434</v>
      </c>
      <c r="H705" s="20" t="s">
        <v>5424</v>
      </c>
      <c r="I705" s="20" t="s">
        <v>5425</v>
      </c>
      <c r="J705" s="20" t="s">
        <v>57</v>
      </c>
      <c r="K705" s="21" t="s">
        <v>5426</v>
      </c>
      <c r="L705" s="21" t="s">
        <v>5427</v>
      </c>
      <c r="M705" s="21" t="s">
        <v>5428</v>
      </c>
      <c r="N705" s="21"/>
      <c r="O705" s="21" t="s">
        <v>185</v>
      </c>
      <c r="P705" s="21"/>
    </row>
    <row r="706" ht="15.75" customHeight="1">
      <c r="A706" s="22" t="s">
        <v>5429</v>
      </c>
      <c r="B706" s="22" t="s">
        <v>5430</v>
      </c>
      <c r="C706" s="22" t="s">
        <v>5431</v>
      </c>
      <c r="D706" s="22" t="s">
        <v>5432</v>
      </c>
      <c r="E706" s="22" t="s">
        <v>231</v>
      </c>
      <c r="F706" s="22" t="s">
        <v>79</v>
      </c>
      <c r="G706" s="22" t="s">
        <v>5433</v>
      </c>
      <c r="H706" s="22" t="s">
        <v>5434</v>
      </c>
      <c r="I706" s="22" t="s">
        <v>5435</v>
      </c>
      <c r="J706" s="22" t="s">
        <v>57</v>
      </c>
      <c r="K706" s="22" t="s">
        <v>5436</v>
      </c>
      <c r="L706" s="22" t="s">
        <v>5437</v>
      </c>
      <c r="M706" s="22"/>
      <c r="N706" s="22"/>
      <c r="O706" s="22"/>
      <c r="P706" s="22"/>
    </row>
    <row r="707" ht="15.75" customHeight="1">
      <c r="A707" s="20" t="s">
        <v>5438</v>
      </c>
      <c r="B707" s="20" t="s">
        <v>5439</v>
      </c>
      <c r="C707" s="20"/>
      <c r="D707" s="20" t="s">
        <v>5440</v>
      </c>
      <c r="E707" s="20" t="s">
        <v>5441</v>
      </c>
      <c r="F707" s="20" t="s">
        <v>363</v>
      </c>
      <c r="G707" s="20" t="s">
        <v>5442</v>
      </c>
      <c r="H707" s="20" t="s">
        <v>5443</v>
      </c>
      <c r="I707" s="20" t="s">
        <v>5444</v>
      </c>
      <c r="J707" s="20" t="s">
        <v>57</v>
      </c>
      <c r="K707" s="21" t="s">
        <v>1597</v>
      </c>
      <c r="L707" s="21" t="s">
        <v>5445</v>
      </c>
      <c r="M707" s="21" t="s">
        <v>5446</v>
      </c>
      <c r="N707" s="21"/>
      <c r="O707" s="21" t="s">
        <v>73</v>
      </c>
      <c r="P707" s="21"/>
    </row>
    <row r="708" ht="15.75" customHeight="1">
      <c r="A708" s="22" t="s">
        <v>5447</v>
      </c>
      <c r="B708" s="22" t="s">
        <v>2119</v>
      </c>
      <c r="C708" s="22" t="s">
        <v>1012</v>
      </c>
      <c r="D708" s="22" t="s">
        <v>5448</v>
      </c>
      <c r="E708" s="22" t="s">
        <v>5449</v>
      </c>
      <c r="F708" s="22" t="s">
        <v>101</v>
      </c>
      <c r="G708" s="22"/>
      <c r="H708" s="22" t="s">
        <v>5450</v>
      </c>
      <c r="I708" s="22" t="s">
        <v>5451</v>
      </c>
      <c r="J708" s="22" t="s">
        <v>57</v>
      </c>
      <c r="K708" s="22" t="s">
        <v>157</v>
      </c>
      <c r="L708" s="22" t="s">
        <v>84</v>
      </c>
      <c r="M708" s="22" t="s">
        <v>2533</v>
      </c>
      <c r="N708" s="22"/>
      <c r="O708" s="22" t="s">
        <v>5452</v>
      </c>
      <c r="P708" s="22"/>
    </row>
    <row r="709" ht="15.75" customHeight="1">
      <c r="A709" s="20" t="s">
        <v>5453</v>
      </c>
      <c r="B709" s="20" t="s">
        <v>5454</v>
      </c>
      <c r="C709" s="20" t="s">
        <v>5455</v>
      </c>
      <c r="D709" s="20"/>
      <c r="E709" s="20" t="s">
        <v>2162</v>
      </c>
      <c r="F709" s="20" t="s">
        <v>2163</v>
      </c>
      <c r="G709" s="20" t="s">
        <v>5456</v>
      </c>
      <c r="H709" s="20" t="s">
        <v>5457</v>
      </c>
      <c r="I709" s="20" t="s">
        <v>5458</v>
      </c>
      <c r="J709" s="20" t="s">
        <v>57</v>
      </c>
      <c r="K709" s="21" t="s">
        <v>2670</v>
      </c>
      <c r="L709" s="21" t="s">
        <v>84</v>
      </c>
      <c r="M709" s="21" t="s">
        <v>1324</v>
      </c>
      <c r="N709" s="21"/>
      <c r="O709" s="21" t="s">
        <v>117</v>
      </c>
      <c r="P709" s="21" t="s">
        <v>107</v>
      </c>
    </row>
    <row r="710" ht="15.75" customHeight="1">
      <c r="A710" s="22" t="s">
        <v>5459</v>
      </c>
      <c r="B710" s="22" t="s">
        <v>5460</v>
      </c>
      <c r="C710" s="22" t="s">
        <v>5461</v>
      </c>
      <c r="D710" s="22" t="s">
        <v>5462</v>
      </c>
      <c r="E710" s="22" t="s">
        <v>2162</v>
      </c>
      <c r="F710" s="22" t="s">
        <v>2163</v>
      </c>
      <c r="G710" s="22"/>
      <c r="H710" s="22" t="s">
        <v>5463</v>
      </c>
      <c r="I710" s="22" t="s">
        <v>1230</v>
      </c>
      <c r="J710" s="22" t="s">
        <v>57</v>
      </c>
      <c r="K710" s="22" t="s">
        <v>2173</v>
      </c>
      <c r="L710" s="22" t="s">
        <v>5464</v>
      </c>
      <c r="M710" s="22"/>
      <c r="N710" s="22"/>
      <c r="O710" s="22" t="s">
        <v>5465</v>
      </c>
      <c r="P710" s="22"/>
    </row>
    <row r="711" ht="15.75" customHeight="1">
      <c r="A711" s="20" t="s">
        <v>5466</v>
      </c>
      <c r="B711" s="20"/>
      <c r="C711" s="20"/>
      <c r="D711" s="20" t="s">
        <v>5467</v>
      </c>
      <c r="E711" s="20" t="s">
        <v>5468</v>
      </c>
      <c r="F711" s="20" t="s">
        <v>2163</v>
      </c>
      <c r="G711" s="20"/>
      <c r="H711" s="20"/>
      <c r="I711" s="20" t="s">
        <v>5469</v>
      </c>
      <c r="J711" s="20" t="s">
        <v>57</v>
      </c>
      <c r="K711" s="21" t="s">
        <v>105</v>
      </c>
      <c r="L711" s="21" t="s">
        <v>762</v>
      </c>
      <c r="M711" s="21"/>
      <c r="N711" s="21"/>
      <c r="O711" s="21"/>
      <c r="P711" s="21"/>
    </row>
    <row r="712" ht="15.75" customHeight="1">
      <c r="A712" s="22" t="s">
        <v>5470</v>
      </c>
      <c r="B712" s="22" t="s">
        <v>5471</v>
      </c>
      <c r="C712" s="22"/>
      <c r="D712" s="22" t="s">
        <v>5472</v>
      </c>
      <c r="E712" s="22" t="s">
        <v>2162</v>
      </c>
      <c r="F712" s="22" t="s">
        <v>2163</v>
      </c>
      <c r="G712" s="22" t="s">
        <v>5473</v>
      </c>
      <c r="H712" s="22" t="s">
        <v>5474</v>
      </c>
      <c r="I712" s="22" t="s">
        <v>5475</v>
      </c>
      <c r="J712" s="22" t="s">
        <v>57</v>
      </c>
      <c r="K712" s="22" t="s">
        <v>5476</v>
      </c>
      <c r="L712" s="22" t="s">
        <v>84</v>
      </c>
      <c r="M712" s="22" t="s">
        <v>1986</v>
      </c>
      <c r="N712" s="22"/>
      <c r="O712" s="22" t="s">
        <v>185</v>
      </c>
      <c r="P712" s="22"/>
    </row>
    <row r="713" ht="15.75" customHeight="1">
      <c r="A713" s="20" t="s">
        <v>5477</v>
      </c>
      <c r="B713" s="20" t="s">
        <v>5478</v>
      </c>
      <c r="C713" s="20"/>
      <c r="D713" s="20" t="s">
        <v>5479</v>
      </c>
      <c r="E713" s="20" t="s">
        <v>5480</v>
      </c>
      <c r="F713" s="20" t="s">
        <v>352</v>
      </c>
      <c r="G713" s="20" t="s">
        <v>5481</v>
      </c>
      <c r="H713" s="20" t="s">
        <v>5482</v>
      </c>
      <c r="I713" s="20" t="s">
        <v>5483</v>
      </c>
      <c r="J713" s="20" t="s">
        <v>57</v>
      </c>
      <c r="K713" s="21" t="s">
        <v>5484</v>
      </c>
      <c r="L713" s="21" t="s">
        <v>2656</v>
      </c>
      <c r="M713" s="21" t="s">
        <v>710</v>
      </c>
      <c r="N713" s="21"/>
      <c r="O713" s="21" t="s">
        <v>185</v>
      </c>
      <c r="P713" s="21"/>
    </row>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K1:P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32.0"/>
    <col customWidth="1" min="3" max="3" width="18.0"/>
    <col customWidth="1" min="4" max="4" width="32.0"/>
    <col customWidth="1" min="5" max="6" width="18.0"/>
    <col customWidth="1" min="7" max="7" width="32.0"/>
    <col customWidth="1" min="8" max="10" width="18.0"/>
    <col customWidth="1" min="11" max="11" width="32.0"/>
    <col customWidth="1" min="12" max="12" width="18.0"/>
    <col customWidth="1" min="13" max="13" width="30.0"/>
    <col customWidth="1" min="14" max="26" width="8.71"/>
  </cols>
  <sheetData>
    <row r="1" ht="21.75" customHeight="1">
      <c r="A1" s="14" t="s">
        <v>2</v>
      </c>
      <c r="B1" s="15"/>
      <c r="C1" s="15"/>
      <c r="D1" s="15"/>
      <c r="E1" s="15"/>
      <c r="F1" s="15"/>
      <c r="G1" s="15"/>
      <c r="H1" s="15"/>
      <c r="I1" s="16"/>
      <c r="J1" s="17" t="s">
        <v>43</v>
      </c>
      <c r="K1" s="15"/>
      <c r="L1" s="15"/>
      <c r="M1" s="16"/>
    </row>
    <row r="2" ht="27.75" customHeight="1">
      <c r="A2" s="18" t="s">
        <v>6</v>
      </c>
      <c r="B2" s="18" t="s">
        <v>12</v>
      </c>
      <c r="C2" s="18" t="s">
        <v>14</v>
      </c>
      <c r="D2" s="18" t="s">
        <v>16</v>
      </c>
      <c r="E2" s="18" t="s">
        <v>18</v>
      </c>
      <c r="F2" s="18" t="s">
        <v>20</v>
      </c>
      <c r="G2" s="18" t="s">
        <v>24</v>
      </c>
      <c r="H2" s="18" t="s">
        <v>26</v>
      </c>
      <c r="I2" s="18" t="s">
        <v>28</v>
      </c>
      <c r="J2" s="19" t="s">
        <v>5485</v>
      </c>
      <c r="K2" s="19" t="s">
        <v>5486</v>
      </c>
      <c r="L2" s="19" t="s">
        <v>5487</v>
      </c>
      <c r="M2" s="19" t="s">
        <v>5488</v>
      </c>
    </row>
    <row r="3">
      <c r="A3" s="20" t="s">
        <v>5489</v>
      </c>
      <c r="B3" s="20" t="s">
        <v>5490</v>
      </c>
      <c r="C3" s="20" t="s">
        <v>5491</v>
      </c>
      <c r="D3" s="20" t="s">
        <v>5492</v>
      </c>
      <c r="E3" s="20" t="s">
        <v>926</v>
      </c>
      <c r="F3" s="20" t="s">
        <v>926</v>
      </c>
      <c r="G3" s="20" t="s">
        <v>5493</v>
      </c>
      <c r="H3" s="20" t="s">
        <v>5494</v>
      </c>
      <c r="I3" s="20" t="s">
        <v>5495</v>
      </c>
      <c r="J3" s="21" t="s">
        <v>5496</v>
      </c>
      <c r="K3" s="21" t="s">
        <v>5497</v>
      </c>
      <c r="L3" s="21" t="s">
        <v>5498</v>
      </c>
      <c r="M3" s="21"/>
    </row>
    <row r="4">
      <c r="A4" s="22" t="s">
        <v>5499</v>
      </c>
      <c r="B4" s="22" t="s">
        <v>5500</v>
      </c>
      <c r="C4" s="22" t="s">
        <v>5501</v>
      </c>
      <c r="D4" s="22" t="s">
        <v>5502</v>
      </c>
      <c r="E4" s="22" t="s">
        <v>926</v>
      </c>
      <c r="F4" s="22" t="s">
        <v>926</v>
      </c>
      <c r="G4" s="22" t="s">
        <v>5503</v>
      </c>
      <c r="H4" s="22" t="s">
        <v>5504</v>
      </c>
      <c r="I4" s="22" t="s">
        <v>5495</v>
      </c>
      <c r="J4" s="22" t="s">
        <v>5496</v>
      </c>
      <c r="K4" s="22" t="s">
        <v>5505</v>
      </c>
      <c r="L4" s="22" t="s">
        <v>5506</v>
      </c>
      <c r="M4" s="22"/>
    </row>
    <row r="5">
      <c r="A5" s="20" t="s">
        <v>5507</v>
      </c>
      <c r="B5" s="20" t="s">
        <v>5508</v>
      </c>
      <c r="C5" s="20" t="s">
        <v>5509</v>
      </c>
      <c r="D5" s="20" t="s">
        <v>5510</v>
      </c>
      <c r="E5" s="20" t="s">
        <v>926</v>
      </c>
      <c r="F5" s="20" t="s">
        <v>926</v>
      </c>
      <c r="G5" s="20" t="s">
        <v>5511</v>
      </c>
      <c r="H5" s="20"/>
      <c r="I5" s="20" t="s">
        <v>5495</v>
      </c>
      <c r="J5" s="21"/>
      <c r="K5" s="21" t="s">
        <v>5512</v>
      </c>
      <c r="L5" s="21" t="s">
        <v>531</v>
      </c>
      <c r="M5" s="21"/>
    </row>
    <row r="6">
      <c r="A6" s="22" t="s">
        <v>5513</v>
      </c>
      <c r="B6" s="22" t="s">
        <v>5514</v>
      </c>
      <c r="C6" s="22" t="s">
        <v>5515</v>
      </c>
      <c r="D6" s="22" t="s">
        <v>5516</v>
      </c>
      <c r="E6" s="22" t="s">
        <v>1427</v>
      </c>
      <c r="F6" s="22" t="s">
        <v>1427</v>
      </c>
      <c r="G6" s="22" t="s">
        <v>5517</v>
      </c>
      <c r="H6" s="22" t="s">
        <v>5518</v>
      </c>
      <c r="I6" s="22" t="s">
        <v>5495</v>
      </c>
      <c r="J6" s="22" t="s">
        <v>5519</v>
      </c>
      <c r="K6" s="22" t="s">
        <v>5520</v>
      </c>
      <c r="L6" s="22" t="s">
        <v>5521</v>
      </c>
      <c r="M6" s="22"/>
    </row>
    <row r="7">
      <c r="A7" s="20" t="s">
        <v>5522</v>
      </c>
      <c r="B7" s="20" t="s">
        <v>5523</v>
      </c>
      <c r="C7" s="20"/>
      <c r="D7" s="20"/>
      <c r="E7" s="20" t="s">
        <v>1427</v>
      </c>
      <c r="F7" s="20" t="s">
        <v>1427</v>
      </c>
      <c r="G7" s="20" t="s">
        <v>5524</v>
      </c>
      <c r="H7" s="20" t="s">
        <v>5525</v>
      </c>
      <c r="I7" s="20" t="s">
        <v>5495</v>
      </c>
      <c r="J7" s="21" t="s">
        <v>5519</v>
      </c>
      <c r="K7" s="21" t="s">
        <v>5526</v>
      </c>
      <c r="L7" s="21" t="s">
        <v>5098</v>
      </c>
      <c r="M7" s="21"/>
    </row>
    <row r="8">
      <c r="A8" s="22" t="s">
        <v>5527</v>
      </c>
      <c r="B8" s="22" t="s">
        <v>5528</v>
      </c>
      <c r="C8" s="22" t="s">
        <v>5529</v>
      </c>
      <c r="D8" s="22" t="s">
        <v>5530</v>
      </c>
      <c r="E8" s="22" t="s">
        <v>5531</v>
      </c>
      <c r="F8" s="22" t="s">
        <v>813</v>
      </c>
      <c r="G8" s="22" t="s">
        <v>5532</v>
      </c>
      <c r="H8" s="22"/>
      <c r="I8" s="22" t="s">
        <v>5495</v>
      </c>
      <c r="J8" s="22"/>
      <c r="K8" s="22" t="s">
        <v>5533</v>
      </c>
      <c r="L8" s="22" t="s">
        <v>5534</v>
      </c>
      <c r="M8" s="22"/>
    </row>
    <row r="9">
      <c r="A9" s="20" t="s">
        <v>5535</v>
      </c>
      <c r="B9" s="20" t="s">
        <v>5536</v>
      </c>
      <c r="C9" s="20" t="s">
        <v>5537</v>
      </c>
      <c r="D9" s="20" t="s">
        <v>5538</v>
      </c>
      <c r="E9" s="20" t="s">
        <v>5539</v>
      </c>
      <c r="F9" s="20" t="s">
        <v>2391</v>
      </c>
      <c r="G9" s="20" t="s">
        <v>5540</v>
      </c>
      <c r="H9" s="20" t="s">
        <v>5541</v>
      </c>
      <c r="I9" s="20" t="s">
        <v>5495</v>
      </c>
      <c r="J9" s="21" t="s">
        <v>5542</v>
      </c>
      <c r="K9" s="21" t="s">
        <v>5543</v>
      </c>
      <c r="L9" s="21" t="s">
        <v>5544</v>
      </c>
      <c r="M9" s="21"/>
    </row>
    <row r="10">
      <c r="A10" s="22" t="s">
        <v>5545</v>
      </c>
      <c r="B10" s="22" t="s">
        <v>5546</v>
      </c>
      <c r="C10" s="22" t="s">
        <v>5547</v>
      </c>
      <c r="D10" s="22" t="s">
        <v>5548</v>
      </c>
      <c r="E10" s="22" t="s">
        <v>5549</v>
      </c>
      <c r="F10" s="22" t="s">
        <v>395</v>
      </c>
      <c r="G10" s="22" t="s">
        <v>5550</v>
      </c>
      <c r="H10" s="22" t="s">
        <v>5551</v>
      </c>
      <c r="I10" s="22" t="s">
        <v>5495</v>
      </c>
      <c r="J10" s="22" t="s">
        <v>5552</v>
      </c>
      <c r="K10" s="22" t="s">
        <v>5553</v>
      </c>
      <c r="L10" s="22" t="s">
        <v>5098</v>
      </c>
      <c r="M10" s="22"/>
    </row>
    <row r="11">
      <c r="A11" s="20" t="s">
        <v>5554</v>
      </c>
      <c r="B11" s="20" t="s">
        <v>5555</v>
      </c>
      <c r="C11" s="20" t="s">
        <v>5556</v>
      </c>
      <c r="D11" s="20" t="s">
        <v>5557</v>
      </c>
      <c r="E11" s="20" t="s">
        <v>1612</v>
      </c>
      <c r="F11" s="20" t="s">
        <v>1612</v>
      </c>
      <c r="G11" s="20" t="s">
        <v>5558</v>
      </c>
      <c r="H11" s="20" t="s">
        <v>5559</v>
      </c>
      <c r="I11" s="20" t="s">
        <v>5495</v>
      </c>
      <c r="J11" s="21" t="s">
        <v>5560</v>
      </c>
      <c r="K11" s="21" t="s">
        <v>5561</v>
      </c>
      <c r="L11" s="21" t="s">
        <v>278</v>
      </c>
      <c r="M11" s="21"/>
    </row>
    <row r="12">
      <c r="A12" s="22" t="s">
        <v>5562</v>
      </c>
      <c r="B12" s="22" t="s">
        <v>5563</v>
      </c>
      <c r="C12" s="22" t="s">
        <v>5564</v>
      </c>
      <c r="D12" s="22"/>
      <c r="E12" s="22" t="s">
        <v>1612</v>
      </c>
      <c r="F12" s="22" t="s">
        <v>1612</v>
      </c>
      <c r="G12" s="22" t="s">
        <v>5565</v>
      </c>
      <c r="H12" s="22" t="s">
        <v>5566</v>
      </c>
      <c r="I12" s="22" t="s">
        <v>5495</v>
      </c>
      <c r="J12" s="22" t="s">
        <v>5560</v>
      </c>
      <c r="K12" s="22" t="s">
        <v>5567</v>
      </c>
      <c r="L12" s="22" t="s">
        <v>5568</v>
      </c>
      <c r="M12" s="22"/>
    </row>
    <row r="13">
      <c r="A13" s="20" t="s">
        <v>5569</v>
      </c>
      <c r="B13" s="20" t="s">
        <v>5570</v>
      </c>
      <c r="C13" s="20"/>
      <c r="D13" s="20"/>
      <c r="E13" s="20" t="s">
        <v>5571</v>
      </c>
      <c r="F13" s="20" t="s">
        <v>111</v>
      </c>
      <c r="G13" s="20" t="s">
        <v>5572</v>
      </c>
      <c r="H13" s="20" t="s">
        <v>5573</v>
      </c>
      <c r="I13" s="20" t="s">
        <v>5495</v>
      </c>
      <c r="J13" s="21" t="s">
        <v>5496</v>
      </c>
      <c r="K13" s="21" t="s">
        <v>5574</v>
      </c>
      <c r="L13" s="21" t="s">
        <v>5575</v>
      </c>
      <c r="M13" s="21"/>
    </row>
    <row r="14">
      <c r="A14" s="22" t="s">
        <v>5576</v>
      </c>
      <c r="B14" s="22" t="s">
        <v>5577</v>
      </c>
      <c r="C14" s="22" t="s">
        <v>5578</v>
      </c>
      <c r="D14" s="22" t="s">
        <v>5579</v>
      </c>
      <c r="E14" s="22" t="s">
        <v>5580</v>
      </c>
      <c r="F14" s="22" t="s">
        <v>129</v>
      </c>
      <c r="G14" s="22" t="s">
        <v>5581</v>
      </c>
      <c r="H14" s="22" t="s">
        <v>5582</v>
      </c>
      <c r="I14" s="22" t="s">
        <v>5495</v>
      </c>
      <c r="J14" s="22" t="s">
        <v>5560</v>
      </c>
      <c r="K14" s="22" t="s">
        <v>5583</v>
      </c>
      <c r="L14" s="22" t="s">
        <v>5584</v>
      </c>
      <c r="M14" s="22"/>
    </row>
    <row r="15">
      <c r="A15" s="20" t="s">
        <v>5585</v>
      </c>
      <c r="B15" s="20" t="s">
        <v>5586</v>
      </c>
      <c r="C15" s="20"/>
      <c r="D15" s="20" t="s">
        <v>5587</v>
      </c>
      <c r="E15" s="20" t="s">
        <v>759</v>
      </c>
      <c r="F15" s="20" t="s">
        <v>759</v>
      </c>
      <c r="G15" s="20" t="s">
        <v>5588</v>
      </c>
      <c r="H15" s="20" t="s">
        <v>5589</v>
      </c>
      <c r="I15" s="20" t="s">
        <v>5495</v>
      </c>
      <c r="J15" s="21" t="s">
        <v>5519</v>
      </c>
      <c r="K15" s="21" t="s">
        <v>5590</v>
      </c>
      <c r="L15" s="21" t="s">
        <v>5591</v>
      </c>
      <c r="M15" s="21"/>
    </row>
    <row r="16">
      <c r="A16" s="22" t="s">
        <v>5592</v>
      </c>
      <c r="B16" s="22" t="s">
        <v>5593</v>
      </c>
      <c r="C16" s="22" t="s">
        <v>5594</v>
      </c>
      <c r="D16" s="22" t="s">
        <v>5595</v>
      </c>
      <c r="E16" s="22" t="s">
        <v>5596</v>
      </c>
      <c r="F16" s="22" t="s">
        <v>759</v>
      </c>
      <c r="G16" s="22" t="s">
        <v>5588</v>
      </c>
      <c r="H16" s="22" t="s">
        <v>5597</v>
      </c>
      <c r="I16" s="22" t="s">
        <v>5495</v>
      </c>
      <c r="J16" s="22"/>
      <c r="K16" s="22" t="s">
        <v>5590</v>
      </c>
      <c r="L16" s="22" t="s">
        <v>531</v>
      </c>
      <c r="M16" s="22"/>
    </row>
    <row r="17">
      <c r="A17" s="20" t="s">
        <v>5598</v>
      </c>
      <c r="B17" s="20" t="s">
        <v>5599</v>
      </c>
      <c r="C17" s="20" t="s">
        <v>5600</v>
      </c>
      <c r="D17" s="20" t="s">
        <v>5601</v>
      </c>
      <c r="E17" s="20" t="s">
        <v>5602</v>
      </c>
      <c r="F17" s="20" t="s">
        <v>5380</v>
      </c>
      <c r="G17" s="20" t="s">
        <v>5603</v>
      </c>
      <c r="H17" s="20" t="s">
        <v>5604</v>
      </c>
      <c r="I17" s="20" t="s">
        <v>5495</v>
      </c>
      <c r="J17" s="21" t="s">
        <v>5605</v>
      </c>
      <c r="K17" s="21" t="s">
        <v>5606</v>
      </c>
      <c r="L17" s="21" t="s">
        <v>5607</v>
      </c>
      <c r="M17" s="21"/>
    </row>
    <row r="18">
      <c r="A18" s="22" t="s">
        <v>5608</v>
      </c>
      <c r="B18" s="22" t="s">
        <v>5609</v>
      </c>
      <c r="C18" s="22" t="s">
        <v>5610</v>
      </c>
      <c r="D18" s="22"/>
      <c r="E18" s="22" t="s">
        <v>406</v>
      </c>
      <c r="F18" s="22" t="s">
        <v>2294</v>
      </c>
      <c r="G18" s="22" t="s">
        <v>5611</v>
      </c>
      <c r="H18" s="22" t="s">
        <v>5612</v>
      </c>
      <c r="I18" s="22" t="s">
        <v>5495</v>
      </c>
      <c r="J18" s="22"/>
      <c r="K18" s="22" t="s">
        <v>5613</v>
      </c>
      <c r="L18" s="22" t="s">
        <v>531</v>
      </c>
      <c r="M18" s="22"/>
    </row>
    <row r="19">
      <c r="A19" s="20" t="s">
        <v>5614</v>
      </c>
      <c r="B19" s="20" t="s">
        <v>5615</v>
      </c>
      <c r="C19" s="20"/>
      <c r="D19" s="20" t="s">
        <v>5616</v>
      </c>
      <c r="E19" s="20" t="s">
        <v>2437</v>
      </c>
      <c r="F19" s="20" t="s">
        <v>129</v>
      </c>
      <c r="G19" s="20" t="s">
        <v>5617</v>
      </c>
      <c r="H19" s="20" t="s">
        <v>5618</v>
      </c>
      <c r="I19" s="20" t="s">
        <v>5495</v>
      </c>
      <c r="J19" s="21" t="s">
        <v>5560</v>
      </c>
      <c r="K19" s="21" t="s">
        <v>5619</v>
      </c>
      <c r="L19" s="21" t="s">
        <v>278</v>
      </c>
      <c r="M19" s="21"/>
    </row>
    <row r="20">
      <c r="A20" s="22" t="s">
        <v>5620</v>
      </c>
      <c r="B20" s="22" t="s">
        <v>5621</v>
      </c>
      <c r="C20" s="22" t="s">
        <v>5622</v>
      </c>
      <c r="D20" s="22" t="s">
        <v>5623</v>
      </c>
      <c r="E20" s="22" t="s">
        <v>5624</v>
      </c>
      <c r="F20" s="22" t="s">
        <v>5625</v>
      </c>
      <c r="G20" s="22" t="s">
        <v>5626</v>
      </c>
      <c r="H20" s="22" t="s">
        <v>5627</v>
      </c>
      <c r="I20" s="22" t="s">
        <v>5495</v>
      </c>
      <c r="J20" s="22" t="s">
        <v>5628</v>
      </c>
      <c r="K20" s="22" t="s">
        <v>5629</v>
      </c>
      <c r="L20" s="22" t="s">
        <v>5630</v>
      </c>
      <c r="M20" s="22"/>
    </row>
    <row r="21" ht="15.75" customHeight="1">
      <c r="A21" s="20" t="s">
        <v>5631</v>
      </c>
      <c r="B21" s="20" t="s">
        <v>5632</v>
      </c>
      <c r="C21" s="20"/>
      <c r="D21" s="20" t="s">
        <v>5633</v>
      </c>
      <c r="E21" s="20" t="s">
        <v>262</v>
      </c>
      <c r="F21" s="20" t="s">
        <v>262</v>
      </c>
      <c r="G21" s="20" t="s">
        <v>5634</v>
      </c>
      <c r="H21" s="20" t="s">
        <v>5635</v>
      </c>
      <c r="I21" s="20" t="s">
        <v>5495</v>
      </c>
      <c r="J21" s="21" t="s">
        <v>5519</v>
      </c>
      <c r="K21" s="21" t="s">
        <v>5636</v>
      </c>
      <c r="L21" s="21" t="s">
        <v>5637</v>
      </c>
      <c r="M21" s="21"/>
    </row>
    <row r="22" ht="15.75" customHeight="1">
      <c r="A22" s="22" t="s">
        <v>5638</v>
      </c>
      <c r="B22" s="22" t="s">
        <v>5639</v>
      </c>
      <c r="C22" s="22" t="s">
        <v>5640</v>
      </c>
      <c r="D22" s="22"/>
      <c r="E22" s="22" t="s">
        <v>262</v>
      </c>
      <c r="F22" s="22" t="s">
        <v>262</v>
      </c>
      <c r="G22" s="22" t="s">
        <v>5641</v>
      </c>
      <c r="H22" s="22" t="s">
        <v>5642</v>
      </c>
      <c r="I22" s="22" t="s">
        <v>5495</v>
      </c>
      <c r="J22" s="22" t="s">
        <v>5542</v>
      </c>
      <c r="K22" s="22" t="s">
        <v>5643</v>
      </c>
      <c r="L22" s="22" t="s">
        <v>902</v>
      </c>
      <c r="M22" s="22"/>
    </row>
    <row r="23" ht="15.75" customHeight="1">
      <c r="A23" s="20" t="s">
        <v>5644</v>
      </c>
      <c r="B23" s="20" t="s">
        <v>5645</v>
      </c>
      <c r="C23" s="20" t="s">
        <v>5646</v>
      </c>
      <c r="D23" s="20" t="s">
        <v>5647</v>
      </c>
      <c r="E23" s="20" t="s">
        <v>5648</v>
      </c>
      <c r="F23" s="20" t="s">
        <v>231</v>
      </c>
      <c r="G23" s="20" t="s">
        <v>5649</v>
      </c>
      <c r="H23" s="20"/>
      <c r="I23" s="20" t="s">
        <v>5495</v>
      </c>
      <c r="J23" s="21" t="s">
        <v>5650</v>
      </c>
      <c r="K23" s="21" t="s">
        <v>5651</v>
      </c>
      <c r="L23" s="21" t="s">
        <v>3486</v>
      </c>
      <c r="M23" s="21"/>
    </row>
    <row r="24" ht="15.75" customHeight="1">
      <c r="A24" s="22" t="s">
        <v>5652</v>
      </c>
      <c r="B24" s="22" t="s">
        <v>5653</v>
      </c>
      <c r="C24" s="22" t="s">
        <v>5654</v>
      </c>
      <c r="D24" s="22" t="s">
        <v>5655</v>
      </c>
      <c r="E24" s="22" t="s">
        <v>5648</v>
      </c>
      <c r="F24" s="22" t="s">
        <v>231</v>
      </c>
      <c r="G24" s="22" t="s">
        <v>5656</v>
      </c>
      <c r="H24" s="22"/>
      <c r="I24" s="22" t="s">
        <v>5495</v>
      </c>
      <c r="J24" s="22" t="s">
        <v>5650</v>
      </c>
      <c r="K24" s="22" t="s">
        <v>5657</v>
      </c>
      <c r="L24" s="22" t="s">
        <v>781</v>
      </c>
      <c r="M24" s="22"/>
    </row>
    <row r="25" ht="15.75" customHeight="1">
      <c r="A25" s="20" t="s">
        <v>5658</v>
      </c>
      <c r="B25" s="20" t="s">
        <v>5659</v>
      </c>
      <c r="C25" s="20" t="s">
        <v>5660</v>
      </c>
      <c r="D25" s="20" t="s">
        <v>5661</v>
      </c>
      <c r="E25" s="20" t="s">
        <v>5662</v>
      </c>
      <c r="F25" s="20" t="s">
        <v>1462</v>
      </c>
      <c r="G25" s="20" t="s">
        <v>5663</v>
      </c>
      <c r="H25" s="20"/>
      <c r="I25" s="20" t="s">
        <v>5495</v>
      </c>
      <c r="J25" s="21"/>
      <c r="K25" s="21" t="s">
        <v>5664</v>
      </c>
      <c r="L25" s="21" t="s">
        <v>5665</v>
      </c>
      <c r="M25" s="21"/>
    </row>
    <row r="26" ht="15.75" customHeight="1">
      <c r="A26" s="22" t="s">
        <v>5666</v>
      </c>
      <c r="B26" s="22" t="s">
        <v>5667</v>
      </c>
      <c r="C26" s="22" t="s">
        <v>5668</v>
      </c>
      <c r="D26" s="22" t="s">
        <v>5669</v>
      </c>
      <c r="E26" s="22" t="s">
        <v>231</v>
      </c>
      <c r="F26" s="22" t="s">
        <v>231</v>
      </c>
      <c r="G26" s="22" t="s">
        <v>5670</v>
      </c>
      <c r="H26" s="22" t="s">
        <v>5671</v>
      </c>
      <c r="I26" s="22" t="s">
        <v>5495</v>
      </c>
      <c r="J26" s="22" t="s">
        <v>5650</v>
      </c>
      <c r="K26" s="22" t="s">
        <v>5672</v>
      </c>
      <c r="L26" s="22" t="s">
        <v>5673</v>
      </c>
      <c r="M26" s="22"/>
    </row>
    <row r="27" ht="15.75" customHeight="1">
      <c r="A27" s="20" t="s">
        <v>5674</v>
      </c>
      <c r="B27" s="20" t="s">
        <v>5667</v>
      </c>
      <c r="C27" s="20" t="s">
        <v>5675</v>
      </c>
      <c r="D27" s="20" t="s">
        <v>5669</v>
      </c>
      <c r="E27" s="20" t="s">
        <v>231</v>
      </c>
      <c r="F27" s="20" t="s">
        <v>231</v>
      </c>
      <c r="G27" s="20" t="s">
        <v>5676</v>
      </c>
      <c r="H27" s="20" t="s">
        <v>5671</v>
      </c>
      <c r="I27" s="20" t="s">
        <v>5495</v>
      </c>
      <c r="J27" s="21" t="s">
        <v>5650</v>
      </c>
      <c r="K27" s="21" t="s">
        <v>5677</v>
      </c>
      <c r="L27" s="21" t="s">
        <v>5678</v>
      </c>
      <c r="M27" s="21"/>
    </row>
    <row r="28" ht="15.75" customHeight="1">
      <c r="A28" s="22" t="s">
        <v>5679</v>
      </c>
      <c r="B28" s="22" t="s">
        <v>5680</v>
      </c>
      <c r="C28" s="22" t="s">
        <v>5681</v>
      </c>
      <c r="D28" s="22" t="s">
        <v>5682</v>
      </c>
      <c r="E28" s="22" t="s">
        <v>231</v>
      </c>
      <c r="F28" s="22" t="s">
        <v>231</v>
      </c>
      <c r="G28" s="22" t="s">
        <v>5683</v>
      </c>
      <c r="H28" s="22"/>
      <c r="I28" s="22" t="s">
        <v>5495</v>
      </c>
      <c r="J28" s="22" t="s">
        <v>5650</v>
      </c>
      <c r="K28" s="22" t="s">
        <v>5684</v>
      </c>
      <c r="L28" s="22" t="s">
        <v>5665</v>
      </c>
      <c r="M28" s="22"/>
    </row>
    <row r="29" ht="15.75" customHeight="1">
      <c r="A29" s="20" t="s">
        <v>5685</v>
      </c>
      <c r="B29" s="20" t="s">
        <v>5686</v>
      </c>
      <c r="C29" s="20" t="s">
        <v>5687</v>
      </c>
      <c r="D29" s="20" t="s">
        <v>5688</v>
      </c>
      <c r="E29" s="20" t="s">
        <v>231</v>
      </c>
      <c r="F29" s="20" t="s">
        <v>231</v>
      </c>
      <c r="G29" s="20" t="s">
        <v>5689</v>
      </c>
      <c r="H29" s="20"/>
      <c r="I29" s="20" t="s">
        <v>5495</v>
      </c>
      <c r="J29" s="21" t="s">
        <v>5650</v>
      </c>
      <c r="K29" s="21" t="s">
        <v>5690</v>
      </c>
      <c r="L29" s="21" t="s">
        <v>5691</v>
      </c>
      <c r="M29" s="21"/>
    </row>
    <row r="30" ht="15.75" customHeight="1">
      <c r="A30" s="22" t="s">
        <v>5692</v>
      </c>
      <c r="B30" s="22"/>
      <c r="C30" s="22"/>
      <c r="D30" s="22"/>
      <c r="E30" s="22" t="s">
        <v>231</v>
      </c>
      <c r="F30" s="22" t="s">
        <v>231</v>
      </c>
      <c r="G30" s="22" t="s">
        <v>5693</v>
      </c>
      <c r="H30" s="22"/>
      <c r="I30" s="22" t="s">
        <v>5495</v>
      </c>
      <c r="J30" s="22" t="s">
        <v>5650</v>
      </c>
      <c r="K30" s="22" t="s">
        <v>5694</v>
      </c>
      <c r="L30" s="22" t="s">
        <v>5098</v>
      </c>
      <c r="M30" s="22"/>
    </row>
    <row r="31" ht="15.75" customHeight="1">
      <c r="A31" s="20" t="s">
        <v>5695</v>
      </c>
      <c r="B31" s="20" t="s">
        <v>5696</v>
      </c>
      <c r="C31" s="20" t="s">
        <v>5697</v>
      </c>
      <c r="D31" s="20" t="s">
        <v>5698</v>
      </c>
      <c r="E31" s="20" t="s">
        <v>231</v>
      </c>
      <c r="F31" s="20" t="s">
        <v>231</v>
      </c>
      <c r="G31" s="20" t="s">
        <v>5699</v>
      </c>
      <c r="H31" s="20" t="s">
        <v>5700</v>
      </c>
      <c r="I31" s="20" t="s">
        <v>5495</v>
      </c>
      <c r="J31" s="21" t="s">
        <v>5650</v>
      </c>
      <c r="K31" s="21"/>
      <c r="L31" s="21" t="s">
        <v>5701</v>
      </c>
      <c r="M31" s="21"/>
    </row>
    <row r="32" ht="15.75" customHeight="1">
      <c r="A32" s="22" t="s">
        <v>5702</v>
      </c>
      <c r="B32" s="22" t="s">
        <v>5703</v>
      </c>
      <c r="C32" s="22" t="s">
        <v>5704</v>
      </c>
      <c r="D32" s="22" t="s">
        <v>5705</v>
      </c>
      <c r="E32" s="22" t="s">
        <v>231</v>
      </c>
      <c r="F32" s="22" t="s">
        <v>231</v>
      </c>
      <c r="G32" s="22" t="s">
        <v>5706</v>
      </c>
      <c r="H32" s="22" t="s">
        <v>5707</v>
      </c>
      <c r="I32" s="22" t="s">
        <v>5495</v>
      </c>
      <c r="J32" s="22" t="s">
        <v>5650</v>
      </c>
      <c r="K32" s="22" t="s">
        <v>5708</v>
      </c>
      <c r="L32" s="22" t="s">
        <v>5709</v>
      </c>
      <c r="M32" s="22"/>
    </row>
    <row r="33" ht="15.75" customHeight="1">
      <c r="A33" s="20" t="s">
        <v>5710</v>
      </c>
      <c r="B33" s="20" t="s">
        <v>5711</v>
      </c>
      <c r="C33" s="20" t="s">
        <v>5712</v>
      </c>
      <c r="D33" s="20" t="s">
        <v>5713</v>
      </c>
      <c r="E33" s="20" t="s">
        <v>231</v>
      </c>
      <c r="F33" s="20" t="s">
        <v>231</v>
      </c>
      <c r="G33" s="20" t="s">
        <v>5714</v>
      </c>
      <c r="H33" s="20"/>
      <c r="I33" s="20" t="s">
        <v>5495</v>
      </c>
      <c r="J33" s="21" t="s">
        <v>5650</v>
      </c>
      <c r="K33" s="21" t="s">
        <v>5715</v>
      </c>
      <c r="L33" s="21" t="s">
        <v>5716</v>
      </c>
      <c r="M33" s="21"/>
    </row>
    <row r="34" ht="15.75" customHeight="1">
      <c r="A34" s="22" t="s">
        <v>5717</v>
      </c>
      <c r="B34" s="22" t="s">
        <v>5718</v>
      </c>
      <c r="C34" s="22" t="s">
        <v>5719</v>
      </c>
      <c r="D34" s="22" t="s">
        <v>5720</v>
      </c>
      <c r="E34" s="22" t="s">
        <v>231</v>
      </c>
      <c r="F34" s="22" t="s">
        <v>231</v>
      </c>
      <c r="G34" s="22" t="s">
        <v>5721</v>
      </c>
      <c r="H34" s="22" t="s">
        <v>5722</v>
      </c>
      <c r="I34" s="22" t="s">
        <v>5495</v>
      </c>
      <c r="J34" s="22" t="s">
        <v>5650</v>
      </c>
      <c r="K34" s="22" t="s">
        <v>5723</v>
      </c>
      <c r="L34" s="22" t="s">
        <v>781</v>
      </c>
      <c r="M34" s="22"/>
    </row>
    <row r="35" ht="15.75" customHeight="1">
      <c r="A35" s="20" t="s">
        <v>5724</v>
      </c>
      <c r="B35" s="20" t="s">
        <v>5725</v>
      </c>
      <c r="C35" s="20" t="s">
        <v>5726</v>
      </c>
      <c r="D35" s="20" t="s">
        <v>5727</v>
      </c>
      <c r="E35" s="20" t="s">
        <v>231</v>
      </c>
      <c r="F35" s="20" t="s">
        <v>231</v>
      </c>
      <c r="G35" s="20" t="s">
        <v>5728</v>
      </c>
      <c r="H35" s="20"/>
      <c r="I35" s="20" t="s">
        <v>5495</v>
      </c>
      <c r="J35" s="21" t="s">
        <v>5650</v>
      </c>
      <c r="K35" s="21" t="s">
        <v>5729</v>
      </c>
      <c r="L35" s="21" t="s">
        <v>2110</v>
      </c>
      <c r="M35" s="21"/>
    </row>
    <row r="36" ht="15.75" customHeight="1">
      <c r="A36" s="22" t="s">
        <v>5730</v>
      </c>
      <c r="B36" s="22" t="s">
        <v>5731</v>
      </c>
      <c r="C36" s="22"/>
      <c r="D36" s="22" t="s">
        <v>5732</v>
      </c>
      <c r="E36" s="22" t="s">
        <v>231</v>
      </c>
      <c r="F36" s="22" t="s">
        <v>231</v>
      </c>
      <c r="G36" s="22" t="s">
        <v>5733</v>
      </c>
      <c r="H36" s="22"/>
      <c r="I36" s="22" t="s">
        <v>5495</v>
      </c>
      <c r="J36" s="22" t="s">
        <v>5650</v>
      </c>
      <c r="K36" s="22"/>
      <c r="L36" s="22" t="s">
        <v>5734</v>
      </c>
      <c r="M36" s="22"/>
    </row>
    <row r="37" ht="15.75" customHeight="1">
      <c r="A37" s="20" t="s">
        <v>5735</v>
      </c>
      <c r="B37" s="20"/>
      <c r="C37" s="20" t="s">
        <v>5736</v>
      </c>
      <c r="D37" s="20"/>
      <c r="E37" s="20" t="s">
        <v>231</v>
      </c>
      <c r="F37" s="20" t="s">
        <v>231</v>
      </c>
      <c r="G37" s="20" t="s">
        <v>5737</v>
      </c>
      <c r="H37" s="20" t="s">
        <v>5738</v>
      </c>
      <c r="I37" s="20" t="s">
        <v>5495</v>
      </c>
      <c r="J37" s="21" t="s">
        <v>5650</v>
      </c>
      <c r="K37" s="21" t="s">
        <v>5729</v>
      </c>
      <c r="L37" s="21" t="s">
        <v>1986</v>
      </c>
      <c r="M37" s="21"/>
    </row>
    <row r="38" ht="15.75" customHeight="1">
      <c r="A38" s="22" t="s">
        <v>5739</v>
      </c>
      <c r="B38" s="22" t="s">
        <v>5740</v>
      </c>
      <c r="C38" s="22" t="s">
        <v>5741</v>
      </c>
      <c r="D38" s="22" t="s">
        <v>5742</v>
      </c>
      <c r="E38" s="22" t="s">
        <v>231</v>
      </c>
      <c r="F38" s="22" t="s">
        <v>231</v>
      </c>
      <c r="G38" s="22" t="s">
        <v>5743</v>
      </c>
      <c r="H38" s="22"/>
      <c r="I38" s="22" t="s">
        <v>5495</v>
      </c>
      <c r="J38" s="22" t="s">
        <v>5650</v>
      </c>
      <c r="K38" s="22" t="s">
        <v>5715</v>
      </c>
      <c r="L38" s="22" t="s">
        <v>5665</v>
      </c>
      <c r="M38" s="22"/>
    </row>
    <row r="39" ht="15.75" customHeight="1">
      <c r="A39" s="20" t="s">
        <v>5744</v>
      </c>
      <c r="B39" s="20" t="s">
        <v>5745</v>
      </c>
      <c r="C39" s="20" t="s">
        <v>5746</v>
      </c>
      <c r="D39" s="20" t="s">
        <v>5747</v>
      </c>
      <c r="E39" s="20" t="s">
        <v>231</v>
      </c>
      <c r="F39" s="20" t="s">
        <v>231</v>
      </c>
      <c r="G39" s="20" t="s">
        <v>5748</v>
      </c>
      <c r="H39" s="20"/>
      <c r="I39" s="20" t="s">
        <v>5495</v>
      </c>
      <c r="J39" s="21" t="s">
        <v>5650</v>
      </c>
      <c r="K39" s="21" t="s">
        <v>5749</v>
      </c>
      <c r="L39" s="21" t="s">
        <v>5750</v>
      </c>
      <c r="M39" s="21"/>
    </row>
    <row r="40" ht="15.75" customHeight="1">
      <c r="A40" s="22" t="s">
        <v>5751</v>
      </c>
      <c r="B40" s="22" t="s">
        <v>5752</v>
      </c>
      <c r="C40" s="22" t="s">
        <v>5753</v>
      </c>
      <c r="D40" s="22" t="s">
        <v>5754</v>
      </c>
      <c r="E40" s="22" t="s">
        <v>231</v>
      </c>
      <c r="F40" s="22" t="s">
        <v>231</v>
      </c>
      <c r="G40" s="22" t="s">
        <v>5755</v>
      </c>
      <c r="H40" s="22"/>
      <c r="I40" s="22" t="s">
        <v>5495</v>
      </c>
      <c r="J40" s="22" t="s">
        <v>5650</v>
      </c>
      <c r="K40" s="22" t="s">
        <v>5756</v>
      </c>
      <c r="L40" s="22" t="s">
        <v>5757</v>
      </c>
      <c r="M40" s="22"/>
    </row>
    <row r="41" ht="15.75" customHeight="1">
      <c r="A41" s="20" t="s">
        <v>5758</v>
      </c>
      <c r="B41" s="20" t="s">
        <v>5759</v>
      </c>
      <c r="C41" s="20" t="s">
        <v>5760</v>
      </c>
      <c r="D41" s="20" t="s">
        <v>5754</v>
      </c>
      <c r="E41" s="20" t="s">
        <v>231</v>
      </c>
      <c r="F41" s="20" t="s">
        <v>231</v>
      </c>
      <c r="G41" s="20" t="s">
        <v>5761</v>
      </c>
      <c r="H41" s="20"/>
      <c r="I41" s="20" t="s">
        <v>5495</v>
      </c>
      <c r="J41" s="21" t="s">
        <v>5650</v>
      </c>
      <c r="K41" s="21" t="s">
        <v>5756</v>
      </c>
      <c r="L41" s="21" t="s">
        <v>1649</v>
      </c>
      <c r="M41" s="21"/>
    </row>
    <row r="42" ht="15.75" customHeight="1">
      <c r="A42" s="22" t="s">
        <v>5762</v>
      </c>
      <c r="B42" s="22" t="s">
        <v>5759</v>
      </c>
      <c r="C42" s="22" t="s">
        <v>5763</v>
      </c>
      <c r="D42" s="22" t="s">
        <v>5754</v>
      </c>
      <c r="E42" s="22" t="s">
        <v>231</v>
      </c>
      <c r="F42" s="22" t="s">
        <v>231</v>
      </c>
      <c r="G42" s="22" t="s">
        <v>5761</v>
      </c>
      <c r="H42" s="22"/>
      <c r="I42" s="22" t="s">
        <v>5495</v>
      </c>
      <c r="J42" s="22" t="s">
        <v>5650</v>
      </c>
      <c r="K42" s="22" t="s">
        <v>5756</v>
      </c>
      <c r="L42" s="22" t="s">
        <v>5764</v>
      </c>
      <c r="M42" s="22"/>
    </row>
    <row r="43" ht="15.75" customHeight="1">
      <c r="A43" s="20" t="s">
        <v>5765</v>
      </c>
      <c r="B43" s="20" t="s">
        <v>5766</v>
      </c>
      <c r="C43" s="20" t="s">
        <v>5767</v>
      </c>
      <c r="D43" s="20" t="s">
        <v>5768</v>
      </c>
      <c r="E43" s="20" t="s">
        <v>231</v>
      </c>
      <c r="F43" s="20" t="s">
        <v>231</v>
      </c>
      <c r="G43" s="20" t="s">
        <v>5769</v>
      </c>
      <c r="H43" s="20"/>
      <c r="I43" s="20" t="s">
        <v>5495</v>
      </c>
      <c r="J43" s="21" t="s">
        <v>5650</v>
      </c>
      <c r="K43" s="21"/>
      <c r="L43" s="21" t="s">
        <v>520</v>
      </c>
      <c r="M43" s="21"/>
    </row>
    <row r="44" ht="15.75" customHeight="1">
      <c r="A44" s="22" t="s">
        <v>5770</v>
      </c>
      <c r="B44" s="22" t="s">
        <v>5766</v>
      </c>
      <c r="C44" s="22" t="s">
        <v>5767</v>
      </c>
      <c r="D44" s="22" t="s">
        <v>5771</v>
      </c>
      <c r="E44" s="22" t="s">
        <v>231</v>
      </c>
      <c r="F44" s="22" t="s">
        <v>231</v>
      </c>
      <c r="G44" s="22" t="s">
        <v>5772</v>
      </c>
      <c r="H44" s="22"/>
      <c r="I44" s="22" t="s">
        <v>5495</v>
      </c>
      <c r="J44" s="22" t="s">
        <v>5650</v>
      </c>
      <c r="K44" s="22" t="s">
        <v>5773</v>
      </c>
      <c r="L44" s="22" t="s">
        <v>5774</v>
      </c>
      <c r="M44" s="22"/>
    </row>
    <row r="45" ht="15.75" customHeight="1">
      <c r="A45" s="20" t="s">
        <v>5775</v>
      </c>
      <c r="B45" s="20" t="s">
        <v>5776</v>
      </c>
      <c r="C45" s="20" t="s">
        <v>5777</v>
      </c>
      <c r="D45" s="20" t="s">
        <v>5778</v>
      </c>
      <c r="E45" s="20" t="s">
        <v>231</v>
      </c>
      <c r="F45" s="20" t="s">
        <v>231</v>
      </c>
      <c r="G45" s="20" t="s">
        <v>5779</v>
      </c>
      <c r="H45" s="20"/>
      <c r="I45" s="20" t="s">
        <v>5495</v>
      </c>
      <c r="J45" s="21" t="s">
        <v>5650</v>
      </c>
      <c r="K45" s="21" t="s">
        <v>5780</v>
      </c>
      <c r="L45" s="21" t="s">
        <v>2841</v>
      </c>
      <c r="M45" s="21"/>
    </row>
    <row r="46" ht="15.75" customHeight="1">
      <c r="A46" s="22" t="s">
        <v>5781</v>
      </c>
      <c r="B46" s="22" t="s">
        <v>5782</v>
      </c>
      <c r="C46" s="22" t="s">
        <v>5783</v>
      </c>
      <c r="D46" s="22" t="s">
        <v>5784</v>
      </c>
      <c r="E46" s="22" t="s">
        <v>231</v>
      </c>
      <c r="F46" s="22" t="s">
        <v>231</v>
      </c>
      <c r="G46" s="22" t="s">
        <v>5785</v>
      </c>
      <c r="H46" s="22"/>
      <c r="I46" s="22" t="s">
        <v>5495</v>
      </c>
      <c r="J46" s="22" t="s">
        <v>5650</v>
      </c>
      <c r="K46" s="22" t="s">
        <v>5786</v>
      </c>
      <c r="L46" s="22" t="s">
        <v>5787</v>
      </c>
      <c r="M46" s="22"/>
    </row>
    <row r="47" ht="15.75" customHeight="1">
      <c r="A47" s="20" t="s">
        <v>5788</v>
      </c>
      <c r="B47" s="20" t="s">
        <v>5789</v>
      </c>
      <c r="C47" s="20" t="s">
        <v>5790</v>
      </c>
      <c r="D47" s="20" t="s">
        <v>5791</v>
      </c>
      <c r="E47" s="20" t="s">
        <v>231</v>
      </c>
      <c r="F47" s="20" t="s">
        <v>231</v>
      </c>
      <c r="G47" s="20" t="s">
        <v>5792</v>
      </c>
      <c r="H47" s="20"/>
      <c r="I47" s="20" t="s">
        <v>5495</v>
      </c>
      <c r="J47" s="21" t="s">
        <v>5650</v>
      </c>
      <c r="K47" s="21" t="s">
        <v>5729</v>
      </c>
      <c r="L47" s="21" t="s">
        <v>902</v>
      </c>
      <c r="M47" s="21"/>
    </row>
    <row r="48" ht="15.75" customHeight="1">
      <c r="A48" s="22" t="s">
        <v>5793</v>
      </c>
      <c r="B48" s="22" t="s">
        <v>5794</v>
      </c>
      <c r="C48" s="22" t="s">
        <v>5795</v>
      </c>
      <c r="D48" s="22" t="s">
        <v>5796</v>
      </c>
      <c r="E48" s="22" t="s">
        <v>231</v>
      </c>
      <c r="F48" s="22" t="s">
        <v>231</v>
      </c>
      <c r="G48" s="22" t="s">
        <v>5797</v>
      </c>
      <c r="H48" s="22"/>
      <c r="I48" s="22" t="s">
        <v>5495</v>
      </c>
      <c r="J48" s="22" t="s">
        <v>5650</v>
      </c>
      <c r="K48" s="22" t="s">
        <v>5798</v>
      </c>
      <c r="L48" s="22" t="s">
        <v>5691</v>
      </c>
      <c r="M48" s="22"/>
    </row>
    <row r="49" ht="15.75" customHeight="1">
      <c r="A49" s="20" t="s">
        <v>5799</v>
      </c>
      <c r="B49" s="20" t="s">
        <v>5800</v>
      </c>
      <c r="C49" s="20" t="s">
        <v>5801</v>
      </c>
      <c r="D49" s="20" t="s">
        <v>5802</v>
      </c>
      <c r="E49" s="20" t="s">
        <v>231</v>
      </c>
      <c r="F49" s="20" t="s">
        <v>231</v>
      </c>
      <c r="G49" s="20" t="s">
        <v>5803</v>
      </c>
      <c r="H49" s="20"/>
      <c r="I49" s="20" t="s">
        <v>5495</v>
      </c>
      <c r="J49" s="21" t="s">
        <v>5650</v>
      </c>
      <c r="K49" s="21" t="s">
        <v>5804</v>
      </c>
      <c r="L49" s="21" t="s">
        <v>5805</v>
      </c>
      <c r="M49" s="21"/>
    </row>
    <row r="50" ht="15.75" customHeight="1">
      <c r="A50" s="22" t="s">
        <v>5806</v>
      </c>
      <c r="B50" s="22" t="s">
        <v>5807</v>
      </c>
      <c r="C50" s="22" t="s">
        <v>5808</v>
      </c>
      <c r="D50" s="22" t="s">
        <v>5809</v>
      </c>
      <c r="E50" s="22" t="s">
        <v>231</v>
      </c>
      <c r="F50" s="22" t="s">
        <v>231</v>
      </c>
      <c r="G50" s="22" t="s">
        <v>5810</v>
      </c>
      <c r="H50" s="22"/>
      <c r="I50" s="22" t="s">
        <v>5495</v>
      </c>
      <c r="J50" s="22" t="s">
        <v>5650</v>
      </c>
      <c r="K50" s="22" t="s">
        <v>5811</v>
      </c>
      <c r="L50" s="22" t="s">
        <v>5691</v>
      </c>
      <c r="M50" s="22"/>
    </row>
    <row r="51" ht="15.75" customHeight="1">
      <c r="A51" s="20" t="s">
        <v>5812</v>
      </c>
      <c r="B51" s="20"/>
      <c r="C51" s="20"/>
      <c r="D51" s="20" t="s">
        <v>5813</v>
      </c>
      <c r="E51" s="20" t="s">
        <v>231</v>
      </c>
      <c r="F51" s="20" t="s">
        <v>231</v>
      </c>
      <c r="G51" s="20" t="s">
        <v>5814</v>
      </c>
      <c r="H51" s="20"/>
      <c r="I51" s="20" t="s">
        <v>5495</v>
      </c>
      <c r="J51" s="21" t="s">
        <v>5650</v>
      </c>
      <c r="K51" s="21" t="s">
        <v>5815</v>
      </c>
      <c r="L51" s="21" t="s">
        <v>3486</v>
      </c>
      <c r="M51" s="21"/>
    </row>
    <row r="52" ht="15.75" customHeight="1">
      <c r="A52" s="22" t="s">
        <v>5816</v>
      </c>
      <c r="B52" s="22" t="s">
        <v>5817</v>
      </c>
      <c r="C52" s="22" t="s">
        <v>5818</v>
      </c>
      <c r="D52" s="22" t="s">
        <v>5819</v>
      </c>
      <c r="E52" s="22" t="s">
        <v>231</v>
      </c>
      <c r="F52" s="22" t="s">
        <v>231</v>
      </c>
      <c r="G52" s="22" t="s">
        <v>5820</v>
      </c>
      <c r="H52" s="22"/>
      <c r="I52" s="22" t="s">
        <v>5495</v>
      </c>
      <c r="J52" s="22" t="s">
        <v>5650</v>
      </c>
      <c r="K52" s="22" t="s">
        <v>5815</v>
      </c>
      <c r="L52" s="22" t="s">
        <v>2110</v>
      </c>
      <c r="M52" s="22"/>
    </row>
    <row r="53" ht="15.75" customHeight="1">
      <c r="A53" s="20" t="s">
        <v>5821</v>
      </c>
      <c r="B53" s="20" t="s">
        <v>5822</v>
      </c>
      <c r="C53" s="20"/>
      <c r="D53" s="20" t="s">
        <v>5823</v>
      </c>
      <c r="E53" s="20" t="s">
        <v>231</v>
      </c>
      <c r="F53" s="20" t="s">
        <v>231</v>
      </c>
      <c r="G53" s="20" t="s">
        <v>5824</v>
      </c>
      <c r="H53" s="20"/>
      <c r="I53" s="20" t="s">
        <v>5495</v>
      </c>
      <c r="J53" s="21" t="s">
        <v>5650</v>
      </c>
      <c r="K53" s="21" t="s">
        <v>5825</v>
      </c>
      <c r="L53" s="21" t="s">
        <v>5826</v>
      </c>
      <c r="M53" s="21"/>
    </row>
    <row r="54" ht="15.75" customHeight="1">
      <c r="A54" s="22" t="s">
        <v>5827</v>
      </c>
      <c r="B54" s="22" t="s">
        <v>5828</v>
      </c>
      <c r="C54" s="22" t="s">
        <v>5829</v>
      </c>
      <c r="D54" s="22" t="s">
        <v>5830</v>
      </c>
      <c r="E54" s="22" t="s">
        <v>231</v>
      </c>
      <c r="F54" s="22" t="s">
        <v>231</v>
      </c>
      <c r="G54" s="22" t="s">
        <v>5831</v>
      </c>
      <c r="H54" s="22" t="s">
        <v>5832</v>
      </c>
      <c r="I54" s="22" t="s">
        <v>5495</v>
      </c>
      <c r="J54" s="22" t="s">
        <v>5650</v>
      </c>
      <c r="K54" s="22" t="s">
        <v>5825</v>
      </c>
      <c r="L54" s="22" t="s">
        <v>5826</v>
      </c>
      <c r="M54" s="22"/>
    </row>
    <row r="55" ht="15.75" customHeight="1">
      <c r="A55" s="20" t="s">
        <v>5833</v>
      </c>
      <c r="B55" s="20" t="s">
        <v>5834</v>
      </c>
      <c r="C55" s="20" t="s">
        <v>5835</v>
      </c>
      <c r="D55" s="20" t="s">
        <v>5836</v>
      </c>
      <c r="E55" s="20" t="s">
        <v>231</v>
      </c>
      <c r="F55" s="20" t="s">
        <v>231</v>
      </c>
      <c r="G55" s="20" t="s">
        <v>5837</v>
      </c>
      <c r="H55" s="20" t="s">
        <v>5838</v>
      </c>
      <c r="I55" s="20" t="s">
        <v>5495</v>
      </c>
      <c r="J55" s="21" t="s">
        <v>5650</v>
      </c>
      <c r="K55" s="21" t="s">
        <v>5651</v>
      </c>
      <c r="L55" s="21" t="s">
        <v>1986</v>
      </c>
      <c r="M55" s="21"/>
    </row>
    <row r="56" ht="15.75" customHeight="1">
      <c r="A56" s="22" t="s">
        <v>5839</v>
      </c>
      <c r="B56" s="22" t="s">
        <v>5840</v>
      </c>
      <c r="C56" s="22" t="s">
        <v>5841</v>
      </c>
      <c r="D56" s="22" t="s">
        <v>5842</v>
      </c>
      <c r="E56" s="22" t="s">
        <v>231</v>
      </c>
      <c r="F56" s="22" t="s">
        <v>231</v>
      </c>
      <c r="G56" s="22" t="s">
        <v>5843</v>
      </c>
      <c r="H56" s="22" t="s">
        <v>5844</v>
      </c>
      <c r="I56" s="22" t="s">
        <v>5495</v>
      </c>
      <c r="J56" s="22" t="s">
        <v>5650</v>
      </c>
      <c r="K56" s="22" t="s">
        <v>5845</v>
      </c>
      <c r="L56" s="22" t="s">
        <v>5575</v>
      </c>
      <c r="M56" s="22"/>
    </row>
    <row r="57" ht="15.75" customHeight="1">
      <c r="A57" s="20" t="s">
        <v>5846</v>
      </c>
      <c r="B57" s="20" t="s">
        <v>5847</v>
      </c>
      <c r="C57" s="20" t="s">
        <v>5848</v>
      </c>
      <c r="D57" s="20" t="s">
        <v>5849</v>
      </c>
      <c r="E57" s="20" t="s">
        <v>231</v>
      </c>
      <c r="F57" s="20" t="s">
        <v>231</v>
      </c>
      <c r="G57" s="20" t="s">
        <v>5850</v>
      </c>
      <c r="H57" s="20" t="s">
        <v>5851</v>
      </c>
      <c r="I57" s="20" t="s">
        <v>5495</v>
      </c>
      <c r="J57" s="21" t="s">
        <v>5650</v>
      </c>
      <c r="K57" s="21" t="s">
        <v>5715</v>
      </c>
      <c r="L57" s="21" t="s">
        <v>5852</v>
      </c>
      <c r="M57" s="21"/>
    </row>
    <row r="58" ht="15.75" customHeight="1">
      <c r="A58" s="22" t="s">
        <v>5853</v>
      </c>
      <c r="B58" s="22" t="s">
        <v>5854</v>
      </c>
      <c r="C58" s="22" t="s">
        <v>5855</v>
      </c>
      <c r="D58" s="22" t="s">
        <v>5856</v>
      </c>
      <c r="E58" s="22" t="s">
        <v>231</v>
      </c>
      <c r="F58" s="22" t="s">
        <v>231</v>
      </c>
      <c r="G58" s="22" t="s">
        <v>5857</v>
      </c>
      <c r="H58" s="22" t="s">
        <v>5858</v>
      </c>
      <c r="I58" s="22" t="s">
        <v>5495</v>
      </c>
      <c r="J58" s="22" t="s">
        <v>5650</v>
      </c>
      <c r="K58" s="22" t="s">
        <v>5859</v>
      </c>
      <c r="L58" s="22" t="s">
        <v>5860</v>
      </c>
      <c r="M58" s="22"/>
    </row>
    <row r="59" ht="15.75" customHeight="1">
      <c r="A59" s="20" t="s">
        <v>5861</v>
      </c>
      <c r="B59" s="20" t="s">
        <v>5862</v>
      </c>
      <c r="C59" s="20" t="s">
        <v>5863</v>
      </c>
      <c r="D59" s="20" t="s">
        <v>5864</v>
      </c>
      <c r="E59" s="20" t="s">
        <v>231</v>
      </c>
      <c r="F59" s="20" t="s">
        <v>231</v>
      </c>
      <c r="G59" s="20" t="s">
        <v>5865</v>
      </c>
      <c r="H59" s="20"/>
      <c r="I59" s="20" t="s">
        <v>5495</v>
      </c>
      <c r="J59" s="21" t="s">
        <v>5650</v>
      </c>
      <c r="K59" s="21" t="s">
        <v>5866</v>
      </c>
      <c r="L59" s="21" t="s">
        <v>5867</v>
      </c>
      <c r="M59" s="21"/>
    </row>
    <row r="60" ht="15.75" customHeight="1">
      <c r="A60" s="22" t="s">
        <v>5868</v>
      </c>
      <c r="B60" s="22" t="s">
        <v>5718</v>
      </c>
      <c r="C60" s="22" t="s">
        <v>5719</v>
      </c>
      <c r="D60" s="22" t="s">
        <v>5869</v>
      </c>
      <c r="E60" s="22" t="s">
        <v>231</v>
      </c>
      <c r="F60" s="22" t="s">
        <v>231</v>
      </c>
      <c r="G60" s="22" t="s">
        <v>5870</v>
      </c>
      <c r="H60" s="22"/>
      <c r="I60" s="22" t="s">
        <v>5495</v>
      </c>
      <c r="J60" s="22" t="s">
        <v>5650</v>
      </c>
      <c r="K60" s="22" t="s">
        <v>5871</v>
      </c>
      <c r="L60" s="22" t="s">
        <v>5872</v>
      </c>
      <c r="M60" s="22"/>
    </row>
    <row r="61" ht="15.75" customHeight="1">
      <c r="A61" s="20" t="s">
        <v>5873</v>
      </c>
      <c r="B61" s="20" t="s">
        <v>5874</v>
      </c>
      <c r="C61" s="20" t="s">
        <v>5875</v>
      </c>
      <c r="D61" s="20" t="s">
        <v>5876</v>
      </c>
      <c r="E61" s="20" t="s">
        <v>231</v>
      </c>
      <c r="F61" s="20" t="s">
        <v>231</v>
      </c>
      <c r="G61" s="20" t="s">
        <v>5877</v>
      </c>
      <c r="H61" s="20" t="s">
        <v>5878</v>
      </c>
      <c r="I61" s="20" t="s">
        <v>5495</v>
      </c>
      <c r="J61" s="21" t="s">
        <v>5650</v>
      </c>
      <c r="K61" s="21" t="s">
        <v>5879</v>
      </c>
      <c r="L61" s="21" t="s">
        <v>5880</v>
      </c>
      <c r="M61" s="21"/>
    </row>
    <row r="62" ht="15.75" customHeight="1">
      <c r="A62" s="22" t="s">
        <v>5881</v>
      </c>
      <c r="B62" s="22" t="s">
        <v>5882</v>
      </c>
      <c r="C62" s="22" t="s">
        <v>5883</v>
      </c>
      <c r="D62" s="22" t="s">
        <v>5884</v>
      </c>
      <c r="E62" s="22" t="s">
        <v>231</v>
      </c>
      <c r="F62" s="22" t="s">
        <v>231</v>
      </c>
      <c r="G62" s="22" t="s">
        <v>5885</v>
      </c>
      <c r="H62" s="22"/>
      <c r="I62" s="22" t="s">
        <v>5495</v>
      </c>
      <c r="J62" s="22" t="s">
        <v>5650</v>
      </c>
      <c r="K62" s="22" t="s">
        <v>5690</v>
      </c>
      <c r="L62" s="22" t="s">
        <v>5886</v>
      </c>
      <c r="M62" s="22"/>
    </row>
    <row r="63" ht="15.75" customHeight="1">
      <c r="A63" s="20" t="s">
        <v>5887</v>
      </c>
      <c r="B63" s="20" t="s">
        <v>5888</v>
      </c>
      <c r="C63" s="20" t="s">
        <v>5889</v>
      </c>
      <c r="D63" s="20" t="s">
        <v>5890</v>
      </c>
      <c r="E63" s="20" t="s">
        <v>231</v>
      </c>
      <c r="F63" s="20" t="s">
        <v>231</v>
      </c>
      <c r="G63" s="20" t="s">
        <v>5891</v>
      </c>
      <c r="H63" s="20" t="s">
        <v>5892</v>
      </c>
      <c r="I63" s="20" t="s">
        <v>5495</v>
      </c>
      <c r="J63" s="21" t="s">
        <v>5650</v>
      </c>
      <c r="K63" s="21" t="s">
        <v>5893</v>
      </c>
      <c r="L63" s="21" t="s">
        <v>5880</v>
      </c>
      <c r="M63" s="21"/>
    </row>
    <row r="64" ht="15.75" customHeight="1">
      <c r="A64" s="22" t="s">
        <v>5894</v>
      </c>
      <c r="B64" s="22" t="s">
        <v>5895</v>
      </c>
      <c r="C64" s="22" t="s">
        <v>5896</v>
      </c>
      <c r="D64" s="22" t="s">
        <v>5897</v>
      </c>
      <c r="E64" s="22" t="s">
        <v>231</v>
      </c>
      <c r="F64" s="22" t="s">
        <v>231</v>
      </c>
      <c r="G64" s="22" t="s">
        <v>5898</v>
      </c>
      <c r="H64" s="22"/>
      <c r="I64" s="22" t="s">
        <v>5495</v>
      </c>
      <c r="J64" s="22" t="s">
        <v>5650</v>
      </c>
      <c r="K64" s="22" t="s">
        <v>5899</v>
      </c>
      <c r="L64" s="22" t="s">
        <v>5673</v>
      </c>
      <c r="M64" s="22"/>
    </row>
    <row r="65" ht="15.75" customHeight="1">
      <c r="A65" s="20" t="s">
        <v>5900</v>
      </c>
      <c r="B65" s="20" t="s">
        <v>5901</v>
      </c>
      <c r="C65" s="20" t="s">
        <v>5902</v>
      </c>
      <c r="D65" s="20" t="s">
        <v>5903</v>
      </c>
      <c r="E65" s="20" t="s">
        <v>231</v>
      </c>
      <c r="F65" s="20" t="s">
        <v>231</v>
      </c>
      <c r="G65" s="20" t="s">
        <v>5904</v>
      </c>
      <c r="H65" s="20" t="s">
        <v>5905</v>
      </c>
      <c r="I65" s="20" t="s">
        <v>5495</v>
      </c>
      <c r="J65" s="21" t="s">
        <v>5650</v>
      </c>
      <c r="K65" s="21" t="s">
        <v>5815</v>
      </c>
      <c r="L65" s="21" t="s">
        <v>5906</v>
      </c>
      <c r="M65" s="21"/>
    </row>
    <row r="66" ht="15.75" customHeight="1">
      <c r="A66" s="22" t="s">
        <v>5907</v>
      </c>
      <c r="B66" s="22" t="s">
        <v>5908</v>
      </c>
      <c r="C66" s="22"/>
      <c r="D66" s="22" t="s">
        <v>5909</v>
      </c>
      <c r="E66" s="22" t="s">
        <v>231</v>
      </c>
      <c r="F66" s="22" t="s">
        <v>231</v>
      </c>
      <c r="G66" s="22" t="s">
        <v>5910</v>
      </c>
      <c r="H66" s="22" t="s">
        <v>5911</v>
      </c>
      <c r="I66" s="22" t="s">
        <v>5495</v>
      </c>
      <c r="J66" s="22" t="s">
        <v>5650</v>
      </c>
      <c r="K66" s="22" t="s">
        <v>5773</v>
      </c>
      <c r="L66" s="22" t="s">
        <v>5912</v>
      </c>
      <c r="M66" s="22"/>
    </row>
    <row r="67" ht="15.75" customHeight="1">
      <c r="A67" s="20" t="s">
        <v>5913</v>
      </c>
      <c r="B67" s="20" t="s">
        <v>5914</v>
      </c>
      <c r="C67" s="20" t="s">
        <v>5808</v>
      </c>
      <c r="D67" s="20" t="s">
        <v>5915</v>
      </c>
      <c r="E67" s="20" t="s">
        <v>231</v>
      </c>
      <c r="F67" s="20" t="s">
        <v>231</v>
      </c>
      <c r="G67" s="20" t="s">
        <v>5916</v>
      </c>
      <c r="H67" s="20"/>
      <c r="I67" s="20" t="s">
        <v>5495</v>
      </c>
      <c r="J67" s="21" t="s">
        <v>5650</v>
      </c>
      <c r="K67" s="21" t="s">
        <v>5917</v>
      </c>
      <c r="L67" s="21" t="s">
        <v>5691</v>
      </c>
      <c r="M67" s="21"/>
    </row>
    <row r="68" ht="15.75" customHeight="1">
      <c r="A68" s="22" t="s">
        <v>5918</v>
      </c>
      <c r="B68" s="22" t="s">
        <v>5919</v>
      </c>
      <c r="C68" s="22" t="s">
        <v>5920</v>
      </c>
      <c r="D68" s="22" t="s">
        <v>5921</v>
      </c>
      <c r="E68" s="22" t="s">
        <v>231</v>
      </c>
      <c r="F68" s="22" t="s">
        <v>231</v>
      </c>
      <c r="G68" s="22" t="s">
        <v>5922</v>
      </c>
      <c r="H68" s="22"/>
      <c r="I68" s="22" t="s">
        <v>5495</v>
      </c>
      <c r="J68" s="22"/>
      <c r="K68" s="22" t="s">
        <v>5749</v>
      </c>
      <c r="L68" s="22" t="s">
        <v>3486</v>
      </c>
      <c r="M68" s="22"/>
    </row>
    <row r="69" ht="15.75" customHeight="1">
      <c r="A69" s="20" t="s">
        <v>5923</v>
      </c>
      <c r="B69" s="20" t="s">
        <v>5924</v>
      </c>
      <c r="C69" s="20" t="s">
        <v>5925</v>
      </c>
      <c r="D69" s="20" t="s">
        <v>5926</v>
      </c>
      <c r="E69" s="20" t="s">
        <v>231</v>
      </c>
      <c r="F69" s="20" t="s">
        <v>231</v>
      </c>
      <c r="G69" s="20" t="s">
        <v>5927</v>
      </c>
      <c r="H69" s="20" t="s">
        <v>5928</v>
      </c>
      <c r="I69" s="20" t="s">
        <v>5495</v>
      </c>
      <c r="J69" s="21"/>
      <c r="K69" s="21" t="s">
        <v>5859</v>
      </c>
      <c r="L69" s="21" t="s">
        <v>5929</v>
      </c>
      <c r="M69" s="21"/>
    </row>
    <row r="70" ht="15.75" customHeight="1">
      <c r="A70" s="22" t="s">
        <v>5930</v>
      </c>
      <c r="B70" s="22" t="s">
        <v>5931</v>
      </c>
      <c r="C70" s="22" t="s">
        <v>5932</v>
      </c>
      <c r="D70" s="22" t="s">
        <v>5933</v>
      </c>
      <c r="E70" s="22" t="s">
        <v>231</v>
      </c>
      <c r="F70" s="22" t="s">
        <v>231</v>
      </c>
      <c r="G70" s="22" t="s">
        <v>5934</v>
      </c>
      <c r="H70" s="22" t="s">
        <v>5935</v>
      </c>
      <c r="I70" s="22" t="s">
        <v>5495</v>
      </c>
      <c r="J70" s="22"/>
      <c r="K70" s="22" t="s">
        <v>5811</v>
      </c>
      <c r="L70" s="22" t="s">
        <v>5575</v>
      </c>
      <c r="M70" s="22"/>
    </row>
    <row r="71" ht="15.75" customHeight="1">
      <c r="A71" s="20" t="s">
        <v>5936</v>
      </c>
      <c r="B71" s="20"/>
      <c r="C71" s="20" t="s">
        <v>5937</v>
      </c>
      <c r="D71" s="20" t="s">
        <v>5938</v>
      </c>
      <c r="E71" s="20" t="s">
        <v>231</v>
      </c>
      <c r="F71" s="20" t="s">
        <v>231</v>
      </c>
      <c r="G71" s="20" t="s">
        <v>5939</v>
      </c>
      <c r="H71" s="20"/>
      <c r="I71" s="20" t="s">
        <v>5495</v>
      </c>
      <c r="J71" s="21"/>
      <c r="K71" s="21" t="s">
        <v>5811</v>
      </c>
      <c r="L71" s="21" t="s">
        <v>902</v>
      </c>
      <c r="M71" s="21"/>
    </row>
    <row r="72" ht="15.75" customHeight="1">
      <c r="A72" s="22" t="s">
        <v>5940</v>
      </c>
      <c r="B72" s="22" t="s">
        <v>5941</v>
      </c>
      <c r="C72" s="22" t="s">
        <v>5942</v>
      </c>
      <c r="D72" s="22" t="s">
        <v>5943</v>
      </c>
      <c r="E72" s="22" t="s">
        <v>231</v>
      </c>
      <c r="F72" s="22" t="s">
        <v>231</v>
      </c>
      <c r="G72" s="22" t="s">
        <v>5944</v>
      </c>
      <c r="H72" s="22"/>
      <c r="I72" s="22" t="s">
        <v>5495</v>
      </c>
      <c r="J72" s="22"/>
      <c r="K72" s="22" t="s">
        <v>5729</v>
      </c>
      <c r="L72" s="22" t="s">
        <v>5872</v>
      </c>
      <c r="M72" s="22"/>
    </row>
    <row r="73" ht="15.75" customHeight="1">
      <c r="A73" s="20" t="s">
        <v>5945</v>
      </c>
      <c r="B73" s="20" t="s">
        <v>5946</v>
      </c>
      <c r="C73" s="20" t="s">
        <v>5942</v>
      </c>
      <c r="D73" s="20" t="s">
        <v>5947</v>
      </c>
      <c r="E73" s="20" t="s">
        <v>231</v>
      </c>
      <c r="F73" s="20" t="s">
        <v>231</v>
      </c>
      <c r="G73" s="20" t="s">
        <v>5948</v>
      </c>
      <c r="H73" s="20"/>
      <c r="I73" s="20" t="s">
        <v>5495</v>
      </c>
      <c r="J73" s="21"/>
      <c r="K73" s="21" t="s">
        <v>5729</v>
      </c>
      <c r="L73" s="21" t="s">
        <v>3486</v>
      </c>
      <c r="M73" s="21"/>
    </row>
    <row r="74" ht="15.75" customHeight="1">
      <c r="A74" s="22" t="s">
        <v>5949</v>
      </c>
      <c r="B74" s="22" t="s">
        <v>5901</v>
      </c>
      <c r="C74" s="22" t="s">
        <v>5950</v>
      </c>
      <c r="D74" s="22" t="s">
        <v>5903</v>
      </c>
      <c r="E74" s="22" t="s">
        <v>231</v>
      </c>
      <c r="F74" s="22" t="s">
        <v>231</v>
      </c>
      <c r="G74" s="22" t="s">
        <v>5761</v>
      </c>
      <c r="H74" s="22" t="s">
        <v>5951</v>
      </c>
      <c r="I74" s="22" t="s">
        <v>5495</v>
      </c>
      <c r="J74" s="22"/>
      <c r="K74" s="22" t="s">
        <v>5756</v>
      </c>
      <c r="L74" s="22" t="s">
        <v>5665</v>
      </c>
      <c r="M74" s="22"/>
    </row>
    <row r="75" ht="15.75" customHeight="1">
      <c r="A75" s="20" t="s">
        <v>5952</v>
      </c>
      <c r="B75" s="20" t="s">
        <v>5953</v>
      </c>
      <c r="C75" s="20" t="s">
        <v>5954</v>
      </c>
      <c r="D75" s="20" t="s">
        <v>5669</v>
      </c>
      <c r="E75" s="20" t="s">
        <v>231</v>
      </c>
      <c r="F75" s="20" t="s">
        <v>231</v>
      </c>
      <c r="G75" s="20" t="s">
        <v>5955</v>
      </c>
      <c r="H75" s="20" t="s">
        <v>5671</v>
      </c>
      <c r="I75" s="20" t="s">
        <v>5495</v>
      </c>
      <c r="J75" s="21"/>
      <c r="K75" s="21" t="s">
        <v>5672</v>
      </c>
      <c r="L75" s="21" t="s">
        <v>5498</v>
      </c>
      <c r="M75" s="21"/>
    </row>
    <row r="76" ht="15.75" customHeight="1">
      <c r="A76" s="22" t="s">
        <v>5956</v>
      </c>
      <c r="B76" s="22" t="s">
        <v>5957</v>
      </c>
      <c r="C76" s="22" t="s">
        <v>5958</v>
      </c>
      <c r="D76" s="22" t="s">
        <v>5959</v>
      </c>
      <c r="E76" s="22" t="s">
        <v>231</v>
      </c>
      <c r="F76" s="22" t="s">
        <v>231</v>
      </c>
      <c r="G76" s="22" t="s">
        <v>5960</v>
      </c>
      <c r="H76" s="22"/>
      <c r="I76" s="22" t="s">
        <v>5495</v>
      </c>
      <c r="J76" s="22"/>
      <c r="K76" s="22" t="s">
        <v>5961</v>
      </c>
      <c r="L76" s="22"/>
      <c r="M76" s="22"/>
    </row>
    <row r="77" ht="15.75" customHeight="1">
      <c r="A77" s="20" t="s">
        <v>5962</v>
      </c>
      <c r="B77" s="20" t="s">
        <v>5963</v>
      </c>
      <c r="C77" s="20" t="s">
        <v>5964</v>
      </c>
      <c r="D77" s="20" t="s">
        <v>5965</v>
      </c>
      <c r="E77" s="20" t="s">
        <v>231</v>
      </c>
      <c r="F77" s="20" t="s">
        <v>231</v>
      </c>
      <c r="G77" s="20" t="s">
        <v>5966</v>
      </c>
      <c r="H77" s="20" t="s">
        <v>5967</v>
      </c>
      <c r="I77" s="20" t="s">
        <v>5495</v>
      </c>
      <c r="J77" s="21"/>
      <c r="K77" s="21" t="s">
        <v>5917</v>
      </c>
      <c r="L77" s="21" t="s">
        <v>5968</v>
      </c>
      <c r="M77" s="21"/>
    </row>
    <row r="78" ht="15.75" customHeight="1">
      <c r="A78" s="22" t="s">
        <v>5969</v>
      </c>
      <c r="B78" s="22" t="s">
        <v>5970</v>
      </c>
      <c r="C78" s="22" t="s">
        <v>5971</v>
      </c>
      <c r="D78" s="22" t="s">
        <v>5972</v>
      </c>
      <c r="E78" s="22" t="s">
        <v>231</v>
      </c>
      <c r="F78" s="22" t="s">
        <v>231</v>
      </c>
      <c r="G78" s="22" t="s">
        <v>5973</v>
      </c>
      <c r="H78" s="22" t="s">
        <v>5974</v>
      </c>
      <c r="I78" s="22" t="s">
        <v>5495</v>
      </c>
      <c r="J78" s="22"/>
      <c r="K78" s="22" t="s">
        <v>5690</v>
      </c>
      <c r="L78" s="22" t="s">
        <v>5975</v>
      </c>
      <c r="M78" s="22"/>
    </row>
    <row r="79" ht="15.75" customHeight="1">
      <c r="A79" s="20" t="s">
        <v>5976</v>
      </c>
      <c r="B79" s="20" t="s">
        <v>5977</v>
      </c>
      <c r="C79" s="20" t="s">
        <v>5978</v>
      </c>
      <c r="D79" s="20" t="s">
        <v>5979</v>
      </c>
      <c r="E79" s="20" t="s">
        <v>231</v>
      </c>
      <c r="F79" s="20" t="s">
        <v>231</v>
      </c>
      <c r="G79" s="20" t="s">
        <v>5980</v>
      </c>
      <c r="H79" s="20"/>
      <c r="I79" s="20" t="s">
        <v>5495</v>
      </c>
      <c r="J79" s="21"/>
      <c r="K79" s="21" t="s">
        <v>5756</v>
      </c>
      <c r="L79" s="21" t="s">
        <v>5981</v>
      </c>
      <c r="M79" s="21"/>
    </row>
    <row r="80" ht="15.75" customHeight="1">
      <c r="A80" s="22" t="s">
        <v>5982</v>
      </c>
      <c r="B80" s="22" t="s">
        <v>5983</v>
      </c>
      <c r="C80" s="22" t="s">
        <v>5984</v>
      </c>
      <c r="D80" s="22" t="s">
        <v>5985</v>
      </c>
      <c r="E80" s="22" t="s">
        <v>231</v>
      </c>
      <c r="F80" s="22" t="s">
        <v>231</v>
      </c>
      <c r="G80" s="22" t="s">
        <v>5986</v>
      </c>
      <c r="H80" s="22"/>
      <c r="I80" s="22" t="s">
        <v>5495</v>
      </c>
      <c r="J80" s="22"/>
      <c r="K80" s="22" t="s">
        <v>5786</v>
      </c>
      <c r="L80" s="22" t="s">
        <v>5987</v>
      </c>
      <c r="M80" s="22"/>
    </row>
    <row r="81" ht="15.75" customHeight="1">
      <c r="A81" s="20" t="s">
        <v>5988</v>
      </c>
      <c r="B81" s="20" t="s">
        <v>5989</v>
      </c>
      <c r="C81" s="20" t="s">
        <v>5990</v>
      </c>
      <c r="D81" s="20" t="s">
        <v>5991</v>
      </c>
      <c r="E81" s="20" t="s">
        <v>231</v>
      </c>
      <c r="F81" s="20" t="s">
        <v>231</v>
      </c>
      <c r="G81" s="20" t="s">
        <v>5992</v>
      </c>
      <c r="H81" s="20"/>
      <c r="I81" s="20" t="s">
        <v>5495</v>
      </c>
      <c r="J81" s="21"/>
      <c r="K81" s="21" t="s">
        <v>5993</v>
      </c>
      <c r="L81" s="21"/>
      <c r="M81" s="21"/>
    </row>
    <row r="82" ht="15.75" customHeight="1">
      <c r="A82" s="22" t="s">
        <v>5994</v>
      </c>
      <c r="B82" s="22" t="s">
        <v>5995</v>
      </c>
      <c r="C82" s="22" t="s">
        <v>5996</v>
      </c>
      <c r="D82" s="22" t="s">
        <v>5997</v>
      </c>
      <c r="E82" s="22" t="s">
        <v>5998</v>
      </c>
      <c r="F82" s="22" t="s">
        <v>111</v>
      </c>
      <c r="G82" s="22" t="s">
        <v>5999</v>
      </c>
      <c r="H82" s="22" t="s">
        <v>6000</v>
      </c>
      <c r="I82" s="22" t="s">
        <v>5495</v>
      </c>
      <c r="J82" s="22" t="s">
        <v>5519</v>
      </c>
      <c r="K82" s="22" t="s">
        <v>6001</v>
      </c>
      <c r="L82" s="22" t="s">
        <v>902</v>
      </c>
      <c r="M82" s="22"/>
    </row>
    <row r="83" ht="15.75" customHeight="1">
      <c r="A83" s="20" t="s">
        <v>6002</v>
      </c>
      <c r="B83" s="20" t="s">
        <v>6003</v>
      </c>
      <c r="C83" s="20"/>
      <c r="D83" s="20" t="s">
        <v>6004</v>
      </c>
      <c r="E83" s="20" t="s">
        <v>6005</v>
      </c>
      <c r="F83" s="20" t="s">
        <v>1961</v>
      </c>
      <c r="G83" s="20" t="s">
        <v>6006</v>
      </c>
      <c r="H83" s="20"/>
      <c r="I83" s="20" t="s">
        <v>5495</v>
      </c>
      <c r="J83" s="21"/>
      <c r="K83" s="21" t="s">
        <v>6007</v>
      </c>
      <c r="L83" s="21" t="s">
        <v>5691</v>
      </c>
      <c r="M83" s="21"/>
    </row>
    <row r="84" ht="15.75" customHeight="1">
      <c r="A84" s="22" t="s">
        <v>6008</v>
      </c>
      <c r="B84" s="22" t="s">
        <v>6009</v>
      </c>
      <c r="C84" s="22" t="s">
        <v>6010</v>
      </c>
      <c r="D84" s="22" t="s">
        <v>6011</v>
      </c>
      <c r="E84" s="22" t="s">
        <v>6012</v>
      </c>
      <c r="F84" s="22" t="s">
        <v>5441</v>
      </c>
      <c r="G84" s="22" t="s">
        <v>6013</v>
      </c>
      <c r="H84" s="22" t="s">
        <v>6014</v>
      </c>
      <c r="I84" s="22" t="s">
        <v>5495</v>
      </c>
      <c r="J84" s="22" t="s">
        <v>5605</v>
      </c>
      <c r="K84" s="22" t="s">
        <v>6015</v>
      </c>
      <c r="L84" s="22" t="s">
        <v>2110</v>
      </c>
      <c r="M84" s="22"/>
    </row>
    <row r="85" ht="15.75" customHeight="1">
      <c r="A85" s="20" t="s">
        <v>6016</v>
      </c>
      <c r="B85" s="20" t="s">
        <v>6017</v>
      </c>
      <c r="C85" s="20" t="s">
        <v>6018</v>
      </c>
      <c r="D85" s="20" t="s">
        <v>6019</v>
      </c>
      <c r="E85" s="20" t="s">
        <v>6020</v>
      </c>
      <c r="F85" s="20" t="s">
        <v>731</v>
      </c>
      <c r="G85" s="20" t="s">
        <v>6021</v>
      </c>
      <c r="H85" s="20"/>
      <c r="I85" s="20" t="s">
        <v>5495</v>
      </c>
      <c r="J85" s="21" t="s">
        <v>5628</v>
      </c>
      <c r="K85" s="21" t="s">
        <v>6022</v>
      </c>
      <c r="L85" s="21" t="s">
        <v>1649</v>
      </c>
      <c r="M85" s="21"/>
    </row>
    <row r="86" ht="15.75" customHeight="1">
      <c r="A86" s="22" t="s">
        <v>6023</v>
      </c>
      <c r="B86" s="22" t="s">
        <v>6024</v>
      </c>
      <c r="C86" s="22" t="s">
        <v>6025</v>
      </c>
      <c r="D86" s="22" t="s">
        <v>6026</v>
      </c>
      <c r="E86" s="22" t="s">
        <v>6027</v>
      </c>
      <c r="F86" s="22" t="s">
        <v>6028</v>
      </c>
      <c r="G86" s="22" t="s">
        <v>6029</v>
      </c>
      <c r="H86" s="22" t="s">
        <v>6030</v>
      </c>
      <c r="I86" s="22" t="s">
        <v>5495</v>
      </c>
      <c r="J86" s="22" t="s">
        <v>5628</v>
      </c>
      <c r="K86" s="22" t="s">
        <v>6031</v>
      </c>
      <c r="L86" s="22" t="s">
        <v>1649</v>
      </c>
      <c r="M86" s="22"/>
    </row>
    <row r="87" ht="15.75" customHeight="1">
      <c r="A87" s="20" t="s">
        <v>6032</v>
      </c>
      <c r="B87" s="20" t="s">
        <v>6033</v>
      </c>
      <c r="C87" s="20" t="s">
        <v>6034</v>
      </c>
      <c r="D87" s="20" t="s">
        <v>6035</v>
      </c>
      <c r="E87" s="20" t="s">
        <v>698</v>
      </c>
      <c r="F87" s="20" t="s">
        <v>731</v>
      </c>
      <c r="G87" s="20" t="s">
        <v>6036</v>
      </c>
      <c r="H87" s="20" t="s">
        <v>6037</v>
      </c>
      <c r="I87" s="20" t="s">
        <v>5495</v>
      </c>
      <c r="J87" s="21" t="s">
        <v>5519</v>
      </c>
      <c r="K87" s="21" t="s">
        <v>6038</v>
      </c>
      <c r="L87" s="21" t="s">
        <v>3486</v>
      </c>
      <c r="M87" s="21"/>
    </row>
    <row r="88" ht="15.75" customHeight="1">
      <c r="A88" s="22" t="s">
        <v>6039</v>
      </c>
      <c r="B88" s="22" t="s">
        <v>6040</v>
      </c>
      <c r="C88" s="22"/>
      <c r="D88" s="22" t="s">
        <v>6035</v>
      </c>
      <c r="E88" s="22" t="s">
        <v>698</v>
      </c>
      <c r="F88" s="22" t="s">
        <v>731</v>
      </c>
      <c r="G88" s="22" t="s">
        <v>6041</v>
      </c>
      <c r="H88" s="22"/>
      <c r="I88" s="22" t="s">
        <v>5495</v>
      </c>
      <c r="J88" s="22" t="s">
        <v>5628</v>
      </c>
      <c r="K88" s="22" t="s">
        <v>6038</v>
      </c>
      <c r="L88" s="22" t="s">
        <v>6042</v>
      </c>
      <c r="M88" s="22"/>
    </row>
    <row r="89" ht="15.75" customHeight="1">
      <c r="A89" s="20" t="s">
        <v>6043</v>
      </c>
      <c r="B89" s="20" t="s">
        <v>6044</v>
      </c>
      <c r="C89" s="20" t="s">
        <v>6045</v>
      </c>
      <c r="D89" s="20" t="s">
        <v>6046</v>
      </c>
      <c r="E89" s="20" t="s">
        <v>698</v>
      </c>
      <c r="F89" s="20" t="s">
        <v>731</v>
      </c>
      <c r="G89" s="20" t="s">
        <v>6047</v>
      </c>
      <c r="H89" s="20"/>
      <c r="I89" s="20" t="s">
        <v>5495</v>
      </c>
      <c r="J89" s="21" t="s">
        <v>5628</v>
      </c>
      <c r="K89" s="21" t="s">
        <v>6038</v>
      </c>
      <c r="L89" s="21" t="s">
        <v>6048</v>
      </c>
      <c r="M89" s="21"/>
    </row>
    <row r="90" ht="15.75" customHeight="1">
      <c r="A90" s="22" t="s">
        <v>6049</v>
      </c>
      <c r="B90" s="22" t="s">
        <v>6050</v>
      </c>
      <c r="C90" s="22" t="s">
        <v>6051</v>
      </c>
      <c r="D90" s="22" t="s">
        <v>6052</v>
      </c>
      <c r="E90" s="22" t="s">
        <v>698</v>
      </c>
      <c r="F90" s="22" t="s">
        <v>731</v>
      </c>
      <c r="G90" s="22" t="s">
        <v>6053</v>
      </c>
      <c r="H90" s="22" t="s">
        <v>6054</v>
      </c>
      <c r="I90" s="22" t="s">
        <v>5495</v>
      </c>
      <c r="J90" s="22" t="s">
        <v>5628</v>
      </c>
      <c r="K90" s="22" t="s">
        <v>6055</v>
      </c>
      <c r="L90" s="22" t="s">
        <v>6056</v>
      </c>
      <c r="M90" s="22"/>
    </row>
    <row r="91" ht="15.75" customHeight="1">
      <c r="A91" s="20" t="s">
        <v>733</v>
      </c>
      <c r="B91" s="20" t="s">
        <v>6057</v>
      </c>
      <c r="C91" s="20" t="s">
        <v>6058</v>
      </c>
      <c r="D91" s="20" t="s">
        <v>6059</v>
      </c>
      <c r="E91" s="20" t="s">
        <v>698</v>
      </c>
      <c r="F91" s="20" t="s">
        <v>731</v>
      </c>
      <c r="G91" s="20" t="s">
        <v>6060</v>
      </c>
      <c r="H91" s="20"/>
      <c r="I91" s="20" t="s">
        <v>5495</v>
      </c>
      <c r="J91" s="21"/>
      <c r="K91" s="21" t="s">
        <v>6055</v>
      </c>
      <c r="L91" s="21"/>
      <c r="M91" s="21"/>
    </row>
    <row r="92" ht="15.75" customHeight="1">
      <c r="A92" s="22" t="s">
        <v>6061</v>
      </c>
      <c r="B92" s="22" t="s">
        <v>6062</v>
      </c>
      <c r="C92" s="22" t="s">
        <v>6063</v>
      </c>
      <c r="D92" s="22" t="s">
        <v>6064</v>
      </c>
      <c r="E92" s="22" t="s">
        <v>6065</v>
      </c>
      <c r="F92" s="22" t="s">
        <v>4846</v>
      </c>
      <c r="G92" s="22" t="s">
        <v>6066</v>
      </c>
      <c r="H92" s="22"/>
      <c r="I92" s="22" t="s">
        <v>5495</v>
      </c>
      <c r="J92" s="22" t="s">
        <v>5650</v>
      </c>
      <c r="K92" s="22" t="s">
        <v>6067</v>
      </c>
      <c r="L92" s="22" t="s">
        <v>6068</v>
      </c>
      <c r="M92" s="22"/>
    </row>
    <row r="93" ht="15.75" customHeight="1">
      <c r="A93" s="20" t="s">
        <v>6069</v>
      </c>
      <c r="B93" s="20" t="s">
        <v>6070</v>
      </c>
      <c r="C93" s="20" t="s">
        <v>6071</v>
      </c>
      <c r="D93" s="20" t="s">
        <v>6072</v>
      </c>
      <c r="E93" s="20" t="s">
        <v>6073</v>
      </c>
      <c r="F93" s="20" t="s">
        <v>231</v>
      </c>
      <c r="G93" s="20" t="s">
        <v>6074</v>
      </c>
      <c r="H93" s="20" t="s">
        <v>6075</v>
      </c>
      <c r="I93" s="20" t="s">
        <v>5495</v>
      </c>
      <c r="J93" s="21" t="s">
        <v>5650</v>
      </c>
      <c r="K93" s="21" t="s">
        <v>5773</v>
      </c>
      <c r="L93" s="21" t="s">
        <v>6076</v>
      </c>
      <c r="M93" s="21"/>
    </row>
    <row r="94" ht="15.75" customHeight="1">
      <c r="A94" s="22" t="s">
        <v>6077</v>
      </c>
      <c r="B94" s="22" t="s">
        <v>6078</v>
      </c>
      <c r="C94" s="22"/>
      <c r="D94" s="22" t="s">
        <v>6079</v>
      </c>
      <c r="E94" s="22" t="s">
        <v>6080</v>
      </c>
      <c r="F94" s="22" t="s">
        <v>926</v>
      </c>
      <c r="G94" s="22" t="s">
        <v>6081</v>
      </c>
      <c r="H94" s="22"/>
      <c r="I94" s="22" t="s">
        <v>5495</v>
      </c>
      <c r="J94" s="22" t="s">
        <v>6082</v>
      </c>
      <c r="K94" s="22" t="s">
        <v>6083</v>
      </c>
      <c r="L94" s="22" t="s">
        <v>6084</v>
      </c>
      <c r="M94" s="22"/>
    </row>
    <row r="95" ht="15.75" customHeight="1">
      <c r="A95" s="20" t="s">
        <v>6085</v>
      </c>
      <c r="B95" s="20" t="s">
        <v>6086</v>
      </c>
      <c r="C95" s="20" t="s">
        <v>6087</v>
      </c>
      <c r="D95" s="20" t="s">
        <v>6088</v>
      </c>
      <c r="E95" s="20" t="s">
        <v>6089</v>
      </c>
      <c r="F95" s="20" t="s">
        <v>1462</v>
      </c>
      <c r="G95" s="20" t="s">
        <v>6090</v>
      </c>
      <c r="H95" s="20" t="s">
        <v>6091</v>
      </c>
      <c r="I95" s="20" t="s">
        <v>5495</v>
      </c>
      <c r="J95" s="21" t="s">
        <v>5496</v>
      </c>
      <c r="K95" s="21" t="s">
        <v>6092</v>
      </c>
      <c r="L95" s="21" t="s">
        <v>2110</v>
      </c>
      <c r="M95" s="21"/>
    </row>
    <row r="96" ht="15.75" customHeight="1">
      <c r="A96" s="22" t="s">
        <v>6093</v>
      </c>
      <c r="B96" s="22" t="s">
        <v>6094</v>
      </c>
      <c r="C96" s="22" t="s">
        <v>6095</v>
      </c>
      <c r="D96" s="22" t="s">
        <v>6096</v>
      </c>
      <c r="E96" s="22" t="s">
        <v>5380</v>
      </c>
      <c r="F96" s="22" t="s">
        <v>5380</v>
      </c>
      <c r="G96" s="22" t="s">
        <v>6097</v>
      </c>
      <c r="H96" s="22" t="s">
        <v>6098</v>
      </c>
      <c r="I96" s="22" t="s">
        <v>5495</v>
      </c>
      <c r="J96" s="22" t="s">
        <v>5519</v>
      </c>
      <c r="K96" s="22" t="s">
        <v>6099</v>
      </c>
      <c r="L96" s="22" t="s">
        <v>6100</v>
      </c>
      <c r="M96" s="22"/>
    </row>
    <row r="97" ht="15.75" customHeight="1">
      <c r="A97" s="20" t="s">
        <v>6101</v>
      </c>
      <c r="B97" s="20" t="s">
        <v>6102</v>
      </c>
      <c r="C97" s="20" t="s">
        <v>6103</v>
      </c>
      <c r="D97" s="20" t="s">
        <v>6104</v>
      </c>
      <c r="E97" s="20" t="s">
        <v>5380</v>
      </c>
      <c r="F97" s="20" t="s">
        <v>5380</v>
      </c>
      <c r="G97" s="20" t="s">
        <v>6105</v>
      </c>
      <c r="H97" s="20" t="s">
        <v>6106</v>
      </c>
      <c r="I97" s="20" t="s">
        <v>5495</v>
      </c>
      <c r="J97" s="21" t="s">
        <v>5605</v>
      </c>
      <c r="K97" s="21" t="s">
        <v>6107</v>
      </c>
      <c r="L97" s="21" t="s">
        <v>902</v>
      </c>
      <c r="M97" s="21"/>
    </row>
    <row r="98" ht="15.75" customHeight="1">
      <c r="A98" s="22" t="s">
        <v>6108</v>
      </c>
      <c r="B98" s="22" t="s">
        <v>6109</v>
      </c>
      <c r="C98" s="22" t="s">
        <v>6110</v>
      </c>
      <c r="D98" s="22" t="s">
        <v>6111</v>
      </c>
      <c r="E98" s="22" t="s">
        <v>5380</v>
      </c>
      <c r="F98" s="22" t="s">
        <v>5380</v>
      </c>
      <c r="G98" s="22" t="s">
        <v>6112</v>
      </c>
      <c r="H98" s="22" t="s">
        <v>6113</v>
      </c>
      <c r="I98" s="22" t="s">
        <v>5495</v>
      </c>
      <c r="J98" s="22"/>
      <c r="K98" s="22" t="s">
        <v>6099</v>
      </c>
      <c r="L98" s="22" t="s">
        <v>6114</v>
      </c>
      <c r="M98" s="22"/>
    </row>
    <row r="99" ht="15.75" customHeight="1">
      <c r="A99" s="20" t="s">
        <v>6115</v>
      </c>
      <c r="B99" s="20" t="s">
        <v>6116</v>
      </c>
      <c r="C99" s="20" t="s">
        <v>6117</v>
      </c>
      <c r="D99" s="20" t="s">
        <v>6118</v>
      </c>
      <c r="E99" s="20" t="s">
        <v>6119</v>
      </c>
      <c r="F99" s="20" t="s">
        <v>395</v>
      </c>
      <c r="G99" s="20" t="s">
        <v>6120</v>
      </c>
      <c r="H99" s="20" t="s">
        <v>6121</v>
      </c>
      <c r="I99" s="20" t="s">
        <v>5495</v>
      </c>
      <c r="J99" s="21" t="s">
        <v>5552</v>
      </c>
      <c r="K99" s="21" t="s">
        <v>6122</v>
      </c>
      <c r="L99" s="21" t="s">
        <v>6123</v>
      </c>
      <c r="M99" s="21"/>
    </row>
    <row r="100" ht="15.75" customHeight="1">
      <c r="A100" s="22" t="s">
        <v>6124</v>
      </c>
      <c r="B100" s="22" t="s">
        <v>6125</v>
      </c>
      <c r="C100" s="22" t="s">
        <v>6126</v>
      </c>
      <c r="D100" s="22" t="s">
        <v>6127</v>
      </c>
      <c r="E100" s="22" t="s">
        <v>1929</v>
      </c>
      <c r="F100" s="22" t="s">
        <v>1929</v>
      </c>
      <c r="G100" s="22" t="s">
        <v>6128</v>
      </c>
      <c r="H100" s="22" t="s">
        <v>6129</v>
      </c>
      <c r="I100" s="22" t="s">
        <v>5495</v>
      </c>
      <c r="J100" s="22" t="s">
        <v>5519</v>
      </c>
      <c r="K100" s="22" t="s">
        <v>6130</v>
      </c>
      <c r="L100" s="22" t="s">
        <v>278</v>
      </c>
      <c r="M100" s="22"/>
    </row>
    <row r="101" ht="15.75" customHeight="1">
      <c r="A101" s="20" t="s">
        <v>6131</v>
      </c>
      <c r="B101" s="20" t="s">
        <v>6132</v>
      </c>
      <c r="C101" s="20" t="s">
        <v>6133</v>
      </c>
      <c r="D101" s="20" t="s">
        <v>6134</v>
      </c>
      <c r="E101" s="20" t="s">
        <v>1929</v>
      </c>
      <c r="F101" s="20" t="s">
        <v>1929</v>
      </c>
      <c r="G101" s="20" t="s">
        <v>6135</v>
      </c>
      <c r="H101" s="20"/>
      <c r="I101" s="20" t="s">
        <v>5495</v>
      </c>
      <c r="J101" s="21"/>
      <c r="K101" s="21" t="s">
        <v>6136</v>
      </c>
      <c r="L101" s="21" t="s">
        <v>1901</v>
      </c>
      <c r="M101" s="21"/>
    </row>
    <row r="102" ht="15.75" customHeight="1">
      <c r="A102" s="22" t="s">
        <v>6137</v>
      </c>
      <c r="B102" s="22" t="s">
        <v>6138</v>
      </c>
      <c r="C102" s="22" t="s">
        <v>6139</v>
      </c>
      <c r="D102" s="22" t="s">
        <v>6140</v>
      </c>
      <c r="E102" s="22" t="s">
        <v>2391</v>
      </c>
      <c r="F102" s="22" t="s">
        <v>2391</v>
      </c>
      <c r="G102" s="22" t="s">
        <v>6141</v>
      </c>
      <c r="H102" s="22" t="s">
        <v>6142</v>
      </c>
      <c r="I102" s="22" t="s">
        <v>5495</v>
      </c>
      <c r="J102" s="22" t="s">
        <v>5542</v>
      </c>
      <c r="K102" s="22" t="s">
        <v>6143</v>
      </c>
      <c r="L102" s="22" t="s">
        <v>5886</v>
      </c>
      <c r="M102" s="22"/>
    </row>
    <row r="103" ht="15.75" customHeight="1">
      <c r="A103" s="20" t="s">
        <v>6144</v>
      </c>
      <c r="B103" s="20" t="s">
        <v>6145</v>
      </c>
      <c r="C103" s="20" t="s">
        <v>6146</v>
      </c>
      <c r="D103" s="20" t="s">
        <v>6147</v>
      </c>
      <c r="E103" s="20" t="s">
        <v>6148</v>
      </c>
      <c r="F103" s="20" t="s">
        <v>231</v>
      </c>
      <c r="G103" s="20" t="s">
        <v>6149</v>
      </c>
      <c r="H103" s="20" t="s">
        <v>6150</v>
      </c>
      <c r="I103" s="20" t="s">
        <v>5495</v>
      </c>
      <c r="J103" s="21"/>
      <c r="K103" s="21" t="s">
        <v>6151</v>
      </c>
      <c r="L103" s="21" t="s">
        <v>3486</v>
      </c>
      <c r="M103" s="21"/>
    </row>
    <row r="104" ht="15.75" customHeight="1">
      <c r="A104" s="22" t="s">
        <v>6152</v>
      </c>
      <c r="B104" s="22" t="s">
        <v>6153</v>
      </c>
      <c r="C104" s="22" t="s">
        <v>6154</v>
      </c>
      <c r="D104" s="22" t="s">
        <v>6155</v>
      </c>
      <c r="E104" s="22" t="s">
        <v>1463</v>
      </c>
      <c r="F104" s="22" t="s">
        <v>1462</v>
      </c>
      <c r="G104" s="22" t="s">
        <v>6156</v>
      </c>
      <c r="H104" s="22" t="s">
        <v>6157</v>
      </c>
      <c r="I104" s="22" t="s">
        <v>5495</v>
      </c>
      <c r="J104" s="22"/>
      <c r="K104" s="22" t="s">
        <v>6158</v>
      </c>
      <c r="L104" s="22" t="s">
        <v>5906</v>
      </c>
      <c r="M104" s="22"/>
    </row>
    <row r="105" ht="15.75" customHeight="1">
      <c r="A105" s="20" t="s">
        <v>6159</v>
      </c>
      <c r="B105" s="20" t="s">
        <v>6160</v>
      </c>
      <c r="C105" s="20" t="s">
        <v>6161</v>
      </c>
      <c r="D105" s="20" t="s">
        <v>6162</v>
      </c>
      <c r="E105" s="20" t="s">
        <v>6163</v>
      </c>
      <c r="F105" s="20" t="s">
        <v>1462</v>
      </c>
      <c r="G105" s="20" t="s">
        <v>6164</v>
      </c>
      <c r="H105" s="20" t="s">
        <v>6165</v>
      </c>
      <c r="I105" s="20" t="s">
        <v>5495</v>
      </c>
      <c r="J105" s="21" t="s">
        <v>5496</v>
      </c>
      <c r="K105" s="21" t="s">
        <v>6166</v>
      </c>
      <c r="L105" s="21" t="s">
        <v>5498</v>
      </c>
      <c r="M105" s="21"/>
    </row>
    <row r="106" ht="15.75" customHeight="1">
      <c r="A106" s="22" t="s">
        <v>6167</v>
      </c>
      <c r="B106" s="22" t="s">
        <v>6168</v>
      </c>
      <c r="C106" s="22" t="s">
        <v>6169</v>
      </c>
      <c r="D106" s="22" t="s">
        <v>6170</v>
      </c>
      <c r="E106" s="22" t="s">
        <v>6171</v>
      </c>
      <c r="F106" s="22" t="s">
        <v>231</v>
      </c>
      <c r="G106" s="22" t="s">
        <v>6172</v>
      </c>
      <c r="H106" s="22" t="s">
        <v>6173</v>
      </c>
      <c r="I106" s="22" t="s">
        <v>5495</v>
      </c>
      <c r="J106" s="22" t="s">
        <v>5650</v>
      </c>
      <c r="K106" s="22" t="s">
        <v>6174</v>
      </c>
      <c r="L106" s="22" t="s">
        <v>6175</v>
      </c>
      <c r="M106" s="22"/>
    </row>
    <row r="107" ht="15.75" customHeight="1">
      <c r="A107" s="20" t="s">
        <v>6176</v>
      </c>
      <c r="B107" s="20" t="s">
        <v>6177</v>
      </c>
      <c r="C107" s="20"/>
      <c r="D107" s="20" t="s">
        <v>6178</v>
      </c>
      <c r="E107" s="20" t="s">
        <v>1180</v>
      </c>
      <c r="F107" s="20" t="s">
        <v>395</v>
      </c>
      <c r="G107" s="20" t="s">
        <v>6179</v>
      </c>
      <c r="H107" s="20" t="s">
        <v>6180</v>
      </c>
      <c r="I107" s="20" t="s">
        <v>5495</v>
      </c>
      <c r="J107" s="21" t="s">
        <v>5552</v>
      </c>
      <c r="K107" s="21" t="s">
        <v>6181</v>
      </c>
      <c r="L107" s="21" t="s">
        <v>1986</v>
      </c>
      <c r="M107" s="21"/>
    </row>
    <row r="108" ht="15.75" customHeight="1">
      <c r="A108" s="22" t="s">
        <v>6182</v>
      </c>
      <c r="B108" s="22" t="s">
        <v>6183</v>
      </c>
      <c r="C108" s="22"/>
      <c r="D108" s="22"/>
      <c r="E108" s="22" t="s">
        <v>1180</v>
      </c>
      <c r="F108" s="22" t="s">
        <v>395</v>
      </c>
      <c r="G108" s="22" t="s">
        <v>6184</v>
      </c>
      <c r="H108" s="22"/>
      <c r="I108" s="22" t="s">
        <v>5495</v>
      </c>
      <c r="J108" s="22" t="s">
        <v>6185</v>
      </c>
      <c r="K108" s="22" t="s">
        <v>6186</v>
      </c>
      <c r="L108" s="22"/>
      <c r="M108" s="22"/>
    </row>
    <row r="109" ht="15.75" customHeight="1">
      <c r="A109" s="20" t="s">
        <v>6187</v>
      </c>
      <c r="B109" s="20" t="s">
        <v>6188</v>
      </c>
      <c r="C109" s="20" t="s">
        <v>6189</v>
      </c>
      <c r="D109" s="20" t="s">
        <v>6190</v>
      </c>
      <c r="E109" s="20" t="s">
        <v>5048</v>
      </c>
      <c r="F109" s="20" t="s">
        <v>5048</v>
      </c>
      <c r="G109" s="20" t="s">
        <v>6191</v>
      </c>
      <c r="H109" s="20" t="s">
        <v>6192</v>
      </c>
      <c r="I109" s="20" t="s">
        <v>5495</v>
      </c>
      <c r="J109" s="21" t="s">
        <v>5560</v>
      </c>
      <c r="K109" s="21" t="s">
        <v>6193</v>
      </c>
      <c r="L109" s="21" t="s">
        <v>2110</v>
      </c>
      <c r="M109" s="21"/>
    </row>
    <row r="110" ht="15.75" customHeight="1">
      <c r="A110" s="22" t="s">
        <v>6194</v>
      </c>
      <c r="B110" s="22" t="s">
        <v>6195</v>
      </c>
      <c r="C110" s="22" t="s">
        <v>6196</v>
      </c>
      <c r="D110" s="22" t="s">
        <v>6197</v>
      </c>
      <c r="E110" s="22" t="s">
        <v>5048</v>
      </c>
      <c r="F110" s="22" t="s">
        <v>5048</v>
      </c>
      <c r="G110" s="22" t="s">
        <v>6198</v>
      </c>
      <c r="H110" s="22" t="s">
        <v>6199</v>
      </c>
      <c r="I110" s="22" t="s">
        <v>5495</v>
      </c>
      <c r="J110" s="22" t="s">
        <v>5560</v>
      </c>
      <c r="K110" s="22" t="s">
        <v>6200</v>
      </c>
      <c r="L110" s="22" t="s">
        <v>531</v>
      </c>
      <c r="M110" s="22" t="s">
        <v>5495</v>
      </c>
    </row>
    <row r="111" ht="15.75" customHeight="1">
      <c r="A111" s="20" t="s">
        <v>6201</v>
      </c>
      <c r="B111" s="20" t="s">
        <v>6202</v>
      </c>
      <c r="C111" s="20" t="s">
        <v>6203</v>
      </c>
      <c r="D111" s="20" t="s">
        <v>6204</v>
      </c>
      <c r="E111" s="20" t="s">
        <v>6205</v>
      </c>
      <c r="F111" s="20" t="s">
        <v>231</v>
      </c>
      <c r="G111" s="20" t="s">
        <v>6206</v>
      </c>
      <c r="H111" s="20" t="s">
        <v>6207</v>
      </c>
      <c r="I111" s="20" t="s">
        <v>5495</v>
      </c>
      <c r="J111" s="21" t="s">
        <v>5650</v>
      </c>
      <c r="K111" s="21" t="s">
        <v>6208</v>
      </c>
      <c r="L111" s="21" t="s">
        <v>531</v>
      </c>
      <c r="M111" s="21"/>
    </row>
    <row r="112" ht="15.75" customHeight="1">
      <c r="A112" s="22" t="s">
        <v>6209</v>
      </c>
      <c r="B112" s="22" t="s">
        <v>6210</v>
      </c>
      <c r="C112" s="22"/>
      <c r="D112" s="22"/>
      <c r="E112" s="22" t="s">
        <v>6205</v>
      </c>
      <c r="F112" s="22" t="s">
        <v>231</v>
      </c>
      <c r="G112" s="22" t="s">
        <v>6211</v>
      </c>
      <c r="H112" s="22" t="s">
        <v>6207</v>
      </c>
      <c r="I112" s="22" t="s">
        <v>5495</v>
      </c>
      <c r="J112" s="22"/>
      <c r="K112" s="22" t="s">
        <v>6208</v>
      </c>
      <c r="L112" s="22" t="s">
        <v>531</v>
      </c>
      <c r="M112" s="22"/>
    </row>
    <row r="113" ht="15.75" customHeight="1">
      <c r="A113" s="20" t="s">
        <v>6212</v>
      </c>
      <c r="B113" s="20" t="s">
        <v>6213</v>
      </c>
      <c r="C113" s="20" t="s">
        <v>6214</v>
      </c>
      <c r="D113" s="20" t="s">
        <v>6215</v>
      </c>
      <c r="E113" s="20" t="s">
        <v>6216</v>
      </c>
      <c r="F113" s="20" t="s">
        <v>231</v>
      </c>
      <c r="G113" s="20" t="s">
        <v>6217</v>
      </c>
      <c r="H113" s="20" t="s">
        <v>6218</v>
      </c>
      <c r="I113" s="20" t="s">
        <v>5495</v>
      </c>
      <c r="J113" s="21"/>
      <c r="K113" s="21" t="s">
        <v>6219</v>
      </c>
      <c r="L113" s="21" t="s">
        <v>1986</v>
      </c>
      <c r="M113" s="21"/>
    </row>
    <row r="114" ht="15.75" customHeight="1">
      <c r="A114" s="22" t="s">
        <v>6220</v>
      </c>
      <c r="B114" s="22" t="s">
        <v>6221</v>
      </c>
      <c r="C114" s="22" t="s">
        <v>6222</v>
      </c>
      <c r="D114" s="22" t="s">
        <v>6223</v>
      </c>
      <c r="E114" s="22" t="s">
        <v>1227</v>
      </c>
      <c r="F114" s="22" t="s">
        <v>1227</v>
      </c>
      <c r="G114" s="22" t="s">
        <v>6224</v>
      </c>
      <c r="H114" s="22"/>
      <c r="I114" s="22" t="s">
        <v>5495</v>
      </c>
      <c r="J114" s="22"/>
      <c r="K114" s="22" t="s">
        <v>6225</v>
      </c>
      <c r="L114" s="22" t="s">
        <v>6226</v>
      </c>
      <c r="M114" s="22"/>
    </row>
    <row r="115" ht="15.75" customHeight="1">
      <c r="A115" s="20" t="s">
        <v>6227</v>
      </c>
      <c r="B115" s="20" t="s">
        <v>6228</v>
      </c>
      <c r="C115" s="20" t="s">
        <v>6229</v>
      </c>
      <c r="D115" s="20" t="s">
        <v>6230</v>
      </c>
      <c r="E115" s="20" t="s">
        <v>6231</v>
      </c>
      <c r="F115" s="20" t="s">
        <v>6231</v>
      </c>
      <c r="G115" s="20" t="s">
        <v>6232</v>
      </c>
      <c r="H115" s="20" t="s">
        <v>6233</v>
      </c>
      <c r="I115" s="20" t="s">
        <v>5495</v>
      </c>
      <c r="J115" s="21" t="s">
        <v>6234</v>
      </c>
      <c r="K115" s="21" t="s">
        <v>6235</v>
      </c>
      <c r="L115" s="21" t="s">
        <v>6226</v>
      </c>
      <c r="M115" s="21"/>
    </row>
    <row r="116" ht="15.75" customHeight="1">
      <c r="A116" s="22" t="s">
        <v>6236</v>
      </c>
      <c r="B116" s="22" t="s">
        <v>6237</v>
      </c>
      <c r="C116" s="22" t="s">
        <v>6238</v>
      </c>
      <c r="D116" s="22" t="s">
        <v>6239</v>
      </c>
      <c r="E116" s="22" t="s">
        <v>6240</v>
      </c>
      <c r="F116" s="22" t="s">
        <v>231</v>
      </c>
      <c r="G116" s="22" t="s">
        <v>6241</v>
      </c>
      <c r="H116" s="22" t="s">
        <v>6242</v>
      </c>
      <c r="I116" s="22" t="s">
        <v>5495</v>
      </c>
      <c r="J116" s="22"/>
      <c r="K116" s="22" t="s">
        <v>6151</v>
      </c>
      <c r="L116" s="22" t="s">
        <v>6243</v>
      </c>
      <c r="M116" s="22"/>
    </row>
    <row r="117" ht="15.75" customHeight="1">
      <c r="A117" s="20" t="s">
        <v>6244</v>
      </c>
      <c r="B117" s="20"/>
      <c r="C117" s="20" t="s">
        <v>6245</v>
      </c>
      <c r="D117" s="20"/>
      <c r="E117" s="20" t="s">
        <v>6246</v>
      </c>
      <c r="F117" s="20" t="s">
        <v>1009</v>
      </c>
      <c r="G117" s="20" t="s">
        <v>6247</v>
      </c>
      <c r="H117" s="20" t="s">
        <v>6248</v>
      </c>
      <c r="I117" s="20" t="s">
        <v>5495</v>
      </c>
      <c r="J117" s="21" t="s">
        <v>5650</v>
      </c>
      <c r="K117" s="21" t="s">
        <v>6249</v>
      </c>
      <c r="L117" s="21" t="s">
        <v>902</v>
      </c>
      <c r="M117" s="21"/>
    </row>
    <row r="118" ht="15.75" customHeight="1">
      <c r="A118" s="22" t="s">
        <v>6250</v>
      </c>
      <c r="B118" s="22" t="s">
        <v>6251</v>
      </c>
      <c r="C118" s="22" t="s">
        <v>6252</v>
      </c>
      <c r="D118" s="22"/>
      <c r="E118" s="22" t="s">
        <v>163</v>
      </c>
      <c r="F118" s="22" t="s">
        <v>163</v>
      </c>
      <c r="G118" s="22" t="s">
        <v>6253</v>
      </c>
      <c r="H118" s="22" t="s">
        <v>6254</v>
      </c>
      <c r="I118" s="22" t="s">
        <v>5495</v>
      </c>
      <c r="J118" s="22" t="s">
        <v>5519</v>
      </c>
      <c r="K118" s="22" t="s">
        <v>6255</v>
      </c>
      <c r="L118" s="22" t="s">
        <v>6048</v>
      </c>
      <c r="M118" s="22"/>
    </row>
    <row r="119" ht="15.75" customHeight="1">
      <c r="A119" s="20" t="s">
        <v>6256</v>
      </c>
      <c r="B119" s="20" t="s">
        <v>6257</v>
      </c>
      <c r="C119" s="20" t="s">
        <v>6258</v>
      </c>
      <c r="D119" s="20" t="s">
        <v>6259</v>
      </c>
      <c r="E119" s="20" t="s">
        <v>163</v>
      </c>
      <c r="F119" s="20" t="s">
        <v>163</v>
      </c>
      <c r="G119" s="20" t="s">
        <v>6260</v>
      </c>
      <c r="H119" s="20" t="s">
        <v>6261</v>
      </c>
      <c r="I119" s="20" t="s">
        <v>5495</v>
      </c>
      <c r="J119" s="21"/>
      <c r="K119" s="21" t="s">
        <v>6255</v>
      </c>
      <c r="L119" s="21" t="s">
        <v>1901</v>
      </c>
      <c r="M119" s="21"/>
    </row>
    <row r="120" ht="15.75" customHeight="1">
      <c r="A120" s="22" t="s">
        <v>6262</v>
      </c>
      <c r="B120" s="22" t="s">
        <v>6263</v>
      </c>
      <c r="C120" s="22" t="s">
        <v>6264</v>
      </c>
      <c r="D120" s="22" t="s">
        <v>6265</v>
      </c>
      <c r="E120" s="22" t="s">
        <v>610</v>
      </c>
      <c r="F120" s="22" t="s">
        <v>610</v>
      </c>
      <c r="G120" s="22" t="s">
        <v>6266</v>
      </c>
      <c r="H120" s="22" t="s">
        <v>6267</v>
      </c>
      <c r="I120" s="22" t="s">
        <v>5495</v>
      </c>
      <c r="J120" s="22" t="s">
        <v>5519</v>
      </c>
      <c r="K120" s="22" t="s">
        <v>6268</v>
      </c>
      <c r="L120" s="22" t="s">
        <v>6048</v>
      </c>
      <c r="M120" s="22" t="s">
        <v>5495</v>
      </c>
    </row>
    <row r="121" ht="15.75" customHeight="1">
      <c r="A121" s="20" t="s">
        <v>6269</v>
      </c>
      <c r="B121" s="20" t="s">
        <v>6270</v>
      </c>
      <c r="C121" s="20" t="s">
        <v>6271</v>
      </c>
      <c r="D121" s="20" t="s">
        <v>6272</v>
      </c>
      <c r="E121" s="20" t="s">
        <v>610</v>
      </c>
      <c r="F121" s="20" t="s">
        <v>610</v>
      </c>
      <c r="G121" s="20" t="s">
        <v>6273</v>
      </c>
      <c r="H121" s="20" t="s">
        <v>6274</v>
      </c>
      <c r="I121" s="20" t="s">
        <v>5495</v>
      </c>
      <c r="J121" s="21"/>
      <c r="K121" s="21" t="s">
        <v>6275</v>
      </c>
      <c r="L121" s="21" t="s">
        <v>3486</v>
      </c>
      <c r="M121" s="21"/>
    </row>
    <row r="122" ht="15.75" customHeight="1">
      <c r="A122" s="22" t="s">
        <v>6276</v>
      </c>
      <c r="B122" s="22" t="s">
        <v>6277</v>
      </c>
      <c r="C122" s="22"/>
      <c r="D122" s="22" t="s">
        <v>6278</v>
      </c>
      <c r="E122" s="22" t="s">
        <v>6279</v>
      </c>
      <c r="F122" s="22" t="s">
        <v>377</v>
      </c>
      <c r="G122" s="22" t="s">
        <v>6280</v>
      </c>
      <c r="H122" s="22"/>
      <c r="I122" s="22" t="s">
        <v>5495</v>
      </c>
      <c r="J122" s="22" t="s">
        <v>5628</v>
      </c>
      <c r="K122" s="22" t="s">
        <v>6281</v>
      </c>
      <c r="L122" s="22"/>
      <c r="M122" s="22"/>
    </row>
    <row r="123" ht="15.75" customHeight="1">
      <c r="A123" s="20" t="s">
        <v>6282</v>
      </c>
      <c r="B123" s="20" t="s">
        <v>6283</v>
      </c>
      <c r="C123" s="20" t="s">
        <v>6284</v>
      </c>
      <c r="D123" s="20" t="s">
        <v>6285</v>
      </c>
      <c r="E123" s="20" t="s">
        <v>6279</v>
      </c>
      <c r="F123" s="20" t="s">
        <v>377</v>
      </c>
      <c r="G123" s="20" t="s">
        <v>6286</v>
      </c>
      <c r="H123" s="20" t="s">
        <v>6287</v>
      </c>
      <c r="I123" s="20" t="s">
        <v>5495</v>
      </c>
      <c r="J123" s="21" t="s">
        <v>5628</v>
      </c>
      <c r="K123" s="21" t="s">
        <v>6281</v>
      </c>
      <c r="L123" s="21" t="s">
        <v>278</v>
      </c>
      <c r="M123" s="21"/>
    </row>
    <row r="124" ht="15.75" customHeight="1">
      <c r="A124" s="22" t="s">
        <v>6288</v>
      </c>
      <c r="B124" s="22" t="s">
        <v>6289</v>
      </c>
      <c r="C124" s="22" t="s">
        <v>6290</v>
      </c>
      <c r="D124" s="22" t="s">
        <v>6291</v>
      </c>
      <c r="E124" s="22" t="s">
        <v>6292</v>
      </c>
      <c r="F124" s="22" t="s">
        <v>5357</v>
      </c>
      <c r="G124" s="22" t="s">
        <v>6293</v>
      </c>
      <c r="H124" s="22"/>
      <c r="I124" s="22" t="s">
        <v>5495</v>
      </c>
      <c r="J124" s="22" t="s">
        <v>5628</v>
      </c>
      <c r="K124" s="22" t="s">
        <v>6294</v>
      </c>
      <c r="L124" s="22"/>
      <c r="M124" s="22"/>
    </row>
    <row r="125" ht="15.75" customHeight="1">
      <c r="A125" s="20" t="s">
        <v>6295</v>
      </c>
      <c r="B125" s="20" t="s">
        <v>6296</v>
      </c>
      <c r="C125" s="20" t="s">
        <v>6297</v>
      </c>
      <c r="D125" s="20" t="s">
        <v>6298</v>
      </c>
      <c r="E125" s="20" t="s">
        <v>6299</v>
      </c>
      <c r="F125" s="20" t="s">
        <v>2391</v>
      </c>
      <c r="G125" s="20" t="s">
        <v>6300</v>
      </c>
      <c r="H125" s="20" t="s">
        <v>6301</v>
      </c>
      <c r="I125" s="20" t="s">
        <v>5495</v>
      </c>
      <c r="J125" s="21" t="s">
        <v>5519</v>
      </c>
      <c r="K125" s="21" t="s">
        <v>6302</v>
      </c>
      <c r="L125" s="21" t="s">
        <v>6068</v>
      </c>
      <c r="M125" s="21"/>
    </row>
    <row r="126" ht="15.75" customHeight="1">
      <c r="A126" s="22" t="s">
        <v>6303</v>
      </c>
      <c r="B126" s="22" t="s">
        <v>6304</v>
      </c>
      <c r="C126" s="22" t="s">
        <v>6305</v>
      </c>
      <c r="D126" s="22" t="s">
        <v>6306</v>
      </c>
      <c r="E126" s="22" t="s">
        <v>6307</v>
      </c>
      <c r="F126" s="22" t="s">
        <v>4846</v>
      </c>
      <c r="G126" s="22" t="s">
        <v>6308</v>
      </c>
      <c r="H126" s="22"/>
      <c r="I126" s="22" t="s">
        <v>5495</v>
      </c>
      <c r="J126" s="22" t="s">
        <v>5650</v>
      </c>
      <c r="K126" s="22" t="s">
        <v>6309</v>
      </c>
      <c r="L126" s="22" t="s">
        <v>6310</v>
      </c>
      <c r="M126" s="22"/>
    </row>
    <row r="127" ht="15.75" customHeight="1">
      <c r="A127" s="20" t="s">
        <v>6311</v>
      </c>
      <c r="B127" s="20" t="s">
        <v>6312</v>
      </c>
      <c r="C127" s="20" t="s">
        <v>6313</v>
      </c>
      <c r="D127" s="20" t="s">
        <v>6314</v>
      </c>
      <c r="E127" s="20" t="s">
        <v>6315</v>
      </c>
      <c r="F127" s="20" t="s">
        <v>926</v>
      </c>
      <c r="G127" s="20" t="s">
        <v>6316</v>
      </c>
      <c r="H127" s="20" t="s">
        <v>6317</v>
      </c>
      <c r="I127" s="20" t="s">
        <v>5495</v>
      </c>
      <c r="J127" s="21" t="s">
        <v>5496</v>
      </c>
      <c r="K127" s="21" t="s">
        <v>6318</v>
      </c>
      <c r="L127" s="21" t="s">
        <v>6319</v>
      </c>
      <c r="M127" s="21"/>
    </row>
    <row r="128" ht="15.75" customHeight="1">
      <c r="A128" s="22" t="s">
        <v>6320</v>
      </c>
      <c r="B128" s="22" t="s">
        <v>6321</v>
      </c>
      <c r="C128" s="22" t="s">
        <v>6322</v>
      </c>
      <c r="D128" s="22" t="s">
        <v>6323</v>
      </c>
      <c r="E128" s="22" t="s">
        <v>6315</v>
      </c>
      <c r="F128" s="22" t="s">
        <v>926</v>
      </c>
      <c r="G128" s="22" t="s">
        <v>6324</v>
      </c>
      <c r="H128" s="22"/>
      <c r="I128" s="22" t="s">
        <v>5495</v>
      </c>
      <c r="J128" s="22" t="s">
        <v>6082</v>
      </c>
      <c r="K128" s="22"/>
      <c r="L128" s="22" t="s">
        <v>5534</v>
      </c>
      <c r="M128" s="22"/>
    </row>
    <row r="129" ht="15.75" customHeight="1">
      <c r="A129" s="20" t="s">
        <v>6325</v>
      </c>
      <c r="B129" s="20" t="s">
        <v>6326</v>
      </c>
      <c r="C129" s="20" t="s">
        <v>6327</v>
      </c>
      <c r="D129" s="20" t="s">
        <v>6328</v>
      </c>
      <c r="E129" s="20" t="s">
        <v>6315</v>
      </c>
      <c r="F129" s="20" t="s">
        <v>926</v>
      </c>
      <c r="G129" s="20" t="s">
        <v>6329</v>
      </c>
      <c r="H129" s="20"/>
      <c r="I129" s="20" t="s">
        <v>5495</v>
      </c>
      <c r="J129" s="21"/>
      <c r="K129" s="21" t="s">
        <v>6318</v>
      </c>
      <c r="L129" s="21" t="s">
        <v>6042</v>
      </c>
      <c r="M129" s="21"/>
    </row>
    <row r="130" ht="15.75" customHeight="1">
      <c r="A130" s="22" t="s">
        <v>4247</v>
      </c>
      <c r="B130" s="22" t="s">
        <v>6330</v>
      </c>
      <c r="C130" s="22" t="s">
        <v>6331</v>
      </c>
      <c r="D130" s="22" t="s">
        <v>6332</v>
      </c>
      <c r="E130" s="22" t="s">
        <v>6333</v>
      </c>
      <c r="F130" s="22" t="s">
        <v>100</v>
      </c>
      <c r="G130" s="22" t="s">
        <v>6334</v>
      </c>
      <c r="H130" s="22"/>
      <c r="I130" s="22" t="s">
        <v>5495</v>
      </c>
      <c r="J130" s="22"/>
      <c r="K130" s="22" t="s">
        <v>6335</v>
      </c>
      <c r="L130" s="22" t="s">
        <v>6336</v>
      </c>
      <c r="M130" s="22"/>
    </row>
    <row r="131" ht="15.75" customHeight="1">
      <c r="A131" s="20" t="s">
        <v>6337</v>
      </c>
      <c r="B131" s="20" t="s">
        <v>6338</v>
      </c>
      <c r="C131" s="20" t="s">
        <v>6339</v>
      </c>
      <c r="D131" s="20" t="s">
        <v>6340</v>
      </c>
      <c r="E131" s="20" t="s">
        <v>723</v>
      </c>
      <c r="F131" s="20" t="s">
        <v>406</v>
      </c>
      <c r="G131" s="20" t="s">
        <v>6341</v>
      </c>
      <c r="H131" s="20"/>
      <c r="I131" s="20" t="s">
        <v>5495</v>
      </c>
      <c r="J131" s="21"/>
      <c r="K131" s="21" t="s">
        <v>6342</v>
      </c>
      <c r="L131" s="21" t="s">
        <v>1649</v>
      </c>
      <c r="M131" s="21"/>
    </row>
    <row r="132" ht="15.75" customHeight="1">
      <c r="A132" s="22" t="s">
        <v>6343</v>
      </c>
      <c r="B132" s="22" t="s">
        <v>6344</v>
      </c>
      <c r="C132" s="22" t="s">
        <v>6345</v>
      </c>
      <c r="D132" s="22" t="s">
        <v>6346</v>
      </c>
      <c r="E132" s="22" t="s">
        <v>4846</v>
      </c>
      <c r="F132" s="22" t="s">
        <v>4846</v>
      </c>
      <c r="G132" s="22" t="s">
        <v>6347</v>
      </c>
      <c r="H132" s="22"/>
      <c r="I132" s="22" t="s">
        <v>5495</v>
      </c>
      <c r="J132" s="22" t="s">
        <v>5650</v>
      </c>
      <c r="K132" s="22" t="s">
        <v>6348</v>
      </c>
      <c r="L132" s="22" t="s">
        <v>5098</v>
      </c>
      <c r="M132" s="22"/>
    </row>
    <row r="133" ht="15.75" customHeight="1">
      <c r="A133" s="20" t="s">
        <v>6349</v>
      </c>
      <c r="B133" s="20" t="s">
        <v>6350</v>
      </c>
      <c r="C133" s="20"/>
      <c r="D133" s="20" t="s">
        <v>6351</v>
      </c>
      <c r="E133" s="20" t="s">
        <v>4846</v>
      </c>
      <c r="F133" s="20" t="s">
        <v>4846</v>
      </c>
      <c r="G133" s="20" t="s">
        <v>6352</v>
      </c>
      <c r="H133" s="20"/>
      <c r="I133" s="20" t="s">
        <v>5495</v>
      </c>
      <c r="J133" s="21" t="s">
        <v>5650</v>
      </c>
      <c r="K133" s="21" t="s">
        <v>6353</v>
      </c>
      <c r="L133" s="21"/>
      <c r="M133" s="21"/>
    </row>
    <row r="134" ht="15.75" customHeight="1">
      <c r="A134" s="22" t="s">
        <v>6354</v>
      </c>
      <c r="B134" s="22"/>
      <c r="C134" s="22" t="s">
        <v>6305</v>
      </c>
      <c r="D134" s="22"/>
      <c r="E134" s="22" t="s">
        <v>4846</v>
      </c>
      <c r="F134" s="22" t="s">
        <v>4846</v>
      </c>
      <c r="G134" s="22" t="s">
        <v>6355</v>
      </c>
      <c r="H134" s="22" t="s">
        <v>6356</v>
      </c>
      <c r="I134" s="22" t="s">
        <v>5495</v>
      </c>
      <c r="J134" s="22" t="s">
        <v>5650</v>
      </c>
      <c r="K134" s="22" t="s">
        <v>6357</v>
      </c>
      <c r="L134" s="22" t="s">
        <v>6358</v>
      </c>
      <c r="M134" s="22"/>
    </row>
    <row r="135" ht="15.75" customHeight="1">
      <c r="A135" s="20" t="s">
        <v>6359</v>
      </c>
      <c r="B135" s="20" t="s">
        <v>6360</v>
      </c>
      <c r="C135" s="20"/>
      <c r="D135" s="20"/>
      <c r="E135" s="20" t="s">
        <v>4846</v>
      </c>
      <c r="F135" s="20" t="s">
        <v>4846</v>
      </c>
      <c r="G135" s="20"/>
      <c r="H135" s="20" t="s">
        <v>6361</v>
      </c>
      <c r="I135" s="20" t="s">
        <v>5495</v>
      </c>
      <c r="J135" s="21"/>
      <c r="K135" s="21"/>
      <c r="L135" s="21" t="s">
        <v>6362</v>
      </c>
      <c r="M135" s="21"/>
    </row>
    <row r="136" ht="15.75" customHeight="1">
      <c r="A136" s="22" t="s">
        <v>6363</v>
      </c>
      <c r="B136" s="22" t="s">
        <v>6364</v>
      </c>
      <c r="C136" s="22" t="s">
        <v>6365</v>
      </c>
      <c r="D136" s="22" t="s">
        <v>6366</v>
      </c>
      <c r="E136" s="22" t="s">
        <v>1014</v>
      </c>
      <c r="F136" s="22" t="s">
        <v>1014</v>
      </c>
      <c r="G136" s="22" t="s">
        <v>6367</v>
      </c>
      <c r="H136" s="22" t="s">
        <v>6368</v>
      </c>
      <c r="I136" s="22" t="s">
        <v>5495</v>
      </c>
      <c r="J136" s="22" t="s">
        <v>5519</v>
      </c>
      <c r="K136" s="22" t="s">
        <v>6369</v>
      </c>
      <c r="L136" s="22" t="s">
        <v>1986</v>
      </c>
      <c r="M136" s="22"/>
    </row>
    <row r="137" ht="15.75" customHeight="1">
      <c r="A137" s="20" t="s">
        <v>6370</v>
      </c>
      <c r="B137" s="20" t="s">
        <v>6371</v>
      </c>
      <c r="C137" s="20" t="s">
        <v>6372</v>
      </c>
      <c r="D137" s="20" t="s">
        <v>6373</v>
      </c>
      <c r="E137" s="20" t="s">
        <v>1014</v>
      </c>
      <c r="F137" s="20" t="s">
        <v>1014</v>
      </c>
      <c r="G137" s="20" t="s">
        <v>6374</v>
      </c>
      <c r="H137" s="20" t="s">
        <v>6375</v>
      </c>
      <c r="I137" s="20" t="s">
        <v>5495</v>
      </c>
      <c r="J137" s="21" t="s">
        <v>5519</v>
      </c>
      <c r="K137" s="21" t="s">
        <v>6376</v>
      </c>
      <c r="L137" s="21" t="s">
        <v>278</v>
      </c>
      <c r="M137" s="21"/>
    </row>
    <row r="138" ht="15.75" customHeight="1">
      <c r="A138" s="22" t="s">
        <v>6377</v>
      </c>
      <c r="B138" s="22" t="s">
        <v>6378</v>
      </c>
      <c r="C138" s="22" t="s">
        <v>6379</v>
      </c>
      <c r="D138" s="22" t="s">
        <v>6380</v>
      </c>
      <c r="E138" s="22" t="s">
        <v>1014</v>
      </c>
      <c r="F138" s="22" t="s">
        <v>1014</v>
      </c>
      <c r="G138" s="22" t="s">
        <v>6381</v>
      </c>
      <c r="H138" s="22" t="s">
        <v>6382</v>
      </c>
      <c r="I138" s="22" t="s">
        <v>5495</v>
      </c>
      <c r="J138" s="22" t="s">
        <v>5542</v>
      </c>
      <c r="K138" s="22"/>
      <c r="L138" s="22" t="s">
        <v>6383</v>
      </c>
      <c r="M138" s="22"/>
    </row>
    <row r="139" ht="15.75" customHeight="1">
      <c r="A139" s="20" t="s">
        <v>6384</v>
      </c>
      <c r="B139" s="20" t="s">
        <v>6385</v>
      </c>
      <c r="C139" s="20" t="s">
        <v>504</v>
      </c>
      <c r="D139" s="20" t="s">
        <v>6386</v>
      </c>
      <c r="E139" s="20" t="s">
        <v>1014</v>
      </c>
      <c r="F139" s="20" t="s">
        <v>1014</v>
      </c>
      <c r="G139" s="20" t="s">
        <v>6387</v>
      </c>
      <c r="H139" s="20" t="s">
        <v>1002</v>
      </c>
      <c r="I139" s="20" t="s">
        <v>5495</v>
      </c>
      <c r="J139" s="21"/>
      <c r="K139" s="21" t="s">
        <v>6388</v>
      </c>
      <c r="L139" s="21" t="s">
        <v>6389</v>
      </c>
      <c r="M139" s="21"/>
    </row>
    <row r="140" ht="15.75" customHeight="1">
      <c r="A140" s="22" t="s">
        <v>6390</v>
      </c>
      <c r="B140" s="22" t="s">
        <v>6391</v>
      </c>
      <c r="C140" s="22" t="s">
        <v>6392</v>
      </c>
      <c r="D140" s="22" t="s">
        <v>6393</v>
      </c>
      <c r="E140" s="22" t="s">
        <v>1014</v>
      </c>
      <c r="F140" s="22" t="s">
        <v>1014</v>
      </c>
      <c r="G140" s="22" t="s">
        <v>6394</v>
      </c>
      <c r="H140" s="22"/>
      <c r="I140" s="22" t="s">
        <v>5495</v>
      </c>
      <c r="J140" s="22"/>
      <c r="K140" s="22" t="s">
        <v>6376</v>
      </c>
      <c r="L140" s="22" t="s">
        <v>1649</v>
      </c>
      <c r="M140" s="22"/>
    </row>
    <row r="141" ht="15.75" customHeight="1">
      <c r="A141" s="20" t="s">
        <v>6395</v>
      </c>
      <c r="B141" s="20" t="s">
        <v>6396</v>
      </c>
      <c r="C141" s="20" t="s">
        <v>6397</v>
      </c>
      <c r="D141" s="20" t="s">
        <v>6398</v>
      </c>
      <c r="E141" s="20" t="s">
        <v>601</v>
      </c>
      <c r="F141" s="20" t="s">
        <v>601</v>
      </c>
      <c r="G141" s="20" t="s">
        <v>6399</v>
      </c>
      <c r="H141" s="20"/>
      <c r="I141" s="20" t="s">
        <v>5495</v>
      </c>
      <c r="J141" s="21" t="s">
        <v>5519</v>
      </c>
      <c r="K141" s="21" t="s">
        <v>6400</v>
      </c>
      <c r="L141" s="21" t="s">
        <v>531</v>
      </c>
      <c r="M141" s="21"/>
    </row>
    <row r="142" ht="15.75" customHeight="1">
      <c r="A142" s="22" t="s">
        <v>6401</v>
      </c>
      <c r="B142" s="22" t="s">
        <v>6402</v>
      </c>
      <c r="C142" s="22" t="s">
        <v>6403</v>
      </c>
      <c r="D142" s="22" t="s">
        <v>6404</v>
      </c>
      <c r="E142" s="22" t="s">
        <v>6405</v>
      </c>
      <c r="F142" s="22" t="s">
        <v>231</v>
      </c>
      <c r="G142" s="22" t="s">
        <v>6406</v>
      </c>
      <c r="H142" s="22" t="s">
        <v>6407</v>
      </c>
      <c r="I142" s="22" t="s">
        <v>5495</v>
      </c>
      <c r="J142" s="22" t="s">
        <v>5650</v>
      </c>
      <c r="K142" s="22" t="s">
        <v>6408</v>
      </c>
      <c r="L142" s="22" t="s">
        <v>902</v>
      </c>
      <c r="M142" s="22"/>
    </row>
    <row r="143" ht="15.75" customHeight="1">
      <c r="A143" s="20" t="s">
        <v>6409</v>
      </c>
      <c r="B143" s="20" t="s">
        <v>6410</v>
      </c>
      <c r="C143" s="20" t="s">
        <v>6411</v>
      </c>
      <c r="D143" s="20" t="s">
        <v>6412</v>
      </c>
      <c r="E143" s="20" t="s">
        <v>2660</v>
      </c>
      <c r="F143" s="20" t="s">
        <v>2660</v>
      </c>
      <c r="G143" s="20" t="s">
        <v>6413</v>
      </c>
      <c r="H143" s="20" t="s">
        <v>6414</v>
      </c>
      <c r="I143" s="20" t="s">
        <v>5495</v>
      </c>
      <c r="J143" s="21" t="s">
        <v>6415</v>
      </c>
      <c r="K143" s="21" t="s">
        <v>6416</v>
      </c>
      <c r="L143" s="21" t="s">
        <v>6417</v>
      </c>
      <c r="M143" s="21"/>
    </row>
    <row r="144" ht="15.75" customHeight="1">
      <c r="A144" s="22" t="s">
        <v>6418</v>
      </c>
      <c r="B144" s="22" t="s">
        <v>6419</v>
      </c>
      <c r="C144" s="22" t="s">
        <v>6420</v>
      </c>
      <c r="D144" s="22" t="s">
        <v>6421</v>
      </c>
      <c r="E144" s="22" t="s">
        <v>2660</v>
      </c>
      <c r="F144" s="22" t="s">
        <v>2660</v>
      </c>
      <c r="G144" s="22" t="s">
        <v>6422</v>
      </c>
      <c r="H144" s="22" t="s">
        <v>6423</v>
      </c>
      <c r="I144" s="22" t="s">
        <v>5495</v>
      </c>
      <c r="J144" s="22" t="s">
        <v>6415</v>
      </c>
      <c r="K144" s="22" t="s">
        <v>6424</v>
      </c>
      <c r="L144" s="22" t="s">
        <v>278</v>
      </c>
      <c r="M144" s="22"/>
    </row>
    <row r="145" ht="15.75" customHeight="1">
      <c r="A145" s="20" t="s">
        <v>6425</v>
      </c>
      <c r="B145" s="20" t="s">
        <v>6426</v>
      </c>
      <c r="C145" s="20" t="s">
        <v>6427</v>
      </c>
      <c r="D145" s="20" t="s">
        <v>6428</v>
      </c>
      <c r="E145" s="20" t="s">
        <v>6429</v>
      </c>
      <c r="F145" s="20" t="s">
        <v>5625</v>
      </c>
      <c r="G145" s="20" t="s">
        <v>6430</v>
      </c>
      <c r="H145" s="20"/>
      <c r="I145" s="20" t="s">
        <v>5495</v>
      </c>
      <c r="J145" s="21" t="s">
        <v>5628</v>
      </c>
      <c r="K145" s="21" t="s">
        <v>6431</v>
      </c>
      <c r="L145" s="21"/>
      <c r="M145" s="21"/>
    </row>
    <row r="146" ht="15.75" customHeight="1">
      <c r="A146" s="22" t="s">
        <v>6432</v>
      </c>
      <c r="B146" s="22" t="s">
        <v>6433</v>
      </c>
      <c r="C146" s="22" t="s">
        <v>6434</v>
      </c>
      <c r="D146" s="22" t="s">
        <v>6435</v>
      </c>
      <c r="E146" s="22" t="s">
        <v>1171</v>
      </c>
      <c r="F146" s="22" t="s">
        <v>1171</v>
      </c>
      <c r="G146" s="22" t="s">
        <v>6436</v>
      </c>
      <c r="H146" s="22"/>
      <c r="I146" s="22" t="s">
        <v>5495</v>
      </c>
      <c r="J146" s="22"/>
      <c r="K146" s="22" t="s">
        <v>6437</v>
      </c>
      <c r="L146" s="22" t="s">
        <v>6438</v>
      </c>
      <c r="M146" s="22"/>
    </row>
    <row r="147" ht="15.75" customHeight="1">
      <c r="A147" s="20" t="s">
        <v>6439</v>
      </c>
      <c r="B147" s="20" t="s">
        <v>6440</v>
      </c>
      <c r="C147" s="20"/>
      <c r="D147" s="20" t="s">
        <v>6441</v>
      </c>
      <c r="E147" s="20" t="s">
        <v>1171</v>
      </c>
      <c r="F147" s="20" t="s">
        <v>1171</v>
      </c>
      <c r="G147" s="20" t="s">
        <v>6442</v>
      </c>
      <c r="H147" s="20"/>
      <c r="I147" s="20" t="s">
        <v>5495</v>
      </c>
      <c r="J147" s="21"/>
      <c r="K147" s="21" t="s">
        <v>6443</v>
      </c>
      <c r="L147" s="21" t="s">
        <v>5498</v>
      </c>
      <c r="M147" s="21"/>
    </row>
    <row r="148" ht="15.75" customHeight="1">
      <c r="A148" s="22" t="s">
        <v>6444</v>
      </c>
      <c r="B148" s="22" t="s">
        <v>6445</v>
      </c>
      <c r="C148" s="22" t="s">
        <v>6446</v>
      </c>
      <c r="D148" s="22" t="s">
        <v>6447</v>
      </c>
      <c r="E148" s="22" t="s">
        <v>6448</v>
      </c>
      <c r="F148" s="22" t="s">
        <v>231</v>
      </c>
      <c r="G148" s="22" t="s">
        <v>6449</v>
      </c>
      <c r="H148" s="22" t="s">
        <v>6450</v>
      </c>
      <c r="I148" s="22" t="s">
        <v>5495</v>
      </c>
      <c r="J148" s="22" t="s">
        <v>5650</v>
      </c>
      <c r="K148" s="22" t="s">
        <v>6408</v>
      </c>
      <c r="L148" s="22" t="s">
        <v>531</v>
      </c>
      <c r="M148" s="22"/>
    </row>
    <row r="149" ht="15.75" customHeight="1">
      <c r="A149" s="20" t="s">
        <v>6451</v>
      </c>
      <c r="B149" s="20" t="s">
        <v>6452</v>
      </c>
      <c r="C149" s="20" t="s">
        <v>6453</v>
      </c>
      <c r="D149" s="20" t="s">
        <v>6454</v>
      </c>
      <c r="E149" s="20" t="s">
        <v>6455</v>
      </c>
      <c r="F149" s="20" t="s">
        <v>926</v>
      </c>
      <c r="G149" s="20" t="s">
        <v>6456</v>
      </c>
      <c r="H149" s="20" t="s">
        <v>6457</v>
      </c>
      <c r="I149" s="20" t="s">
        <v>5495</v>
      </c>
      <c r="J149" s="21" t="s">
        <v>5496</v>
      </c>
      <c r="K149" s="21" t="s">
        <v>6458</v>
      </c>
      <c r="L149" s="21" t="s">
        <v>5665</v>
      </c>
      <c r="M149" s="21"/>
    </row>
    <row r="150" ht="15.75" customHeight="1">
      <c r="A150" s="22" t="s">
        <v>6459</v>
      </c>
      <c r="B150" s="22" t="s">
        <v>6460</v>
      </c>
      <c r="C150" s="22" t="s">
        <v>6461</v>
      </c>
      <c r="D150" s="22" t="s">
        <v>6462</v>
      </c>
      <c r="E150" s="22" t="s">
        <v>6455</v>
      </c>
      <c r="F150" s="22" t="s">
        <v>926</v>
      </c>
      <c r="G150" s="22" t="s">
        <v>6463</v>
      </c>
      <c r="H150" s="22" t="s">
        <v>6464</v>
      </c>
      <c r="I150" s="22" t="s">
        <v>5495</v>
      </c>
      <c r="J150" s="22" t="s">
        <v>5496</v>
      </c>
      <c r="K150" s="22" t="s">
        <v>6458</v>
      </c>
      <c r="L150" s="22" t="s">
        <v>6465</v>
      </c>
      <c r="M150" s="22"/>
    </row>
    <row r="151" ht="15.75" customHeight="1">
      <c r="A151" s="20" t="s">
        <v>6466</v>
      </c>
      <c r="B151" s="20" t="s">
        <v>6467</v>
      </c>
      <c r="C151" s="20" t="s">
        <v>6468</v>
      </c>
      <c r="D151" s="20"/>
      <c r="E151" s="20" t="s">
        <v>6455</v>
      </c>
      <c r="F151" s="20" t="s">
        <v>926</v>
      </c>
      <c r="G151" s="20" t="s">
        <v>6469</v>
      </c>
      <c r="H151" s="20" t="s">
        <v>6470</v>
      </c>
      <c r="I151" s="20" t="s">
        <v>5495</v>
      </c>
      <c r="J151" s="21" t="s">
        <v>5496</v>
      </c>
      <c r="K151" s="21" t="s">
        <v>6471</v>
      </c>
      <c r="L151" s="21" t="s">
        <v>5906</v>
      </c>
      <c r="M151" s="21"/>
    </row>
    <row r="152" ht="15.75" customHeight="1">
      <c r="A152" s="22" t="s">
        <v>6472</v>
      </c>
      <c r="B152" s="22" t="s">
        <v>6473</v>
      </c>
      <c r="C152" s="22"/>
      <c r="D152" s="22"/>
      <c r="E152" s="22" t="s">
        <v>6474</v>
      </c>
      <c r="F152" s="22" t="s">
        <v>3008</v>
      </c>
      <c r="G152" s="22" t="s">
        <v>6475</v>
      </c>
      <c r="H152" s="22" t="s">
        <v>6476</v>
      </c>
      <c r="I152" s="22" t="s">
        <v>5495</v>
      </c>
      <c r="J152" s="22" t="s">
        <v>5519</v>
      </c>
      <c r="K152" s="22" t="s">
        <v>6477</v>
      </c>
      <c r="L152" s="22" t="s">
        <v>941</v>
      </c>
      <c r="M152" s="22"/>
    </row>
    <row r="153" ht="15.75" customHeight="1">
      <c r="A153" s="20" t="s">
        <v>6478</v>
      </c>
      <c r="B153" s="20" t="s">
        <v>6479</v>
      </c>
      <c r="C153" s="20" t="s">
        <v>6480</v>
      </c>
      <c r="D153" s="20" t="s">
        <v>6481</v>
      </c>
      <c r="E153" s="20" t="s">
        <v>6482</v>
      </c>
      <c r="F153" s="20" t="s">
        <v>1014</v>
      </c>
      <c r="G153" s="20" t="s">
        <v>6483</v>
      </c>
      <c r="H153" s="20" t="s">
        <v>6484</v>
      </c>
      <c r="I153" s="20" t="s">
        <v>5495</v>
      </c>
      <c r="J153" s="21" t="s">
        <v>5519</v>
      </c>
      <c r="K153" s="21" t="s">
        <v>6485</v>
      </c>
      <c r="L153" s="21" t="s">
        <v>6486</v>
      </c>
      <c r="M153" s="21"/>
    </row>
    <row r="154" ht="15.75" customHeight="1">
      <c r="A154" s="22" t="s">
        <v>6487</v>
      </c>
      <c r="B154" s="22" t="s">
        <v>6488</v>
      </c>
      <c r="C154" s="22" t="s">
        <v>6489</v>
      </c>
      <c r="D154" s="22"/>
      <c r="E154" s="22" t="s">
        <v>6490</v>
      </c>
      <c r="F154" s="22" t="s">
        <v>926</v>
      </c>
      <c r="G154" s="22" t="s">
        <v>6491</v>
      </c>
      <c r="H154" s="22" t="s">
        <v>6492</v>
      </c>
      <c r="I154" s="22" t="s">
        <v>5495</v>
      </c>
      <c r="J154" s="22" t="s">
        <v>5496</v>
      </c>
      <c r="K154" s="22" t="s">
        <v>6493</v>
      </c>
      <c r="L154" s="22" t="s">
        <v>2110</v>
      </c>
      <c r="M154" s="22"/>
    </row>
    <row r="155" ht="15.75" customHeight="1">
      <c r="A155" s="20" t="s">
        <v>6494</v>
      </c>
      <c r="B155" s="20" t="s">
        <v>6495</v>
      </c>
      <c r="C155" s="20"/>
      <c r="D155" s="20" t="s">
        <v>6496</v>
      </c>
      <c r="E155" s="20" t="s">
        <v>4123</v>
      </c>
      <c r="F155" s="20" t="s">
        <v>4123</v>
      </c>
      <c r="G155" s="20" t="s">
        <v>6497</v>
      </c>
      <c r="H155" s="20" t="s">
        <v>6498</v>
      </c>
      <c r="I155" s="20" t="s">
        <v>5495</v>
      </c>
      <c r="J155" s="21" t="s">
        <v>5605</v>
      </c>
      <c r="K155" s="21" t="s">
        <v>6499</v>
      </c>
      <c r="L155" s="21" t="s">
        <v>5665</v>
      </c>
      <c r="M155" s="21"/>
    </row>
    <row r="156" ht="15.75" customHeight="1">
      <c r="A156" s="22" t="s">
        <v>6500</v>
      </c>
      <c r="B156" s="22" t="s">
        <v>6501</v>
      </c>
      <c r="C156" s="22" t="s">
        <v>6502</v>
      </c>
      <c r="D156" s="22" t="s">
        <v>6503</v>
      </c>
      <c r="E156" s="22" t="s">
        <v>4123</v>
      </c>
      <c r="F156" s="22" t="s">
        <v>4123</v>
      </c>
      <c r="G156" s="22" t="s">
        <v>6504</v>
      </c>
      <c r="H156" s="22" t="s">
        <v>6505</v>
      </c>
      <c r="I156" s="22" t="s">
        <v>5495</v>
      </c>
      <c r="J156" s="22" t="s">
        <v>5605</v>
      </c>
      <c r="K156" s="22" t="s">
        <v>6499</v>
      </c>
      <c r="L156" s="22" t="s">
        <v>3486</v>
      </c>
      <c r="M156" s="22"/>
    </row>
    <row r="157" ht="15.75" customHeight="1">
      <c r="A157" s="20" t="s">
        <v>6506</v>
      </c>
      <c r="B157" s="20" t="s">
        <v>6507</v>
      </c>
      <c r="C157" s="20" t="s">
        <v>6508</v>
      </c>
      <c r="D157" s="20" t="s">
        <v>6509</v>
      </c>
      <c r="E157" s="20" t="s">
        <v>6510</v>
      </c>
      <c r="F157" s="20" t="s">
        <v>3736</v>
      </c>
      <c r="G157" s="20" t="s">
        <v>6511</v>
      </c>
      <c r="H157" s="20"/>
      <c r="I157" s="20" t="s">
        <v>5495</v>
      </c>
      <c r="J157" s="21" t="s">
        <v>5650</v>
      </c>
      <c r="K157" s="21" t="s">
        <v>6512</v>
      </c>
      <c r="L157" s="21" t="s">
        <v>5575</v>
      </c>
      <c r="M157" s="21"/>
    </row>
    <row r="158" ht="15.75" customHeight="1">
      <c r="A158" s="22" t="s">
        <v>6513</v>
      </c>
      <c r="B158" s="22" t="s">
        <v>6514</v>
      </c>
      <c r="C158" s="22" t="s">
        <v>6515</v>
      </c>
      <c r="D158" s="22" t="s">
        <v>6516</v>
      </c>
      <c r="E158" s="22" t="s">
        <v>6517</v>
      </c>
      <c r="F158" s="22" t="s">
        <v>231</v>
      </c>
      <c r="G158" s="22" t="s">
        <v>6518</v>
      </c>
      <c r="H158" s="22" t="s">
        <v>6519</v>
      </c>
      <c r="I158" s="22" t="s">
        <v>5495</v>
      </c>
      <c r="J158" s="22" t="s">
        <v>5650</v>
      </c>
      <c r="K158" s="22" t="s">
        <v>6520</v>
      </c>
      <c r="L158" s="22" t="s">
        <v>5912</v>
      </c>
      <c r="M158" s="22"/>
    </row>
    <row r="159" ht="15.75" customHeight="1">
      <c r="A159" s="20" t="s">
        <v>6521</v>
      </c>
      <c r="B159" s="20" t="s">
        <v>6522</v>
      </c>
      <c r="C159" s="20" t="s">
        <v>6523</v>
      </c>
      <c r="D159" s="20" t="s">
        <v>6524</v>
      </c>
      <c r="E159" s="20" t="s">
        <v>6517</v>
      </c>
      <c r="F159" s="20" t="s">
        <v>231</v>
      </c>
      <c r="G159" s="20" t="s">
        <v>6525</v>
      </c>
      <c r="H159" s="20" t="s">
        <v>6526</v>
      </c>
      <c r="I159" s="20" t="s">
        <v>5495</v>
      </c>
      <c r="J159" s="21" t="s">
        <v>5650</v>
      </c>
      <c r="K159" s="21" t="s">
        <v>6527</v>
      </c>
      <c r="L159" s="21" t="s">
        <v>2110</v>
      </c>
      <c r="M159" s="21"/>
    </row>
    <row r="160" ht="15.75" customHeight="1">
      <c r="A160" s="22" t="s">
        <v>6528</v>
      </c>
      <c r="B160" s="22" t="s">
        <v>6529</v>
      </c>
      <c r="C160" s="22"/>
      <c r="D160" s="22" t="s">
        <v>6530</v>
      </c>
      <c r="E160" s="22" t="s">
        <v>6517</v>
      </c>
      <c r="F160" s="22" t="s">
        <v>231</v>
      </c>
      <c r="G160" s="22" t="s">
        <v>6531</v>
      </c>
      <c r="H160" s="22"/>
      <c r="I160" s="22" t="s">
        <v>5495</v>
      </c>
      <c r="J160" s="22" t="s">
        <v>5650</v>
      </c>
      <c r="K160" s="22" t="s">
        <v>6532</v>
      </c>
      <c r="L160" s="22"/>
      <c r="M160" s="22"/>
    </row>
    <row r="161" ht="15.75" customHeight="1">
      <c r="A161" s="20" t="s">
        <v>6533</v>
      </c>
      <c r="B161" s="20" t="s">
        <v>6534</v>
      </c>
      <c r="C161" s="20"/>
      <c r="D161" s="20" t="s">
        <v>6535</v>
      </c>
      <c r="E161" s="20" t="s">
        <v>3736</v>
      </c>
      <c r="F161" s="20" t="s">
        <v>3736</v>
      </c>
      <c r="G161" s="20" t="s">
        <v>6536</v>
      </c>
      <c r="H161" s="20" t="s">
        <v>6537</v>
      </c>
      <c r="I161" s="20" t="s">
        <v>5495</v>
      </c>
      <c r="J161" s="21" t="s">
        <v>5650</v>
      </c>
      <c r="K161" s="21" t="s">
        <v>6538</v>
      </c>
      <c r="L161" s="21" t="s">
        <v>278</v>
      </c>
      <c r="M161" s="21"/>
    </row>
    <row r="162" ht="15.75" customHeight="1">
      <c r="A162" s="22" t="s">
        <v>6539</v>
      </c>
      <c r="B162" s="22" t="s">
        <v>6540</v>
      </c>
      <c r="C162" s="22" t="s">
        <v>6541</v>
      </c>
      <c r="D162" s="22" t="s">
        <v>6542</v>
      </c>
      <c r="E162" s="22" t="s">
        <v>3736</v>
      </c>
      <c r="F162" s="22" t="s">
        <v>3736</v>
      </c>
      <c r="G162" s="22" t="s">
        <v>6543</v>
      </c>
      <c r="H162" s="22" t="s">
        <v>6544</v>
      </c>
      <c r="I162" s="22" t="s">
        <v>5495</v>
      </c>
      <c r="J162" s="22" t="s">
        <v>5650</v>
      </c>
      <c r="K162" s="22" t="s">
        <v>6545</v>
      </c>
      <c r="L162" s="22" t="s">
        <v>3486</v>
      </c>
      <c r="M162" s="22"/>
    </row>
    <row r="163" ht="15.75" customHeight="1">
      <c r="A163" s="20" t="s">
        <v>6546</v>
      </c>
      <c r="B163" s="20" t="s">
        <v>6547</v>
      </c>
      <c r="C163" s="20" t="s">
        <v>6548</v>
      </c>
      <c r="D163" s="20" t="s">
        <v>6549</v>
      </c>
      <c r="E163" s="20" t="s">
        <v>3736</v>
      </c>
      <c r="F163" s="20" t="s">
        <v>3736</v>
      </c>
      <c r="G163" s="20" t="s">
        <v>6550</v>
      </c>
      <c r="H163" s="20" t="s">
        <v>6551</v>
      </c>
      <c r="I163" s="20" t="s">
        <v>5495</v>
      </c>
      <c r="J163" s="21" t="s">
        <v>5650</v>
      </c>
      <c r="K163" s="21" t="s">
        <v>6552</v>
      </c>
      <c r="L163" s="21" t="s">
        <v>6553</v>
      </c>
      <c r="M163" s="21"/>
    </row>
    <row r="164" ht="15.75" customHeight="1">
      <c r="A164" s="22" t="s">
        <v>6554</v>
      </c>
      <c r="B164" s="22" t="s">
        <v>6555</v>
      </c>
      <c r="C164" s="22" t="s">
        <v>6556</v>
      </c>
      <c r="D164" s="22" t="s">
        <v>6557</v>
      </c>
      <c r="E164" s="22" t="s">
        <v>3736</v>
      </c>
      <c r="F164" s="22" t="s">
        <v>3736</v>
      </c>
      <c r="G164" s="22" t="s">
        <v>6558</v>
      </c>
      <c r="H164" s="22" t="s">
        <v>6559</v>
      </c>
      <c r="I164" s="22" t="s">
        <v>5495</v>
      </c>
      <c r="J164" s="22" t="s">
        <v>5650</v>
      </c>
      <c r="K164" s="22" t="s">
        <v>6560</v>
      </c>
      <c r="L164" s="22" t="s">
        <v>6561</v>
      </c>
      <c r="M164" s="22"/>
    </row>
    <row r="165" ht="15.75" customHeight="1">
      <c r="A165" s="20" t="s">
        <v>6562</v>
      </c>
      <c r="B165" s="20" t="s">
        <v>6563</v>
      </c>
      <c r="C165" s="20"/>
      <c r="D165" s="20" t="s">
        <v>6564</v>
      </c>
      <c r="E165" s="20" t="s">
        <v>3736</v>
      </c>
      <c r="F165" s="20" t="s">
        <v>3736</v>
      </c>
      <c r="G165" s="20" t="s">
        <v>6565</v>
      </c>
      <c r="H165" s="20"/>
      <c r="I165" s="20" t="s">
        <v>5495</v>
      </c>
      <c r="J165" s="21" t="s">
        <v>5650</v>
      </c>
      <c r="K165" s="21" t="s">
        <v>6545</v>
      </c>
      <c r="L165" s="21" t="s">
        <v>6566</v>
      </c>
      <c r="M165" s="21"/>
    </row>
    <row r="166" ht="15.75" customHeight="1">
      <c r="A166" s="22" t="s">
        <v>6567</v>
      </c>
      <c r="B166" s="22" t="s">
        <v>6568</v>
      </c>
      <c r="C166" s="22"/>
      <c r="D166" s="22"/>
      <c r="E166" s="22" t="s">
        <v>3757</v>
      </c>
      <c r="F166" s="22" t="s">
        <v>219</v>
      </c>
      <c r="G166" s="22" t="s">
        <v>6569</v>
      </c>
      <c r="H166" s="22" t="s">
        <v>6570</v>
      </c>
      <c r="I166" s="22" t="s">
        <v>5495</v>
      </c>
      <c r="J166" s="22" t="s">
        <v>5519</v>
      </c>
      <c r="K166" s="22" t="s">
        <v>6571</v>
      </c>
      <c r="L166" s="22" t="s">
        <v>5098</v>
      </c>
      <c r="M166" s="22"/>
    </row>
    <row r="167" ht="15.75" customHeight="1">
      <c r="A167" s="20" t="s">
        <v>6572</v>
      </c>
      <c r="B167" s="20" t="s">
        <v>6573</v>
      </c>
      <c r="C167" s="20" t="s">
        <v>6574</v>
      </c>
      <c r="D167" s="20" t="s">
        <v>6575</v>
      </c>
      <c r="E167" s="20" t="s">
        <v>1198</v>
      </c>
      <c r="F167" s="20" t="s">
        <v>1198</v>
      </c>
      <c r="G167" s="20" t="s">
        <v>6576</v>
      </c>
      <c r="H167" s="20" t="s">
        <v>6577</v>
      </c>
      <c r="I167" s="20" t="s">
        <v>5495</v>
      </c>
      <c r="J167" s="21" t="s">
        <v>5496</v>
      </c>
      <c r="K167" s="21" t="s">
        <v>6578</v>
      </c>
      <c r="L167" s="21" t="s">
        <v>3486</v>
      </c>
      <c r="M167" s="21"/>
    </row>
    <row r="168" ht="15.75" customHeight="1">
      <c r="A168" s="22" t="s">
        <v>6579</v>
      </c>
      <c r="B168" s="22" t="s">
        <v>6580</v>
      </c>
      <c r="C168" s="22" t="s">
        <v>6581</v>
      </c>
      <c r="D168" s="22" t="s">
        <v>6582</v>
      </c>
      <c r="E168" s="22" t="s">
        <v>1198</v>
      </c>
      <c r="F168" s="22" t="s">
        <v>1198</v>
      </c>
      <c r="G168" s="22" t="s">
        <v>6583</v>
      </c>
      <c r="H168" s="22" t="s">
        <v>6584</v>
      </c>
      <c r="I168" s="22" t="s">
        <v>5495</v>
      </c>
      <c r="J168" s="22" t="s">
        <v>5496</v>
      </c>
      <c r="K168" s="22" t="s">
        <v>6585</v>
      </c>
      <c r="L168" s="22" t="s">
        <v>902</v>
      </c>
      <c r="M168" s="22"/>
    </row>
    <row r="169" ht="15.75" customHeight="1">
      <c r="A169" s="20" t="s">
        <v>6586</v>
      </c>
      <c r="B169" s="20" t="s">
        <v>6587</v>
      </c>
      <c r="C169" s="20" t="s">
        <v>6588</v>
      </c>
      <c r="D169" s="20" t="s">
        <v>6589</v>
      </c>
      <c r="E169" s="20" t="s">
        <v>55</v>
      </c>
      <c r="F169" s="20" t="s">
        <v>55</v>
      </c>
      <c r="G169" s="20" t="s">
        <v>6590</v>
      </c>
      <c r="H169" s="20" t="s">
        <v>6591</v>
      </c>
      <c r="I169" s="20" t="s">
        <v>5495</v>
      </c>
      <c r="J169" s="21" t="s">
        <v>6592</v>
      </c>
      <c r="K169" s="21" t="s">
        <v>6593</v>
      </c>
      <c r="L169" s="21"/>
      <c r="M169" s="21" t="s">
        <v>6594</v>
      </c>
    </row>
    <row r="170" ht="15.75" customHeight="1">
      <c r="A170" s="22" t="s">
        <v>6595</v>
      </c>
      <c r="B170" s="22" t="s">
        <v>6596</v>
      </c>
      <c r="C170" s="22" t="s">
        <v>6597</v>
      </c>
      <c r="D170" s="22" t="s">
        <v>6598</v>
      </c>
      <c r="E170" s="22" t="s">
        <v>55</v>
      </c>
      <c r="F170" s="22" t="s">
        <v>55</v>
      </c>
      <c r="G170" s="22" t="s">
        <v>6599</v>
      </c>
      <c r="H170" s="22" t="s">
        <v>6600</v>
      </c>
      <c r="I170" s="22" t="s">
        <v>5495</v>
      </c>
      <c r="J170" s="22" t="s">
        <v>6592</v>
      </c>
      <c r="K170" s="22" t="s">
        <v>6601</v>
      </c>
      <c r="L170" s="22" t="s">
        <v>5968</v>
      </c>
      <c r="M170" s="22" t="s">
        <v>6602</v>
      </c>
    </row>
    <row r="171" ht="15.75" customHeight="1">
      <c r="A171" s="20" t="s">
        <v>6603</v>
      </c>
      <c r="B171" s="20" t="s">
        <v>6604</v>
      </c>
      <c r="C171" s="20" t="s">
        <v>6605</v>
      </c>
      <c r="D171" s="20" t="s">
        <v>6606</v>
      </c>
      <c r="E171" s="20" t="s">
        <v>55</v>
      </c>
      <c r="F171" s="20" t="s">
        <v>55</v>
      </c>
      <c r="G171" s="20" t="s">
        <v>6607</v>
      </c>
      <c r="H171" s="20" t="s">
        <v>6608</v>
      </c>
      <c r="I171" s="20" t="s">
        <v>5495</v>
      </c>
      <c r="J171" s="21" t="s">
        <v>6592</v>
      </c>
      <c r="K171" s="21" t="s">
        <v>6609</v>
      </c>
      <c r="L171" s="21" t="s">
        <v>5665</v>
      </c>
      <c r="M171" s="21" t="s">
        <v>6610</v>
      </c>
    </row>
    <row r="172" ht="15.75" customHeight="1">
      <c r="A172" s="22" t="s">
        <v>6611</v>
      </c>
      <c r="B172" s="22" t="s">
        <v>6612</v>
      </c>
      <c r="C172" s="22" t="s">
        <v>6613</v>
      </c>
      <c r="D172" s="22" t="s">
        <v>6614</v>
      </c>
      <c r="E172" s="22" t="s">
        <v>55</v>
      </c>
      <c r="F172" s="22" t="s">
        <v>3295</v>
      </c>
      <c r="G172" s="22" t="s">
        <v>6615</v>
      </c>
      <c r="H172" s="22"/>
      <c r="I172" s="22" t="s">
        <v>5495</v>
      </c>
      <c r="J172" s="22" t="s">
        <v>6592</v>
      </c>
      <c r="K172" s="22" t="s">
        <v>6609</v>
      </c>
      <c r="L172" s="22"/>
      <c r="M172" s="22"/>
    </row>
    <row r="173" ht="15.75" customHeight="1">
      <c r="A173" s="20" t="s">
        <v>6616</v>
      </c>
      <c r="B173" s="20" t="s">
        <v>6617</v>
      </c>
      <c r="C173" s="20" t="s">
        <v>6618</v>
      </c>
      <c r="D173" s="20" t="s">
        <v>6619</v>
      </c>
      <c r="E173" s="20" t="s">
        <v>55</v>
      </c>
      <c r="F173" s="20" t="s">
        <v>55</v>
      </c>
      <c r="G173" s="20" t="s">
        <v>6620</v>
      </c>
      <c r="H173" s="20" t="s">
        <v>6621</v>
      </c>
      <c r="I173" s="20" t="s">
        <v>5495</v>
      </c>
      <c r="J173" s="21" t="s">
        <v>6592</v>
      </c>
      <c r="K173" s="21" t="s">
        <v>6622</v>
      </c>
      <c r="L173" s="21" t="s">
        <v>6042</v>
      </c>
      <c r="M173" s="21" t="s">
        <v>6623</v>
      </c>
    </row>
    <row r="174" ht="15.75" customHeight="1">
      <c r="A174" s="22" t="s">
        <v>6624</v>
      </c>
      <c r="B174" s="22" t="s">
        <v>6625</v>
      </c>
      <c r="C174" s="22" t="s">
        <v>6626</v>
      </c>
      <c r="D174" s="22" t="s">
        <v>6627</v>
      </c>
      <c r="E174" s="22" t="s">
        <v>55</v>
      </c>
      <c r="F174" s="22" t="s">
        <v>55</v>
      </c>
      <c r="G174" s="22" t="s">
        <v>6628</v>
      </c>
      <c r="H174" s="22" t="s">
        <v>6629</v>
      </c>
      <c r="I174" s="22" t="s">
        <v>5495</v>
      </c>
      <c r="J174" s="22" t="s">
        <v>6592</v>
      </c>
      <c r="K174" s="22"/>
      <c r="L174" s="22" t="s">
        <v>902</v>
      </c>
      <c r="M174" s="22" t="s">
        <v>6630</v>
      </c>
    </row>
    <row r="175" ht="15.75" customHeight="1">
      <c r="A175" s="20" t="s">
        <v>6631</v>
      </c>
      <c r="B175" s="20" t="s">
        <v>6632</v>
      </c>
      <c r="C175" s="20" t="s">
        <v>6633</v>
      </c>
      <c r="D175" s="20" t="s">
        <v>6634</v>
      </c>
      <c r="E175" s="20" t="s">
        <v>55</v>
      </c>
      <c r="F175" s="20" t="s">
        <v>55</v>
      </c>
      <c r="G175" s="20" t="s">
        <v>6635</v>
      </c>
      <c r="H175" s="20" t="s">
        <v>6636</v>
      </c>
      <c r="I175" s="20" t="s">
        <v>5495</v>
      </c>
      <c r="J175" s="21" t="s">
        <v>6592</v>
      </c>
      <c r="K175" s="21" t="s">
        <v>6637</v>
      </c>
      <c r="L175" s="21" t="s">
        <v>3486</v>
      </c>
      <c r="M175" s="21" t="s">
        <v>6638</v>
      </c>
    </row>
    <row r="176" ht="15.75" customHeight="1">
      <c r="A176" s="22" t="s">
        <v>6639</v>
      </c>
      <c r="B176" s="22" t="s">
        <v>6640</v>
      </c>
      <c r="C176" s="22" t="s">
        <v>6641</v>
      </c>
      <c r="D176" s="22" t="s">
        <v>6642</v>
      </c>
      <c r="E176" s="22" t="s">
        <v>55</v>
      </c>
      <c r="F176" s="22" t="s">
        <v>55</v>
      </c>
      <c r="G176" s="22" t="s">
        <v>6643</v>
      </c>
      <c r="H176" s="22" t="s">
        <v>6644</v>
      </c>
      <c r="I176" s="22" t="s">
        <v>5495</v>
      </c>
      <c r="J176" s="22" t="s">
        <v>6592</v>
      </c>
      <c r="K176" s="22" t="s">
        <v>6645</v>
      </c>
      <c r="L176" s="22" t="s">
        <v>531</v>
      </c>
      <c r="M176" s="22" t="s">
        <v>6630</v>
      </c>
    </row>
    <row r="177" ht="15.75" customHeight="1">
      <c r="A177" s="20" t="s">
        <v>6646</v>
      </c>
      <c r="B177" s="20" t="s">
        <v>6647</v>
      </c>
      <c r="C177" s="20" t="s">
        <v>6648</v>
      </c>
      <c r="D177" s="20" t="s">
        <v>6649</v>
      </c>
      <c r="E177" s="20" t="s">
        <v>55</v>
      </c>
      <c r="F177" s="20" t="s">
        <v>55</v>
      </c>
      <c r="G177" s="20" t="s">
        <v>6650</v>
      </c>
      <c r="H177" s="20" t="s">
        <v>6651</v>
      </c>
      <c r="I177" s="20" t="s">
        <v>5495</v>
      </c>
      <c r="J177" s="21" t="s">
        <v>6592</v>
      </c>
      <c r="K177" s="21" t="s">
        <v>6652</v>
      </c>
      <c r="L177" s="21" t="s">
        <v>6653</v>
      </c>
      <c r="M177" s="21" t="s">
        <v>6654</v>
      </c>
    </row>
    <row r="178" ht="15.75" customHeight="1">
      <c r="A178" s="22" t="s">
        <v>6655</v>
      </c>
      <c r="B178" s="22" t="s">
        <v>6656</v>
      </c>
      <c r="C178" s="22" t="s">
        <v>6657</v>
      </c>
      <c r="D178" s="22" t="s">
        <v>6658</v>
      </c>
      <c r="E178" s="22" t="s">
        <v>55</v>
      </c>
      <c r="F178" s="22" t="s">
        <v>55</v>
      </c>
      <c r="G178" s="22" t="s">
        <v>6659</v>
      </c>
      <c r="H178" s="22" t="s">
        <v>6660</v>
      </c>
      <c r="I178" s="22" t="s">
        <v>5495</v>
      </c>
      <c r="J178" s="22" t="s">
        <v>6592</v>
      </c>
      <c r="K178" s="22" t="s">
        <v>6661</v>
      </c>
      <c r="L178" s="22" t="s">
        <v>902</v>
      </c>
      <c r="M178" s="22" t="s">
        <v>6662</v>
      </c>
    </row>
    <row r="179" ht="15.75" customHeight="1">
      <c r="A179" s="20" t="s">
        <v>6663</v>
      </c>
      <c r="B179" s="20" t="s">
        <v>6664</v>
      </c>
      <c r="C179" s="20" t="s">
        <v>6665</v>
      </c>
      <c r="D179" s="20" t="s">
        <v>6666</v>
      </c>
      <c r="E179" s="20" t="s">
        <v>55</v>
      </c>
      <c r="F179" s="20" t="s">
        <v>55</v>
      </c>
      <c r="G179" s="20" t="s">
        <v>6667</v>
      </c>
      <c r="H179" s="20"/>
      <c r="I179" s="20" t="s">
        <v>5495</v>
      </c>
      <c r="J179" s="21" t="s">
        <v>6592</v>
      </c>
      <c r="K179" s="21" t="s">
        <v>6668</v>
      </c>
      <c r="L179" s="21" t="s">
        <v>6669</v>
      </c>
      <c r="M179" s="21" t="s">
        <v>6670</v>
      </c>
    </row>
    <row r="180" ht="15.75" customHeight="1">
      <c r="A180" s="22" t="s">
        <v>6671</v>
      </c>
      <c r="B180" s="22" t="s">
        <v>6672</v>
      </c>
      <c r="C180" s="22" t="s">
        <v>6673</v>
      </c>
      <c r="D180" s="22" t="s">
        <v>6674</v>
      </c>
      <c r="E180" s="22" t="s">
        <v>55</v>
      </c>
      <c r="F180" s="22" t="s">
        <v>55</v>
      </c>
      <c r="G180" s="22" t="s">
        <v>6675</v>
      </c>
      <c r="H180" s="22" t="s">
        <v>6676</v>
      </c>
      <c r="I180" s="22" t="s">
        <v>5495</v>
      </c>
      <c r="J180" s="22" t="s">
        <v>6592</v>
      </c>
      <c r="K180" s="22" t="s">
        <v>6668</v>
      </c>
      <c r="L180" s="22" t="s">
        <v>6677</v>
      </c>
      <c r="M180" s="22" t="s">
        <v>816</v>
      </c>
    </row>
    <row r="181" ht="15.75" customHeight="1">
      <c r="A181" s="20" t="s">
        <v>6678</v>
      </c>
      <c r="B181" s="20" t="s">
        <v>6679</v>
      </c>
      <c r="C181" s="20" t="s">
        <v>6680</v>
      </c>
      <c r="D181" s="20" t="s">
        <v>6681</v>
      </c>
      <c r="E181" s="20" t="s">
        <v>55</v>
      </c>
      <c r="F181" s="20" t="s">
        <v>55</v>
      </c>
      <c r="G181" s="20" t="s">
        <v>6682</v>
      </c>
      <c r="H181" s="20" t="s">
        <v>6683</v>
      </c>
      <c r="I181" s="20" t="s">
        <v>5495</v>
      </c>
      <c r="J181" s="21" t="s">
        <v>6592</v>
      </c>
      <c r="K181" s="21" t="s">
        <v>6645</v>
      </c>
      <c r="L181" s="21" t="s">
        <v>6684</v>
      </c>
      <c r="M181" s="21" t="s">
        <v>6685</v>
      </c>
    </row>
    <row r="182" ht="15.75" customHeight="1">
      <c r="A182" s="22" t="s">
        <v>6686</v>
      </c>
      <c r="B182" s="22" t="s">
        <v>6687</v>
      </c>
      <c r="C182" s="22"/>
      <c r="D182" s="22" t="s">
        <v>6688</v>
      </c>
      <c r="E182" s="22" t="s">
        <v>55</v>
      </c>
      <c r="F182" s="22" t="s">
        <v>55</v>
      </c>
      <c r="G182" s="22" t="s">
        <v>6689</v>
      </c>
      <c r="H182" s="22" t="s">
        <v>6690</v>
      </c>
      <c r="I182" s="22" t="s">
        <v>5495</v>
      </c>
      <c r="J182" s="22" t="s">
        <v>6592</v>
      </c>
      <c r="K182" s="22"/>
      <c r="L182" s="22" t="s">
        <v>2110</v>
      </c>
      <c r="M182" s="22" t="s">
        <v>6691</v>
      </c>
    </row>
    <row r="183" ht="15.75" customHeight="1">
      <c r="A183" s="20" t="s">
        <v>6692</v>
      </c>
      <c r="B183" s="20" t="s">
        <v>6693</v>
      </c>
      <c r="C183" s="20" t="s">
        <v>6694</v>
      </c>
      <c r="D183" s="20" t="s">
        <v>6695</v>
      </c>
      <c r="E183" s="20" t="s">
        <v>55</v>
      </c>
      <c r="F183" s="20" t="s">
        <v>55</v>
      </c>
      <c r="G183" s="20" t="s">
        <v>6696</v>
      </c>
      <c r="H183" s="20" t="s">
        <v>6697</v>
      </c>
      <c r="I183" s="20" t="s">
        <v>5495</v>
      </c>
      <c r="J183" s="21" t="s">
        <v>6592</v>
      </c>
      <c r="K183" s="21" t="s">
        <v>6609</v>
      </c>
      <c r="L183" s="21" t="s">
        <v>6698</v>
      </c>
      <c r="M183" s="21" t="s">
        <v>6699</v>
      </c>
    </row>
    <row r="184" ht="15.75" customHeight="1">
      <c r="A184" s="22" t="s">
        <v>6700</v>
      </c>
      <c r="B184" s="22" t="s">
        <v>6701</v>
      </c>
      <c r="C184" s="22" t="s">
        <v>6702</v>
      </c>
      <c r="D184" s="22" t="s">
        <v>6703</v>
      </c>
      <c r="E184" s="22" t="s">
        <v>55</v>
      </c>
      <c r="F184" s="22" t="s">
        <v>55</v>
      </c>
      <c r="G184" s="22" t="s">
        <v>6704</v>
      </c>
      <c r="H184" s="22" t="s">
        <v>6705</v>
      </c>
      <c r="I184" s="22" t="s">
        <v>5495</v>
      </c>
      <c r="J184" s="22" t="s">
        <v>6592</v>
      </c>
      <c r="K184" s="22" t="s">
        <v>6601</v>
      </c>
      <c r="L184" s="22" t="s">
        <v>6706</v>
      </c>
      <c r="M184" s="22" t="s">
        <v>6630</v>
      </c>
    </row>
    <row r="185" ht="15.75" customHeight="1">
      <c r="A185" s="20" t="s">
        <v>6707</v>
      </c>
      <c r="B185" s="20" t="s">
        <v>6708</v>
      </c>
      <c r="C185" s="20" t="s">
        <v>6709</v>
      </c>
      <c r="D185" s="20" t="s">
        <v>6710</v>
      </c>
      <c r="E185" s="20" t="s">
        <v>55</v>
      </c>
      <c r="F185" s="20" t="s">
        <v>55</v>
      </c>
      <c r="G185" s="20" t="s">
        <v>6711</v>
      </c>
      <c r="H185" s="20" t="s">
        <v>6712</v>
      </c>
      <c r="I185" s="20" t="s">
        <v>5495</v>
      </c>
      <c r="J185" s="21" t="s">
        <v>6592</v>
      </c>
      <c r="K185" s="21" t="s">
        <v>6609</v>
      </c>
      <c r="L185" s="21"/>
      <c r="M185" s="21" t="s">
        <v>6713</v>
      </c>
    </row>
    <row r="186" ht="15.75" customHeight="1">
      <c r="A186" s="22" t="s">
        <v>6714</v>
      </c>
      <c r="B186" s="22" t="s">
        <v>6715</v>
      </c>
      <c r="C186" s="22" t="s">
        <v>6716</v>
      </c>
      <c r="D186" s="22" t="s">
        <v>6717</v>
      </c>
      <c r="E186" s="22" t="s">
        <v>55</v>
      </c>
      <c r="F186" s="22" t="s">
        <v>55</v>
      </c>
      <c r="G186" s="22" t="s">
        <v>6718</v>
      </c>
      <c r="H186" s="22"/>
      <c r="I186" s="22" t="s">
        <v>5495</v>
      </c>
      <c r="J186" s="22" t="s">
        <v>6592</v>
      </c>
      <c r="K186" s="22" t="s">
        <v>6661</v>
      </c>
      <c r="L186" s="22"/>
      <c r="M186" s="22" t="s">
        <v>6719</v>
      </c>
    </row>
    <row r="187" ht="15.75" customHeight="1">
      <c r="A187" s="20" t="s">
        <v>6720</v>
      </c>
      <c r="B187" s="20" t="s">
        <v>6721</v>
      </c>
      <c r="C187" s="20" t="s">
        <v>6722</v>
      </c>
      <c r="D187" s="20" t="s">
        <v>6723</v>
      </c>
      <c r="E187" s="20" t="s">
        <v>55</v>
      </c>
      <c r="F187" s="20" t="s">
        <v>55</v>
      </c>
      <c r="G187" s="20" t="s">
        <v>6724</v>
      </c>
      <c r="H187" s="20"/>
      <c r="I187" s="20" t="s">
        <v>5495</v>
      </c>
      <c r="J187" s="21" t="s">
        <v>6592</v>
      </c>
      <c r="K187" s="21" t="s">
        <v>6637</v>
      </c>
      <c r="L187" s="21" t="s">
        <v>531</v>
      </c>
      <c r="M187" s="21" t="s">
        <v>6725</v>
      </c>
    </row>
    <row r="188" ht="15.75" customHeight="1">
      <c r="A188" s="22" t="s">
        <v>6726</v>
      </c>
      <c r="B188" s="22" t="s">
        <v>6727</v>
      </c>
      <c r="C188" s="22" t="s">
        <v>6728</v>
      </c>
      <c r="D188" s="22" t="s">
        <v>6729</v>
      </c>
      <c r="E188" s="22" t="s">
        <v>55</v>
      </c>
      <c r="F188" s="22" t="s">
        <v>55</v>
      </c>
      <c r="G188" s="22" t="s">
        <v>6730</v>
      </c>
      <c r="H188" s="22"/>
      <c r="I188" s="22" t="s">
        <v>5495</v>
      </c>
      <c r="J188" s="22" t="s">
        <v>6592</v>
      </c>
      <c r="K188" s="22" t="s">
        <v>6731</v>
      </c>
      <c r="L188" s="22" t="s">
        <v>278</v>
      </c>
      <c r="M188" s="22" t="s">
        <v>6732</v>
      </c>
    </row>
    <row r="189" ht="15.75" customHeight="1">
      <c r="A189" s="20" t="s">
        <v>6733</v>
      </c>
      <c r="B189" s="20" t="s">
        <v>6734</v>
      </c>
      <c r="C189" s="20" t="s">
        <v>6735</v>
      </c>
      <c r="D189" s="20" t="s">
        <v>6736</v>
      </c>
      <c r="E189" s="20" t="s">
        <v>55</v>
      </c>
      <c r="F189" s="20" t="s">
        <v>55</v>
      </c>
      <c r="G189" s="20" t="s">
        <v>6737</v>
      </c>
      <c r="H189" s="20" t="s">
        <v>6738</v>
      </c>
      <c r="I189" s="20" t="s">
        <v>5495</v>
      </c>
      <c r="J189" s="21" t="s">
        <v>6592</v>
      </c>
      <c r="K189" s="21" t="s">
        <v>6739</v>
      </c>
      <c r="L189" s="21" t="s">
        <v>531</v>
      </c>
      <c r="M189" s="21" t="s">
        <v>6740</v>
      </c>
    </row>
    <row r="190" ht="15.75" customHeight="1">
      <c r="A190" s="22" t="s">
        <v>6741</v>
      </c>
      <c r="B190" s="22" t="s">
        <v>6742</v>
      </c>
      <c r="C190" s="22" t="s">
        <v>6743</v>
      </c>
      <c r="D190" s="22" t="s">
        <v>6744</v>
      </c>
      <c r="E190" s="22" t="s">
        <v>55</v>
      </c>
      <c r="F190" s="22" t="s">
        <v>55</v>
      </c>
      <c r="G190" s="22" t="s">
        <v>6745</v>
      </c>
      <c r="H190" s="22" t="s">
        <v>6746</v>
      </c>
      <c r="I190" s="22" t="s">
        <v>5495</v>
      </c>
      <c r="J190" s="22" t="s">
        <v>6592</v>
      </c>
      <c r="K190" s="22" t="s">
        <v>6609</v>
      </c>
      <c r="L190" s="22" t="s">
        <v>5665</v>
      </c>
      <c r="M190" s="22" t="s">
        <v>693</v>
      </c>
    </row>
    <row r="191" ht="15.75" customHeight="1">
      <c r="A191" s="20" t="s">
        <v>6747</v>
      </c>
      <c r="B191" s="20" t="s">
        <v>6748</v>
      </c>
      <c r="C191" s="20" t="s">
        <v>6749</v>
      </c>
      <c r="D191" s="20" t="s">
        <v>6750</v>
      </c>
      <c r="E191" s="20" t="s">
        <v>55</v>
      </c>
      <c r="F191" s="20" t="s">
        <v>55</v>
      </c>
      <c r="G191" s="20" t="s">
        <v>6751</v>
      </c>
      <c r="H191" s="20" t="s">
        <v>6752</v>
      </c>
      <c r="I191" s="20" t="s">
        <v>5495</v>
      </c>
      <c r="J191" s="21" t="s">
        <v>6592</v>
      </c>
      <c r="K191" s="21" t="s">
        <v>6753</v>
      </c>
      <c r="L191" s="21" t="s">
        <v>6754</v>
      </c>
      <c r="M191" s="21" t="s">
        <v>6623</v>
      </c>
    </row>
    <row r="192" ht="15.75" customHeight="1">
      <c r="A192" s="22" t="s">
        <v>6755</v>
      </c>
      <c r="B192" s="22" t="s">
        <v>6756</v>
      </c>
      <c r="C192" s="22"/>
      <c r="D192" s="22" t="s">
        <v>6757</v>
      </c>
      <c r="E192" s="22" t="s">
        <v>55</v>
      </c>
      <c r="F192" s="22" t="s">
        <v>55</v>
      </c>
      <c r="G192" s="22" t="s">
        <v>6758</v>
      </c>
      <c r="H192" s="22" t="s">
        <v>6759</v>
      </c>
      <c r="I192" s="22" t="s">
        <v>5495</v>
      </c>
      <c r="J192" s="22" t="s">
        <v>6592</v>
      </c>
      <c r="K192" s="22" t="s">
        <v>6760</v>
      </c>
      <c r="L192" s="22" t="s">
        <v>3486</v>
      </c>
      <c r="M192" s="22" t="s">
        <v>6699</v>
      </c>
    </row>
    <row r="193" ht="15.75" customHeight="1">
      <c r="A193" s="20" t="s">
        <v>6761</v>
      </c>
      <c r="B193" s="20" t="s">
        <v>6762</v>
      </c>
      <c r="C193" s="20" t="s">
        <v>6763</v>
      </c>
      <c r="D193" s="20" t="s">
        <v>6764</v>
      </c>
      <c r="E193" s="20" t="s">
        <v>55</v>
      </c>
      <c r="F193" s="20" t="s">
        <v>55</v>
      </c>
      <c r="G193" s="20" t="s">
        <v>6765</v>
      </c>
      <c r="H193" s="20"/>
      <c r="I193" s="20" t="s">
        <v>5495</v>
      </c>
      <c r="J193" s="21" t="s">
        <v>6592</v>
      </c>
      <c r="K193" s="21" t="s">
        <v>6668</v>
      </c>
      <c r="L193" s="21" t="s">
        <v>3486</v>
      </c>
      <c r="M193" s="21" t="s">
        <v>248</v>
      </c>
    </row>
    <row r="194" ht="15.75" customHeight="1">
      <c r="A194" s="22" t="s">
        <v>6766</v>
      </c>
      <c r="B194" s="22" t="s">
        <v>6767</v>
      </c>
      <c r="C194" s="22" t="s">
        <v>6768</v>
      </c>
      <c r="D194" s="22" t="s">
        <v>6769</v>
      </c>
      <c r="E194" s="22" t="s">
        <v>55</v>
      </c>
      <c r="F194" s="22" t="s">
        <v>55</v>
      </c>
      <c r="G194" s="22" t="s">
        <v>6770</v>
      </c>
      <c r="H194" s="22" t="s">
        <v>6771</v>
      </c>
      <c r="I194" s="22" t="s">
        <v>5495</v>
      </c>
      <c r="J194" s="22" t="s">
        <v>6592</v>
      </c>
      <c r="K194" s="22" t="s">
        <v>6772</v>
      </c>
      <c r="L194" s="22" t="s">
        <v>2110</v>
      </c>
      <c r="M194" s="22" t="s">
        <v>6630</v>
      </c>
    </row>
    <row r="195" ht="15.75" customHeight="1">
      <c r="A195" s="20" t="s">
        <v>6773</v>
      </c>
      <c r="B195" s="20" t="s">
        <v>6774</v>
      </c>
      <c r="C195" s="20" t="s">
        <v>6775</v>
      </c>
      <c r="D195" s="20" t="s">
        <v>6776</v>
      </c>
      <c r="E195" s="20" t="s">
        <v>55</v>
      </c>
      <c r="F195" s="20" t="s">
        <v>55</v>
      </c>
      <c r="G195" s="20" t="s">
        <v>6777</v>
      </c>
      <c r="H195" s="20"/>
      <c r="I195" s="20" t="s">
        <v>5495</v>
      </c>
      <c r="J195" s="21" t="s">
        <v>6592</v>
      </c>
      <c r="K195" s="21" t="s">
        <v>6668</v>
      </c>
      <c r="L195" s="21" t="s">
        <v>1649</v>
      </c>
      <c r="M195" s="21" t="s">
        <v>6630</v>
      </c>
    </row>
    <row r="196" ht="15.75" customHeight="1">
      <c r="A196" s="22" t="s">
        <v>6778</v>
      </c>
      <c r="B196" s="22" t="s">
        <v>6779</v>
      </c>
      <c r="C196" s="22" t="s">
        <v>6780</v>
      </c>
      <c r="D196" s="22" t="s">
        <v>6781</v>
      </c>
      <c r="E196" s="22" t="s">
        <v>55</v>
      </c>
      <c r="F196" s="22" t="s">
        <v>55</v>
      </c>
      <c r="G196" s="22" t="s">
        <v>6782</v>
      </c>
      <c r="H196" s="22" t="s">
        <v>6783</v>
      </c>
      <c r="I196" s="22" t="s">
        <v>5495</v>
      </c>
      <c r="J196" s="22" t="s">
        <v>6592</v>
      </c>
      <c r="K196" s="22" t="s">
        <v>6637</v>
      </c>
      <c r="L196" s="22" t="s">
        <v>6042</v>
      </c>
      <c r="M196" s="22" t="s">
        <v>6784</v>
      </c>
    </row>
    <row r="197" ht="15.75" customHeight="1">
      <c r="A197" s="20" t="s">
        <v>6785</v>
      </c>
      <c r="B197" s="20" t="s">
        <v>6786</v>
      </c>
      <c r="C197" s="20" t="s">
        <v>6787</v>
      </c>
      <c r="D197" s="20" t="s">
        <v>6788</v>
      </c>
      <c r="E197" s="20" t="s">
        <v>55</v>
      </c>
      <c r="F197" s="20" t="s">
        <v>55</v>
      </c>
      <c r="G197" s="20" t="s">
        <v>6789</v>
      </c>
      <c r="H197" s="20"/>
      <c r="I197" s="20" t="s">
        <v>5495</v>
      </c>
      <c r="J197" s="21" t="s">
        <v>6592</v>
      </c>
      <c r="K197" s="21" t="s">
        <v>6645</v>
      </c>
      <c r="L197" s="21" t="s">
        <v>6790</v>
      </c>
      <c r="M197" s="21" t="s">
        <v>6791</v>
      </c>
    </row>
    <row r="198" ht="15.75" customHeight="1">
      <c r="A198" s="22" t="s">
        <v>6792</v>
      </c>
      <c r="B198" s="22" t="s">
        <v>6793</v>
      </c>
      <c r="C198" s="22" t="s">
        <v>6794</v>
      </c>
      <c r="D198" s="22" t="s">
        <v>6795</v>
      </c>
      <c r="E198" s="22" t="s">
        <v>55</v>
      </c>
      <c r="F198" s="22" t="s">
        <v>55</v>
      </c>
      <c r="G198" s="22" t="s">
        <v>6796</v>
      </c>
      <c r="H198" s="22" t="s">
        <v>6797</v>
      </c>
      <c r="I198" s="22" t="s">
        <v>5495</v>
      </c>
      <c r="J198" s="22" t="s">
        <v>6592</v>
      </c>
      <c r="K198" s="22" t="s">
        <v>6637</v>
      </c>
      <c r="L198" s="22" t="s">
        <v>6798</v>
      </c>
      <c r="M198" s="22" t="s">
        <v>6799</v>
      </c>
    </row>
    <row r="199" ht="15.75" customHeight="1">
      <c r="A199" s="20" t="s">
        <v>6800</v>
      </c>
      <c r="B199" s="20" t="s">
        <v>6801</v>
      </c>
      <c r="C199" s="20" t="s">
        <v>6802</v>
      </c>
      <c r="D199" s="20" t="s">
        <v>6803</v>
      </c>
      <c r="E199" s="20" t="s">
        <v>55</v>
      </c>
      <c r="F199" s="20" t="s">
        <v>55</v>
      </c>
      <c r="G199" s="20" t="s">
        <v>6804</v>
      </c>
      <c r="H199" s="20" t="s">
        <v>6805</v>
      </c>
      <c r="I199" s="20" t="s">
        <v>5495</v>
      </c>
      <c r="J199" s="21" t="s">
        <v>6592</v>
      </c>
      <c r="K199" s="21" t="s">
        <v>6753</v>
      </c>
      <c r="L199" s="21" t="s">
        <v>941</v>
      </c>
      <c r="M199" s="21" t="s">
        <v>6806</v>
      </c>
    </row>
    <row r="200" ht="15.75" customHeight="1">
      <c r="A200" s="22" t="s">
        <v>6807</v>
      </c>
      <c r="B200" s="22" t="s">
        <v>6808</v>
      </c>
      <c r="C200" s="22" t="s">
        <v>6809</v>
      </c>
      <c r="D200" s="22" t="s">
        <v>6810</v>
      </c>
      <c r="E200" s="22" t="s">
        <v>55</v>
      </c>
      <c r="F200" s="22" t="s">
        <v>55</v>
      </c>
      <c r="G200" s="22" t="s">
        <v>6811</v>
      </c>
      <c r="H200" s="22" t="s">
        <v>6812</v>
      </c>
      <c r="I200" s="22" t="s">
        <v>5495</v>
      </c>
      <c r="J200" s="22" t="s">
        <v>6592</v>
      </c>
      <c r="K200" s="22" t="s">
        <v>6609</v>
      </c>
      <c r="L200" s="22"/>
      <c r="M200" s="22" t="s">
        <v>248</v>
      </c>
    </row>
    <row r="201" ht="15.75" customHeight="1">
      <c r="A201" s="20" t="s">
        <v>6813</v>
      </c>
      <c r="B201" s="20" t="s">
        <v>6814</v>
      </c>
      <c r="C201" s="20"/>
      <c r="D201" s="20" t="s">
        <v>6815</v>
      </c>
      <c r="E201" s="20" t="s">
        <v>55</v>
      </c>
      <c r="F201" s="20" t="s">
        <v>55</v>
      </c>
      <c r="G201" s="20" t="s">
        <v>6816</v>
      </c>
      <c r="H201" s="20"/>
      <c r="I201" s="20" t="s">
        <v>5495</v>
      </c>
      <c r="J201" s="21" t="s">
        <v>6592</v>
      </c>
      <c r="K201" s="21" t="s">
        <v>6817</v>
      </c>
      <c r="L201" s="21"/>
      <c r="M201" s="21"/>
    </row>
    <row r="202" ht="15.75" customHeight="1">
      <c r="A202" s="22" t="s">
        <v>6818</v>
      </c>
      <c r="B202" s="22" t="s">
        <v>6819</v>
      </c>
      <c r="C202" s="22" t="s">
        <v>6820</v>
      </c>
      <c r="D202" s="22" t="s">
        <v>6821</v>
      </c>
      <c r="E202" s="22" t="s">
        <v>55</v>
      </c>
      <c r="F202" s="22" t="s">
        <v>55</v>
      </c>
      <c r="G202" s="22" t="s">
        <v>6822</v>
      </c>
      <c r="H202" s="22"/>
      <c r="I202" s="22" t="s">
        <v>5495</v>
      </c>
      <c r="J202" s="22" t="s">
        <v>6592</v>
      </c>
      <c r="K202" s="22" t="s">
        <v>6661</v>
      </c>
      <c r="L202" s="22"/>
      <c r="M202" s="22"/>
    </row>
    <row r="203" ht="15.75" customHeight="1">
      <c r="A203" s="20" t="s">
        <v>6823</v>
      </c>
      <c r="B203" s="20" t="s">
        <v>6824</v>
      </c>
      <c r="C203" s="20" t="s">
        <v>6825</v>
      </c>
      <c r="D203" s="20" t="s">
        <v>6826</v>
      </c>
      <c r="E203" s="20" t="s">
        <v>55</v>
      </c>
      <c r="F203" s="20" t="s">
        <v>55</v>
      </c>
      <c r="G203" s="20" t="s">
        <v>6827</v>
      </c>
      <c r="H203" s="20"/>
      <c r="I203" s="20" t="s">
        <v>5495</v>
      </c>
      <c r="J203" s="21" t="s">
        <v>6592</v>
      </c>
      <c r="K203" s="21" t="s">
        <v>6668</v>
      </c>
      <c r="L203" s="21"/>
      <c r="M203" s="21"/>
    </row>
    <row r="204" ht="15.75" customHeight="1">
      <c r="A204" s="22" t="s">
        <v>6828</v>
      </c>
      <c r="B204" s="22" t="s">
        <v>6829</v>
      </c>
      <c r="C204" s="22"/>
      <c r="D204" s="22" t="s">
        <v>6830</v>
      </c>
      <c r="E204" s="22" t="s">
        <v>55</v>
      </c>
      <c r="F204" s="22" t="s">
        <v>55</v>
      </c>
      <c r="G204" s="22" t="s">
        <v>6831</v>
      </c>
      <c r="H204" s="22" t="s">
        <v>6832</v>
      </c>
      <c r="I204" s="22" t="s">
        <v>5495</v>
      </c>
      <c r="J204" s="22" t="s">
        <v>6592</v>
      </c>
      <c r="K204" s="22" t="s">
        <v>6833</v>
      </c>
      <c r="L204" s="22"/>
      <c r="M204" s="22"/>
    </row>
    <row r="205" ht="15.75" customHeight="1">
      <c r="A205" s="20" t="s">
        <v>6834</v>
      </c>
      <c r="B205" s="20" t="s">
        <v>6835</v>
      </c>
      <c r="C205" s="20" t="s">
        <v>6836</v>
      </c>
      <c r="D205" s="20" t="s">
        <v>6837</v>
      </c>
      <c r="E205" s="20" t="s">
        <v>55</v>
      </c>
      <c r="F205" s="20" t="s">
        <v>55</v>
      </c>
      <c r="G205" s="20" t="s">
        <v>6838</v>
      </c>
      <c r="H205" s="20" t="s">
        <v>6839</v>
      </c>
      <c r="I205" s="20" t="s">
        <v>5495</v>
      </c>
      <c r="J205" s="21" t="s">
        <v>6592</v>
      </c>
      <c r="K205" s="21" t="s">
        <v>6840</v>
      </c>
      <c r="L205" s="21"/>
      <c r="M205" s="21"/>
    </row>
    <row r="206" ht="15.75" customHeight="1">
      <c r="A206" s="22" t="s">
        <v>6841</v>
      </c>
      <c r="B206" s="22" t="s">
        <v>6842</v>
      </c>
      <c r="C206" s="22" t="s">
        <v>6843</v>
      </c>
      <c r="D206" s="22" t="s">
        <v>6844</v>
      </c>
      <c r="E206" s="22" t="s">
        <v>55</v>
      </c>
      <c r="F206" s="22" t="s">
        <v>55</v>
      </c>
      <c r="G206" s="22" t="s">
        <v>6845</v>
      </c>
      <c r="H206" s="22"/>
      <c r="I206" s="22" t="s">
        <v>5495</v>
      </c>
      <c r="J206" s="22" t="s">
        <v>6592</v>
      </c>
      <c r="K206" s="22" t="s">
        <v>6601</v>
      </c>
      <c r="L206" s="22"/>
      <c r="M206" s="22"/>
    </row>
    <row r="207" ht="15.75" customHeight="1">
      <c r="A207" s="20" t="s">
        <v>6846</v>
      </c>
      <c r="B207" s="20" t="s">
        <v>6842</v>
      </c>
      <c r="C207" s="20" t="s">
        <v>6847</v>
      </c>
      <c r="D207" s="20" t="s">
        <v>6848</v>
      </c>
      <c r="E207" s="20" t="s">
        <v>55</v>
      </c>
      <c r="F207" s="20" t="s">
        <v>55</v>
      </c>
      <c r="G207" s="20" t="s">
        <v>6849</v>
      </c>
      <c r="H207" s="20"/>
      <c r="I207" s="20" t="s">
        <v>5495</v>
      </c>
      <c r="J207" s="21" t="s">
        <v>6592</v>
      </c>
      <c r="K207" s="21" t="s">
        <v>6645</v>
      </c>
      <c r="L207" s="21" t="s">
        <v>6486</v>
      </c>
      <c r="M207" s="21"/>
    </row>
    <row r="208" ht="15.75" customHeight="1">
      <c r="A208" s="22" t="s">
        <v>6850</v>
      </c>
      <c r="B208" s="22" t="s">
        <v>6851</v>
      </c>
      <c r="C208" s="22" t="s">
        <v>6852</v>
      </c>
      <c r="D208" s="22" t="s">
        <v>6853</v>
      </c>
      <c r="E208" s="22" t="s">
        <v>55</v>
      </c>
      <c r="F208" s="22" t="s">
        <v>55</v>
      </c>
      <c r="G208" s="22" t="s">
        <v>6854</v>
      </c>
      <c r="H208" s="22" t="s">
        <v>6855</v>
      </c>
      <c r="I208" s="22" t="s">
        <v>5495</v>
      </c>
      <c r="J208" s="22" t="s">
        <v>6592</v>
      </c>
      <c r="K208" s="22" t="s">
        <v>6645</v>
      </c>
      <c r="L208" s="22" t="s">
        <v>5691</v>
      </c>
      <c r="M208" s="22" t="s">
        <v>663</v>
      </c>
    </row>
    <row r="209" ht="15.75" customHeight="1">
      <c r="A209" s="20" t="s">
        <v>6856</v>
      </c>
      <c r="B209" s="20" t="s">
        <v>6857</v>
      </c>
      <c r="C209" s="20" t="s">
        <v>6858</v>
      </c>
      <c r="D209" s="20" t="s">
        <v>6859</v>
      </c>
      <c r="E209" s="20" t="s">
        <v>55</v>
      </c>
      <c r="F209" s="20" t="s">
        <v>55</v>
      </c>
      <c r="G209" s="20" t="s">
        <v>6860</v>
      </c>
      <c r="H209" s="20" t="s">
        <v>6861</v>
      </c>
      <c r="I209" s="20" t="s">
        <v>5495</v>
      </c>
      <c r="J209" s="21" t="s">
        <v>6592</v>
      </c>
      <c r="K209" s="21" t="s">
        <v>6668</v>
      </c>
      <c r="L209" s="21" t="s">
        <v>6862</v>
      </c>
      <c r="M209" s="21" t="s">
        <v>6863</v>
      </c>
    </row>
    <row r="210" ht="15.75" customHeight="1">
      <c r="A210" s="22" t="s">
        <v>6864</v>
      </c>
      <c r="B210" s="22" t="s">
        <v>6865</v>
      </c>
      <c r="C210" s="22" t="s">
        <v>6866</v>
      </c>
      <c r="D210" s="22" t="s">
        <v>6867</v>
      </c>
      <c r="E210" s="22" t="s">
        <v>55</v>
      </c>
      <c r="F210" s="22" t="s">
        <v>55</v>
      </c>
      <c r="G210" s="22" t="s">
        <v>6868</v>
      </c>
      <c r="H210" s="22"/>
      <c r="I210" s="22" t="s">
        <v>5495</v>
      </c>
      <c r="J210" s="22" t="s">
        <v>6592</v>
      </c>
      <c r="K210" s="22" t="s">
        <v>6661</v>
      </c>
      <c r="L210" s="22"/>
      <c r="M210" s="22"/>
    </row>
    <row r="211" ht="15.75" customHeight="1">
      <c r="A211" s="20" t="s">
        <v>6869</v>
      </c>
      <c r="B211" s="20" t="s">
        <v>6870</v>
      </c>
      <c r="C211" s="20" t="s">
        <v>6871</v>
      </c>
      <c r="D211" s="20" t="s">
        <v>6872</v>
      </c>
      <c r="E211" s="20" t="s">
        <v>55</v>
      </c>
      <c r="F211" s="20" t="s">
        <v>55</v>
      </c>
      <c r="G211" s="20" t="s">
        <v>6873</v>
      </c>
      <c r="H211" s="20"/>
      <c r="I211" s="20" t="s">
        <v>5495</v>
      </c>
      <c r="J211" s="21" t="s">
        <v>6592</v>
      </c>
      <c r="K211" s="21" t="s">
        <v>6609</v>
      </c>
      <c r="L211" s="21"/>
      <c r="M211" s="21"/>
    </row>
    <row r="212" ht="15.75" customHeight="1">
      <c r="A212" s="22" t="s">
        <v>6874</v>
      </c>
      <c r="B212" s="22" t="s">
        <v>6875</v>
      </c>
      <c r="C212" s="22" t="s">
        <v>6876</v>
      </c>
      <c r="D212" s="22" t="s">
        <v>6877</v>
      </c>
      <c r="E212" s="22" t="s">
        <v>55</v>
      </c>
      <c r="F212" s="22" t="s">
        <v>55</v>
      </c>
      <c r="G212" s="22" t="s">
        <v>6878</v>
      </c>
      <c r="H212" s="22"/>
      <c r="I212" s="22" t="s">
        <v>5495</v>
      </c>
      <c r="J212" s="22" t="s">
        <v>6592</v>
      </c>
      <c r="K212" s="22" t="s">
        <v>6753</v>
      </c>
      <c r="L212" s="22"/>
      <c r="M212" s="22"/>
    </row>
    <row r="213" ht="15.75" customHeight="1">
      <c r="A213" s="20" t="s">
        <v>6879</v>
      </c>
      <c r="B213" s="20" t="s">
        <v>6880</v>
      </c>
      <c r="C213" s="20" t="s">
        <v>6881</v>
      </c>
      <c r="D213" s="20" t="s">
        <v>6882</v>
      </c>
      <c r="E213" s="20" t="s">
        <v>55</v>
      </c>
      <c r="F213" s="20" t="s">
        <v>55</v>
      </c>
      <c r="G213" s="20" t="s">
        <v>6883</v>
      </c>
      <c r="H213" s="20" t="s">
        <v>4418</v>
      </c>
      <c r="I213" s="20" t="s">
        <v>5495</v>
      </c>
      <c r="J213" s="21" t="s">
        <v>6592</v>
      </c>
      <c r="K213" s="21" t="s">
        <v>6645</v>
      </c>
      <c r="L213" s="21" t="s">
        <v>531</v>
      </c>
      <c r="M213" s="21" t="s">
        <v>5495</v>
      </c>
    </row>
    <row r="214" ht="15.75" customHeight="1">
      <c r="A214" s="22" t="s">
        <v>6884</v>
      </c>
      <c r="B214" s="22" t="s">
        <v>6885</v>
      </c>
      <c r="C214" s="22" t="s">
        <v>6886</v>
      </c>
      <c r="D214" s="22" t="s">
        <v>6887</v>
      </c>
      <c r="E214" s="22" t="s">
        <v>55</v>
      </c>
      <c r="F214" s="22" t="s">
        <v>55</v>
      </c>
      <c r="G214" s="22" t="s">
        <v>6888</v>
      </c>
      <c r="H214" s="22" t="s">
        <v>6889</v>
      </c>
      <c r="I214" s="22" t="s">
        <v>5495</v>
      </c>
      <c r="J214" s="22" t="s">
        <v>6592</v>
      </c>
      <c r="K214" s="22" t="s">
        <v>6609</v>
      </c>
      <c r="L214" s="22"/>
      <c r="M214" s="22"/>
    </row>
    <row r="215" ht="15.75" customHeight="1">
      <c r="A215" s="20" t="s">
        <v>6890</v>
      </c>
      <c r="B215" s="20" t="s">
        <v>6891</v>
      </c>
      <c r="C215" s="20" t="s">
        <v>6892</v>
      </c>
      <c r="D215" s="20" t="s">
        <v>6893</v>
      </c>
      <c r="E215" s="20" t="s">
        <v>55</v>
      </c>
      <c r="F215" s="20" t="s">
        <v>55</v>
      </c>
      <c r="G215" s="20" t="s">
        <v>6894</v>
      </c>
      <c r="H215" s="20" t="s">
        <v>6895</v>
      </c>
      <c r="I215" s="20" t="s">
        <v>5495</v>
      </c>
      <c r="J215" s="21" t="s">
        <v>6592</v>
      </c>
      <c r="K215" s="21" t="s">
        <v>6896</v>
      </c>
      <c r="L215" s="21"/>
      <c r="M215" s="21"/>
    </row>
    <row r="216" ht="15.75" customHeight="1">
      <c r="A216" s="22" t="s">
        <v>6897</v>
      </c>
      <c r="B216" s="22" t="s">
        <v>6898</v>
      </c>
      <c r="C216" s="22"/>
      <c r="D216" s="22" t="s">
        <v>6899</v>
      </c>
      <c r="E216" s="22" t="s">
        <v>55</v>
      </c>
      <c r="F216" s="22" t="s">
        <v>55</v>
      </c>
      <c r="G216" s="22" t="s">
        <v>6900</v>
      </c>
      <c r="H216" s="22"/>
      <c r="I216" s="22" t="s">
        <v>5495</v>
      </c>
      <c r="J216" s="22" t="s">
        <v>6592</v>
      </c>
      <c r="K216" s="22" t="s">
        <v>6609</v>
      </c>
      <c r="L216" s="22" t="s">
        <v>6677</v>
      </c>
      <c r="M216" s="22"/>
    </row>
    <row r="217" ht="15.75" customHeight="1">
      <c r="A217" s="20" t="s">
        <v>6901</v>
      </c>
      <c r="B217" s="20" t="s">
        <v>6902</v>
      </c>
      <c r="C217" s="20" t="s">
        <v>6903</v>
      </c>
      <c r="D217" s="20" t="s">
        <v>6904</v>
      </c>
      <c r="E217" s="20" t="s">
        <v>55</v>
      </c>
      <c r="F217" s="20" t="s">
        <v>55</v>
      </c>
      <c r="G217" s="20" t="s">
        <v>6905</v>
      </c>
      <c r="H217" s="20"/>
      <c r="I217" s="20" t="s">
        <v>5495</v>
      </c>
      <c r="J217" s="21" t="s">
        <v>6592</v>
      </c>
      <c r="K217" s="21" t="s">
        <v>6906</v>
      </c>
      <c r="L217" s="21" t="s">
        <v>6907</v>
      </c>
      <c r="M217" s="21"/>
    </row>
    <row r="218" ht="15.75" customHeight="1">
      <c r="A218" s="22" t="s">
        <v>6908</v>
      </c>
      <c r="B218" s="22"/>
      <c r="C218" s="22" t="s">
        <v>6909</v>
      </c>
      <c r="D218" s="22" t="s">
        <v>6910</v>
      </c>
      <c r="E218" s="22" t="s">
        <v>55</v>
      </c>
      <c r="F218" s="22" t="s">
        <v>55</v>
      </c>
      <c r="G218" s="22" t="s">
        <v>6911</v>
      </c>
      <c r="H218" s="22"/>
      <c r="I218" s="22" t="s">
        <v>5495</v>
      </c>
      <c r="J218" s="22" t="s">
        <v>6592</v>
      </c>
      <c r="K218" s="22" t="s">
        <v>6645</v>
      </c>
      <c r="L218" s="22"/>
      <c r="M218" s="22"/>
    </row>
    <row r="219" ht="15.75" customHeight="1">
      <c r="A219" s="20" t="s">
        <v>6912</v>
      </c>
      <c r="B219" s="20" t="s">
        <v>6913</v>
      </c>
      <c r="C219" s="20" t="s">
        <v>6914</v>
      </c>
      <c r="D219" s="20" t="s">
        <v>6915</v>
      </c>
      <c r="E219" s="20" t="s">
        <v>55</v>
      </c>
      <c r="F219" s="20" t="s">
        <v>55</v>
      </c>
      <c r="G219" s="20" t="s">
        <v>6916</v>
      </c>
      <c r="H219" s="20" t="s">
        <v>6917</v>
      </c>
      <c r="I219" s="20" t="s">
        <v>5495</v>
      </c>
      <c r="J219" s="21" t="s">
        <v>6592</v>
      </c>
      <c r="K219" s="21" t="s">
        <v>6601</v>
      </c>
      <c r="L219" s="21" t="s">
        <v>2110</v>
      </c>
      <c r="M219" s="21"/>
    </row>
    <row r="220" ht="15.75" customHeight="1">
      <c r="A220" s="22" t="s">
        <v>6918</v>
      </c>
      <c r="B220" s="22" t="s">
        <v>6919</v>
      </c>
      <c r="C220" s="22"/>
      <c r="D220" s="22" t="s">
        <v>6920</v>
      </c>
      <c r="E220" s="22" t="s">
        <v>55</v>
      </c>
      <c r="F220" s="22" t="s">
        <v>55</v>
      </c>
      <c r="G220" s="22" t="s">
        <v>6921</v>
      </c>
      <c r="H220" s="22"/>
      <c r="I220" s="22" t="s">
        <v>5495</v>
      </c>
      <c r="J220" s="22" t="s">
        <v>6592</v>
      </c>
      <c r="K220" s="22" t="s">
        <v>6668</v>
      </c>
      <c r="L220" s="22"/>
      <c r="M220" s="22"/>
    </row>
    <row r="221" ht="15.75" customHeight="1">
      <c r="A221" s="20" t="s">
        <v>6922</v>
      </c>
      <c r="B221" s="20" t="s">
        <v>6923</v>
      </c>
      <c r="C221" s="20" t="s">
        <v>6924</v>
      </c>
      <c r="D221" s="20" t="s">
        <v>6925</v>
      </c>
      <c r="E221" s="20" t="s">
        <v>55</v>
      </c>
      <c r="F221" s="20" t="s">
        <v>55</v>
      </c>
      <c r="G221" s="20" t="s">
        <v>6926</v>
      </c>
      <c r="H221" s="20"/>
      <c r="I221" s="20" t="s">
        <v>5495</v>
      </c>
      <c r="J221" s="21" t="s">
        <v>6592</v>
      </c>
      <c r="K221" s="21" t="s">
        <v>6645</v>
      </c>
      <c r="L221" s="21"/>
      <c r="M221" s="21"/>
    </row>
    <row r="222" ht="15.75" customHeight="1">
      <c r="A222" s="22" t="s">
        <v>6927</v>
      </c>
      <c r="B222" s="22" t="s">
        <v>6928</v>
      </c>
      <c r="C222" s="22" t="s">
        <v>6929</v>
      </c>
      <c r="D222" s="22" t="s">
        <v>6930</v>
      </c>
      <c r="E222" s="22" t="s">
        <v>55</v>
      </c>
      <c r="F222" s="22" t="s">
        <v>55</v>
      </c>
      <c r="G222" s="22" t="s">
        <v>6931</v>
      </c>
      <c r="H222" s="22"/>
      <c r="I222" s="22" t="s">
        <v>5495</v>
      </c>
      <c r="J222" s="22" t="s">
        <v>6592</v>
      </c>
      <c r="K222" s="22" t="s">
        <v>6609</v>
      </c>
      <c r="L222" s="22" t="s">
        <v>1986</v>
      </c>
      <c r="M222" s="22"/>
    </row>
    <row r="223" ht="15.75" customHeight="1">
      <c r="A223" s="20" t="s">
        <v>6932</v>
      </c>
      <c r="B223" s="20" t="s">
        <v>6933</v>
      </c>
      <c r="C223" s="20"/>
      <c r="D223" s="20" t="s">
        <v>6934</v>
      </c>
      <c r="E223" s="20" t="s">
        <v>55</v>
      </c>
      <c r="F223" s="20" t="s">
        <v>55</v>
      </c>
      <c r="G223" s="20" t="s">
        <v>6935</v>
      </c>
      <c r="H223" s="20"/>
      <c r="I223" s="20" t="s">
        <v>5495</v>
      </c>
      <c r="J223" s="21"/>
      <c r="K223" s="21" t="s">
        <v>6652</v>
      </c>
      <c r="L223" s="21"/>
      <c r="M223" s="21" t="s">
        <v>6936</v>
      </c>
    </row>
    <row r="224" ht="15.75" customHeight="1">
      <c r="A224" s="22" t="s">
        <v>6937</v>
      </c>
      <c r="B224" s="22" t="s">
        <v>6938</v>
      </c>
      <c r="C224" s="22"/>
      <c r="D224" s="22" t="s">
        <v>6939</v>
      </c>
      <c r="E224" s="22" t="s">
        <v>55</v>
      </c>
      <c r="F224" s="22" t="s">
        <v>55</v>
      </c>
      <c r="G224" s="22" t="s">
        <v>6940</v>
      </c>
      <c r="H224" s="22"/>
      <c r="I224" s="22" t="s">
        <v>5495</v>
      </c>
      <c r="J224" s="22"/>
      <c r="K224" s="22" t="s">
        <v>6609</v>
      </c>
      <c r="L224" s="22"/>
      <c r="M224" s="22"/>
    </row>
    <row r="225" ht="15.75" customHeight="1">
      <c r="A225" s="20" t="s">
        <v>6941</v>
      </c>
      <c r="B225" s="20" t="s">
        <v>6942</v>
      </c>
      <c r="C225" s="20" t="s">
        <v>6943</v>
      </c>
      <c r="D225" s="20" t="s">
        <v>6944</v>
      </c>
      <c r="E225" s="20" t="s">
        <v>55</v>
      </c>
      <c r="F225" s="20" t="s">
        <v>55</v>
      </c>
      <c r="G225" s="20" t="s">
        <v>6945</v>
      </c>
      <c r="H225" s="20"/>
      <c r="I225" s="20" t="s">
        <v>5495</v>
      </c>
      <c r="J225" s="21"/>
      <c r="K225" s="21" t="s">
        <v>6601</v>
      </c>
      <c r="L225" s="21"/>
      <c r="M225" s="21"/>
    </row>
    <row r="226" ht="15.75" customHeight="1">
      <c r="A226" s="22" t="s">
        <v>6946</v>
      </c>
      <c r="B226" s="22" t="s">
        <v>6947</v>
      </c>
      <c r="C226" s="22" t="s">
        <v>6948</v>
      </c>
      <c r="D226" s="22" t="s">
        <v>6949</v>
      </c>
      <c r="E226" s="22" t="s">
        <v>55</v>
      </c>
      <c r="F226" s="22" t="s">
        <v>55</v>
      </c>
      <c r="G226" s="22" t="s">
        <v>6950</v>
      </c>
      <c r="H226" s="22"/>
      <c r="I226" s="22" t="s">
        <v>5495</v>
      </c>
      <c r="J226" s="22"/>
      <c r="K226" s="22" t="s">
        <v>6601</v>
      </c>
      <c r="L226" s="22" t="s">
        <v>902</v>
      </c>
      <c r="M226" s="22" t="s">
        <v>6951</v>
      </c>
    </row>
    <row r="227" ht="15.75" customHeight="1">
      <c r="A227" s="20" t="s">
        <v>6952</v>
      </c>
      <c r="B227" s="20" t="s">
        <v>6953</v>
      </c>
      <c r="C227" s="20" t="s">
        <v>6954</v>
      </c>
      <c r="D227" s="20" t="s">
        <v>6955</v>
      </c>
      <c r="E227" s="20" t="s">
        <v>55</v>
      </c>
      <c r="F227" s="20" t="s">
        <v>55</v>
      </c>
      <c r="G227" s="20" t="s">
        <v>6956</v>
      </c>
      <c r="H227" s="20" t="s">
        <v>6957</v>
      </c>
      <c r="I227" s="20" t="s">
        <v>5495</v>
      </c>
      <c r="J227" s="21"/>
      <c r="K227" s="21" t="s">
        <v>6609</v>
      </c>
      <c r="L227" s="21"/>
      <c r="M227" s="21" t="s">
        <v>6958</v>
      </c>
    </row>
    <row r="228" ht="15.75" customHeight="1">
      <c r="A228" s="22" t="s">
        <v>6959</v>
      </c>
      <c r="B228" s="22" t="s">
        <v>6960</v>
      </c>
      <c r="C228" s="22"/>
      <c r="D228" s="22" t="s">
        <v>6961</v>
      </c>
      <c r="E228" s="22" t="s">
        <v>55</v>
      </c>
      <c r="F228" s="22" t="s">
        <v>55</v>
      </c>
      <c r="G228" s="22" t="s">
        <v>6962</v>
      </c>
      <c r="H228" s="22" t="s">
        <v>6963</v>
      </c>
      <c r="I228" s="22" t="s">
        <v>5495</v>
      </c>
      <c r="J228" s="22"/>
      <c r="K228" s="22" t="s">
        <v>6601</v>
      </c>
      <c r="L228" s="22" t="s">
        <v>278</v>
      </c>
      <c r="M228" s="22" t="s">
        <v>6623</v>
      </c>
    </row>
    <row r="229" ht="15.75" customHeight="1">
      <c r="A229" s="20" t="s">
        <v>6964</v>
      </c>
      <c r="B229" s="20" t="s">
        <v>6965</v>
      </c>
      <c r="C229" s="20" t="s">
        <v>6966</v>
      </c>
      <c r="D229" s="20" t="s">
        <v>6967</v>
      </c>
      <c r="E229" s="20" t="s">
        <v>55</v>
      </c>
      <c r="F229" s="20" t="s">
        <v>55</v>
      </c>
      <c r="G229" s="20" t="s">
        <v>6968</v>
      </c>
      <c r="H229" s="20"/>
      <c r="I229" s="20" t="s">
        <v>5495</v>
      </c>
      <c r="J229" s="21"/>
      <c r="K229" s="21" t="s">
        <v>6645</v>
      </c>
      <c r="L229" s="21" t="s">
        <v>6677</v>
      </c>
      <c r="M229" s="21" t="s">
        <v>816</v>
      </c>
    </row>
    <row r="230" ht="15.75" customHeight="1">
      <c r="A230" s="22" t="s">
        <v>5724</v>
      </c>
      <c r="B230" s="22" t="s">
        <v>5725</v>
      </c>
      <c r="C230" s="22" t="s">
        <v>6969</v>
      </c>
      <c r="D230" s="22" t="s">
        <v>6970</v>
      </c>
      <c r="E230" s="22" t="s">
        <v>55</v>
      </c>
      <c r="F230" s="22" t="s">
        <v>55</v>
      </c>
      <c r="G230" s="22" t="s">
        <v>6971</v>
      </c>
      <c r="H230" s="22" t="s">
        <v>6972</v>
      </c>
      <c r="I230" s="22" t="s">
        <v>5495</v>
      </c>
      <c r="J230" s="22"/>
      <c r="K230" s="22" t="s">
        <v>6668</v>
      </c>
      <c r="L230" s="22"/>
      <c r="M230" s="22" t="s">
        <v>6623</v>
      </c>
    </row>
    <row r="231" ht="15.75" customHeight="1">
      <c r="A231" s="20" t="s">
        <v>6973</v>
      </c>
      <c r="B231" s="20" t="s">
        <v>6974</v>
      </c>
      <c r="C231" s="20" t="s">
        <v>6975</v>
      </c>
      <c r="D231" s="20" t="s">
        <v>6976</v>
      </c>
      <c r="E231" s="20" t="s">
        <v>55</v>
      </c>
      <c r="F231" s="20" t="s">
        <v>55</v>
      </c>
      <c r="G231" s="20" t="s">
        <v>6977</v>
      </c>
      <c r="H231" s="20"/>
      <c r="I231" s="20" t="s">
        <v>5495</v>
      </c>
      <c r="J231" s="21"/>
      <c r="K231" s="21" t="s">
        <v>6645</v>
      </c>
      <c r="L231" s="21" t="s">
        <v>5098</v>
      </c>
      <c r="M231" s="21" t="s">
        <v>6978</v>
      </c>
    </row>
    <row r="232" ht="15.75" customHeight="1">
      <c r="A232" s="22" t="s">
        <v>6979</v>
      </c>
      <c r="B232" s="22" t="s">
        <v>6980</v>
      </c>
      <c r="C232" s="22" t="s">
        <v>6981</v>
      </c>
      <c r="D232" s="22" t="s">
        <v>6982</v>
      </c>
      <c r="E232" s="22" t="s">
        <v>55</v>
      </c>
      <c r="F232" s="22" t="s">
        <v>55</v>
      </c>
      <c r="G232" s="22" t="s">
        <v>6983</v>
      </c>
      <c r="H232" s="22"/>
      <c r="I232" s="22" t="s">
        <v>5495</v>
      </c>
      <c r="J232" s="22"/>
      <c r="K232" s="22" t="s">
        <v>6668</v>
      </c>
      <c r="L232" s="22" t="s">
        <v>5665</v>
      </c>
      <c r="M232" s="22" t="s">
        <v>6984</v>
      </c>
    </row>
    <row r="233" ht="15.75" customHeight="1">
      <c r="A233" s="20" t="s">
        <v>6985</v>
      </c>
      <c r="B233" s="20" t="s">
        <v>6986</v>
      </c>
      <c r="C233" s="20" t="s">
        <v>6987</v>
      </c>
      <c r="D233" s="20" t="s">
        <v>6988</v>
      </c>
      <c r="E233" s="20" t="s">
        <v>55</v>
      </c>
      <c r="F233" s="20" t="s">
        <v>55</v>
      </c>
      <c r="G233" s="20" t="s">
        <v>6989</v>
      </c>
      <c r="H233" s="20" t="s">
        <v>6990</v>
      </c>
      <c r="I233" s="20" t="s">
        <v>5495</v>
      </c>
      <c r="J233" s="21"/>
      <c r="K233" s="21" t="s">
        <v>6991</v>
      </c>
      <c r="L233" s="21" t="s">
        <v>6123</v>
      </c>
      <c r="M233" s="21"/>
    </row>
    <row r="234" ht="15.75" customHeight="1">
      <c r="A234" s="22" t="s">
        <v>6992</v>
      </c>
      <c r="B234" s="22" t="s">
        <v>6993</v>
      </c>
      <c r="C234" s="22" t="s">
        <v>6994</v>
      </c>
      <c r="D234" s="22" t="s">
        <v>6995</v>
      </c>
      <c r="E234" s="22" t="s">
        <v>55</v>
      </c>
      <c r="F234" s="22" t="s">
        <v>55</v>
      </c>
      <c r="G234" s="22" t="s">
        <v>6996</v>
      </c>
      <c r="H234" s="22" t="s">
        <v>6997</v>
      </c>
      <c r="I234" s="22" t="s">
        <v>5495</v>
      </c>
      <c r="J234" s="22"/>
      <c r="K234" s="22" t="s">
        <v>6668</v>
      </c>
      <c r="L234" s="22" t="s">
        <v>6653</v>
      </c>
      <c r="M234" s="22" t="s">
        <v>6998</v>
      </c>
    </row>
    <row r="235" ht="15.75" customHeight="1">
      <c r="A235" s="20" t="s">
        <v>6999</v>
      </c>
      <c r="B235" s="20" t="s">
        <v>7000</v>
      </c>
      <c r="C235" s="20" t="s">
        <v>7001</v>
      </c>
      <c r="D235" s="20" t="s">
        <v>7002</v>
      </c>
      <c r="E235" s="20" t="s">
        <v>55</v>
      </c>
      <c r="F235" s="20" t="s">
        <v>55</v>
      </c>
      <c r="G235" s="20" t="s">
        <v>7003</v>
      </c>
      <c r="H235" s="20" t="s">
        <v>7004</v>
      </c>
      <c r="I235" s="20" t="s">
        <v>5495</v>
      </c>
      <c r="J235" s="21"/>
      <c r="K235" s="21" t="s">
        <v>6661</v>
      </c>
      <c r="L235" s="21" t="s">
        <v>1649</v>
      </c>
      <c r="M235" s="21" t="s">
        <v>7005</v>
      </c>
    </row>
    <row r="236" ht="15.75" customHeight="1">
      <c r="A236" s="22" t="s">
        <v>7006</v>
      </c>
      <c r="B236" s="22" t="s">
        <v>7007</v>
      </c>
      <c r="C236" s="22" t="s">
        <v>7008</v>
      </c>
      <c r="D236" s="22" t="s">
        <v>7009</v>
      </c>
      <c r="E236" s="22" t="s">
        <v>55</v>
      </c>
      <c r="F236" s="22" t="s">
        <v>55</v>
      </c>
      <c r="G236" s="22" t="s">
        <v>7010</v>
      </c>
      <c r="H236" s="22"/>
      <c r="I236" s="22" t="s">
        <v>5495</v>
      </c>
      <c r="J236" s="22"/>
      <c r="K236" s="22" t="s">
        <v>6601</v>
      </c>
      <c r="L236" s="22"/>
      <c r="M236" s="22"/>
    </row>
    <row r="237" ht="15.75" customHeight="1">
      <c r="A237" s="20" t="s">
        <v>7011</v>
      </c>
      <c r="B237" s="20" t="s">
        <v>7012</v>
      </c>
      <c r="C237" s="20" t="s">
        <v>7013</v>
      </c>
      <c r="D237" s="20" t="s">
        <v>7014</v>
      </c>
      <c r="E237" s="20" t="s">
        <v>55</v>
      </c>
      <c r="F237" s="20" t="s">
        <v>55</v>
      </c>
      <c r="G237" s="20" t="s">
        <v>7015</v>
      </c>
      <c r="H237" s="20" t="s">
        <v>7016</v>
      </c>
      <c r="I237" s="20" t="s">
        <v>5495</v>
      </c>
      <c r="J237" s="21"/>
      <c r="K237" s="21" t="s">
        <v>6609</v>
      </c>
      <c r="L237" s="21" t="s">
        <v>5607</v>
      </c>
      <c r="M237" s="21"/>
    </row>
    <row r="238" ht="15.75" customHeight="1">
      <c r="A238" s="22" t="s">
        <v>7017</v>
      </c>
      <c r="B238" s="22" t="s">
        <v>7018</v>
      </c>
      <c r="C238" s="22" t="s">
        <v>7019</v>
      </c>
      <c r="D238" s="22" t="s">
        <v>7020</v>
      </c>
      <c r="E238" s="22" t="s">
        <v>55</v>
      </c>
      <c r="F238" s="22" t="s">
        <v>55</v>
      </c>
      <c r="G238" s="22" t="s">
        <v>7021</v>
      </c>
      <c r="H238" s="22" t="s">
        <v>7022</v>
      </c>
      <c r="I238" s="22" t="s">
        <v>5495</v>
      </c>
      <c r="J238" s="22"/>
      <c r="K238" s="22" t="s">
        <v>6906</v>
      </c>
      <c r="L238" s="22" t="s">
        <v>5987</v>
      </c>
      <c r="M238" s="22"/>
    </row>
    <row r="239" ht="15.75" customHeight="1">
      <c r="A239" s="20" t="s">
        <v>7023</v>
      </c>
      <c r="B239" s="20" t="s">
        <v>3048</v>
      </c>
      <c r="C239" s="20" t="s">
        <v>7024</v>
      </c>
      <c r="D239" s="20" t="s">
        <v>7025</v>
      </c>
      <c r="E239" s="20" t="s">
        <v>55</v>
      </c>
      <c r="F239" s="20" t="s">
        <v>55</v>
      </c>
      <c r="G239" s="20" t="s">
        <v>7026</v>
      </c>
      <c r="H239" s="20" t="s">
        <v>7027</v>
      </c>
      <c r="I239" s="20" t="s">
        <v>5495</v>
      </c>
      <c r="J239" s="21"/>
      <c r="K239" s="21" t="s">
        <v>7028</v>
      </c>
      <c r="L239" s="21" t="s">
        <v>7029</v>
      </c>
      <c r="M239" s="21"/>
    </row>
    <row r="240" ht="15.75" customHeight="1">
      <c r="A240" s="22" t="s">
        <v>7030</v>
      </c>
      <c r="B240" s="22" t="s">
        <v>7031</v>
      </c>
      <c r="C240" s="22"/>
      <c r="D240" s="22" t="s">
        <v>7032</v>
      </c>
      <c r="E240" s="22" t="s">
        <v>55</v>
      </c>
      <c r="F240" s="22" t="s">
        <v>55</v>
      </c>
      <c r="G240" s="22" t="s">
        <v>7033</v>
      </c>
      <c r="H240" s="22"/>
      <c r="I240" s="22" t="s">
        <v>5495</v>
      </c>
      <c r="J240" s="22"/>
      <c r="K240" s="22" t="s">
        <v>6753</v>
      </c>
      <c r="L240" s="22" t="s">
        <v>531</v>
      </c>
      <c r="M240" s="22"/>
    </row>
    <row r="241" ht="15.75" customHeight="1">
      <c r="A241" s="20" t="s">
        <v>7034</v>
      </c>
      <c r="B241" s="20" t="s">
        <v>7035</v>
      </c>
      <c r="C241" s="20" t="s">
        <v>7036</v>
      </c>
      <c r="D241" s="20" t="s">
        <v>7037</v>
      </c>
      <c r="E241" s="20" t="s">
        <v>55</v>
      </c>
      <c r="F241" s="20" t="s">
        <v>55</v>
      </c>
      <c r="G241" s="20" t="s">
        <v>7038</v>
      </c>
      <c r="H241" s="20" t="s">
        <v>7039</v>
      </c>
      <c r="I241" s="20" t="s">
        <v>5495</v>
      </c>
      <c r="J241" s="21"/>
      <c r="K241" s="21" t="s">
        <v>6652</v>
      </c>
      <c r="L241" s="21" t="s">
        <v>5665</v>
      </c>
      <c r="M241" s="21"/>
    </row>
    <row r="242" ht="15.75" customHeight="1">
      <c r="A242" s="22" t="s">
        <v>7040</v>
      </c>
      <c r="B242" s="22" t="s">
        <v>7041</v>
      </c>
      <c r="C242" s="22" t="s">
        <v>7042</v>
      </c>
      <c r="D242" s="22" t="s">
        <v>7043</v>
      </c>
      <c r="E242" s="22" t="s">
        <v>100</v>
      </c>
      <c r="F242" s="22" t="s">
        <v>100</v>
      </c>
      <c r="G242" s="22" t="s">
        <v>7044</v>
      </c>
      <c r="H242" s="22" t="s">
        <v>7045</v>
      </c>
      <c r="I242" s="22" t="s">
        <v>5495</v>
      </c>
      <c r="J242" s="22" t="s">
        <v>5519</v>
      </c>
      <c r="K242" s="22" t="s">
        <v>7046</v>
      </c>
      <c r="L242" s="22" t="s">
        <v>278</v>
      </c>
      <c r="M242" s="22"/>
    </row>
    <row r="243" ht="15.75" customHeight="1">
      <c r="A243" s="20" t="s">
        <v>7047</v>
      </c>
      <c r="B243" s="20" t="s">
        <v>7048</v>
      </c>
      <c r="C243" s="20" t="s">
        <v>7049</v>
      </c>
      <c r="D243" s="20"/>
      <c r="E243" s="20" t="s">
        <v>100</v>
      </c>
      <c r="F243" s="20" t="s">
        <v>100</v>
      </c>
      <c r="G243" s="20" t="s">
        <v>7050</v>
      </c>
      <c r="H243" s="20" t="s">
        <v>7051</v>
      </c>
      <c r="I243" s="20" t="s">
        <v>5495</v>
      </c>
      <c r="J243" s="21" t="s">
        <v>5519</v>
      </c>
      <c r="K243" s="21" t="s">
        <v>7052</v>
      </c>
      <c r="L243" s="21" t="s">
        <v>781</v>
      </c>
      <c r="M243" s="21"/>
    </row>
    <row r="244" ht="15.75" customHeight="1">
      <c r="A244" s="22" t="s">
        <v>7053</v>
      </c>
      <c r="B244" s="22" t="s">
        <v>7054</v>
      </c>
      <c r="C244" s="22" t="s">
        <v>7055</v>
      </c>
      <c r="D244" s="22" t="s">
        <v>7056</v>
      </c>
      <c r="E244" s="22" t="s">
        <v>100</v>
      </c>
      <c r="F244" s="22" t="s">
        <v>100</v>
      </c>
      <c r="G244" s="22" t="s">
        <v>7057</v>
      </c>
      <c r="H244" s="22" t="s">
        <v>7058</v>
      </c>
      <c r="I244" s="22" t="s">
        <v>5495</v>
      </c>
      <c r="J244" s="22" t="s">
        <v>5519</v>
      </c>
      <c r="K244" s="22" t="s">
        <v>7052</v>
      </c>
      <c r="L244" s="22" t="s">
        <v>6336</v>
      </c>
      <c r="M244" s="22"/>
    </row>
    <row r="245" ht="15.75" customHeight="1">
      <c r="A245" s="20" t="s">
        <v>7059</v>
      </c>
      <c r="B245" s="20" t="s">
        <v>7060</v>
      </c>
      <c r="C245" s="20" t="s">
        <v>6331</v>
      </c>
      <c r="D245" s="20" t="s">
        <v>7061</v>
      </c>
      <c r="E245" s="20" t="s">
        <v>100</v>
      </c>
      <c r="F245" s="20" t="s">
        <v>100</v>
      </c>
      <c r="G245" s="20" t="s">
        <v>7062</v>
      </c>
      <c r="H245" s="20"/>
      <c r="I245" s="20" t="s">
        <v>5495</v>
      </c>
      <c r="J245" s="21"/>
      <c r="K245" s="21" t="s">
        <v>7052</v>
      </c>
      <c r="L245" s="21" t="s">
        <v>6336</v>
      </c>
      <c r="M245" s="21"/>
    </row>
    <row r="246" ht="15.75" customHeight="1">
      <c r="A246" s="22" t="s">
        <v>7063</v>
      </c>
      <c r="B246" s="22" t="s">
        <v>7064</v>
      </c>
      <c r="C246" s="22" t="s">
        <v>7065</v>
      </c>
      <c r="D246" s="22" t="s">
        <v>7066</v>
      </c>
      <c r="E246" s="22" t="s">
        <v>7067</v>
      </c>
      <c r="F246" s="22" t="s">
        <v>231</v>
      </c>
      <c r="G246" s="22" t="s">
        <v>7068</v>
      </c>
      <c r="H246" s="22" t="s">
        <v>7069</v>
      </c>
      <c r="I246" s="22" t="s">
        <v>5495</v>
      </c>
      <c r="J246" s="22" t="s">
        <v>5650</v>
      </c>
      <c r="K246" s="22" t="s">
        <v>7070</v>
      </c>
      <c r="L246" s="22" t="s">
        <v>520</v>
      </c>
      <c r="M246" s="22"/>
    </row>
    <row r="247" ht="15.75" customHeight="1">
      <c r="A247" s="20" t="s">
        <v>7071</v>
      </c>
      <c r="B247" s="20" t="s">
        <v>7072</v>
      </c>
      <c r="C247" s="20" t="s">
        <v>7073</v>
      </c>
      <c r="D247" s="20" t="s">
        <v>7074</v>
      </c>
      <c r="E247" s="20" t="s">
        <v>7075</v>
      </c>
      <c r="F247" s="20" t="s">
        <v>231</v>
      </c>
      <c r="G247" s="20" t="s">
        <v>7076</v>
      </c>
      <c r="H247" s="20"/>
      <c r="I247" s="20" t="s">
        <v>5495</v>
      </c>
      <c r="J247" s="21" t="s">
        <v>5650</v>
      </c>
      <c r="K247" s="21" t="s">
        <v>7077</v>
      </c>
      <c r="L247" s="21" t="s">
        <v>5575</v>
      </c>
      <c r="M247" s="21"/>
    </row>
    <row r="248" ht="15.75" customHeight="1">
      <c r="A248" s="22" t="s">
        <v>7078</v>
      </c>
      <c r="B248" s="22" t="s">
        <v>7079</v>
      </c>
      <c r="C248" s="22" t="s">
        <v>7080</v>
      </c>
      <c r="D248" s="22" t="s">
        <v>7081</v>
      </c>
      <c r="E248" s="22" t="s">
        <v>7082</v>
      </c>
      <c r="F248" s="22" t="s">
        <v>7083</v>
      </c>
      <c r="G248" s="22" t="s">
        <v>7084</v>
      </c>
      <c r="H248" s="22" t="s">
        <v>7085</v>
      </c>
      <c r="I248" s="22" t="s">
        <v>5495</v>
      </c>
      <c r="J248" s="22"/>
      <c r="K248" s="22" t="s">
        <v>7086</v>
      </c>
      <c r="L248" s="22" t="s">
        <v>2110</v>
      </c>
      <c r="M248" s="22"/>
    </row>
    <row r="249" ht="15.75" customHeight="1">
      <c r="A249" s="20" t="s">
        <v>7087</v>
      </c>
      <c r="B249" s="20" t="s">
        <v>7088</v>
      </c>
      <c r="C249" s="20" t="s">
        <v>7089</v>
      </c>
      <c r="D249" s="20" t="s">
        <v>7090</v>
      </c>
      <c r="E249" s="20" t="s">
        <v>7091</v>
      </c>
      <c r="F249" s="20" t="s">
        <v>813</v>
      </c>
      <c r="G249" s="20" t="s">
        <v>7092</v>
      </c>
      <c r="H249" s="20" t="s">
        <v>7093</v>
      </c>
      <c r="I249" s="20" t="s">
        <v>5495</v>
      </c>
      <c r="J249" s="21" t="s">
        <v>5542</v>
      </c>
      <c r="K249" s="21" t="s">
        <v>7094</v>
      </c>
      <c r="L249" s="21" t="s">
        <v>1986</v>
      </c>
      <c r="M249" s="21"/>
    </row>
    <row r="250" ht="15.75" customHeight="1">
      <c r="A250" s="22" t="s">
        <v>7095</v>
      </c>
      <c r="B250" s="22" t="s">
        <v>7096</v>
      </c>
      <c r="C250" s="22" t="s">
        <v>7097</v>
      </c>
      <c r="D250" s="22" t="s">
        <v>7098</v>
      </c>
      <c r="E250" s="22" t="s">
        <v>7099</v>
      </c>
      <c r="F250" s="22" t="s">
        <v>231</v>
      </c>
      <c r="G250" s="22" t="s">
        <v>7100</v>
      </c>
      <c r="H250" s="22"/>
      <c r="I250" s="22" t="s">
        <v>5495</v>
      </c>
      <c r="J250" s="22" t="s">
        <v>5650</v>
      </c>
      <c r="K250" s="22" t="s">
        <v>7101</v>
      </c>
      <c r="L250" s="22" t="s">
        <v>5506</v>
      </c>
      <c r="M250" s="22"/>
    </row>
    <row r="251" ht="15.75" customHeight="1">
      <c r="A251" s="20" t="s">
        <v>7102</v>
      </c>
      <c r="B251" s="20" t="s">
        <v>7103</v>
      </c>
      <c r="C251" s="20" t="s">
        <v>7104</v>
      </c>
      <c r="D251" s="20" t="s">
        <v>7105</v>
      </c>
      <c r="E251" s="20" t="s">
        <v>7099</v>
      </c>
      <c r="F251" s="20" t="s">
        <v>231</v>
      </c>
      <c r="G251" s="20" t="s">
        <v>7106</v>
      </c>
      <c r="H251" s="20"/>
      <c r="I251" s="20" t="s">
        <v>5495</v>
      </c>
      <c r="J251" s="21"/>
      <c r="K251" s="21" t="s">
        <v>7101</v>
      </c>
      <c r="L251" s="21" t="s">
        <v>520</v>
      </c>
      <c r="M251" s="21"/>
    </row>
    <row r="252" ht="15.75" customHeight="1">
      <c r="A252" s="22" t="s">
        <v>7107</v>
      </c>
      <c r="B252" s="22" t="s">
        <v>7108</v>
      </c>
      <c r="C252" s="22" t="s">
        <v>7109</v>
      </c>
      <c r="D252" s="22" t="s">
        <v>7110</v>
      </c>
      <c r="E252" s="22" t="s">
        <v>7111</v>
      </c>
      <c r="F252" s="22" t="s">
        <v>1352</v>
      </c>
      <c r="G252" s="22" t="s">
        <v>7112</v>
      </c>
      <c r="H252" s="22" t="s">
        <v>7113</v>
      </c>
      <c r="I252" s="22" t="s">
        <v>5495</v>
      </c>
      <c r="J252" s="22" t="s">
        <v>5605</v>
      </c>
      <c r="K252" s="22" t="s">
        <v>7114</v>
      </c>
      <c r="L252" s="22" t="s">
        <v>3486</v>
      </c>
      <c r="M252" s="22"/>
    </row>
    <row r="253" ht="15.75" customHeight="1">
      <c r="A253" s="20" t="s">
        <v>7115</v>
      </c>
      <c r="B253" s="20" t="s">
        <v>7116</v>
      </c>
      <c r="C253" s="20" t="s">
        <v>7117</v>
      </c>
      <c r="D253" s="20"/>
      <c r="E253" s="20" t="s">
        <v>7118</v>
      </c>
      <c r="F253" s="20" t="s">
        <v>926</v>
      </c>
      <c r="G253" s="20" t="s">
        <v>7119</v>
      </c>
      <c r="H253" s="20" t="s">
        <v>7120</v>
      </c>
      <c r="I253" s="20" t="s">
        <v>5495</v>
      </c>
      <c r="J253" s="21" t="s">
        <v>5496</v>
      </c>
      <c r="K253" s="21" t="s">
        <v>7121</v>
      </c>
      <c r="L253" s="21"/>
      <c r="M253" s="21"/>
    </row>
    <row r="254" ht="15.75" customHeight="1">
      <c r="A254" s="22" t="s">
        <v>7122</v>
      </c>
      <c r="B254" s="22" t="s">
        <v>7123</v>
      </c>
      <c r="C254" s="22" t="s">
        <v>7124</v>
      </c>
      <c r="D254" s="22" t="s">
        <v>7125</v>
      </c>
      <c r="E254" s="22" t="s">
        <v>7118</v>
      </c>
      <c r="F254" s="22" t="s">
        <v>926</v>
      </c>
      <c r="G254" s="22" t="s">
        <v>7126</v>
      </c>
      <c r="H254" s="22" t="s">
        <v>7127</v>
      </c>
      <c r="I254" s="22" t="s">
        <v>5495</v>
      </c>
      <c r="J254" s="22" t="s">
        <v>5496</v>
      </c>
      <c r="K254" s="22" t="s">
        <v>7121</v>
      </c>
      <c r="L254" s="22" t="s">
        <v>5098</v>
      </c>
      <c r="M254" s="22"/>
    </row>
    <row r="255" ht="15.75" customHeight="1">
      <c r="A255" s="20" t="s">
        <v>7128</v>
      </c>
      <c r="B255" s="20" t="s">
        <v>7129</v>
      </c>
      <c r="C255" s="20" t="s">
        <v>7130</v>
      </c>
      <c r="D255" s="20" t="s">
        <v>7131</v>
      </c>
      <c r="E255" s="20" t="s">
        <v>7132</v>
      </c>
      <c r="F255" s="20" t="s">
        <v>129</v>
      </c>
      <c r="G255" s="20" t="s">
        <v>7133</v>
      </c>
      <c r="H255" s="20" t="s">
        <v>7134</v>
      </c>
      <c r="I255" s="20" t="s">
        <v>5495</v>
      </c>
      <c r="J255" s="21" t="s">
        <v>5560</v>
      </c>
      <c r="K255" s="21" t="s">
        <v>7135</v>
      </c>
      <c r="L255" s="21" t="s">
        <v>7136</v>
      </c>
      <c r="M255" s="21"/>
    </row>
    <row r="256" ht="15.75" customHeight="1">
      <c r="A256" s="22" t="s">
        <v>7137</v>
      </c>
      <c r="B256" s="22" t="s">
        <v>7138</v>
      </c>
      <c r="C256" s="22" t="s">
        <v>7139</v>
      </c>
      <c r="D256" s="22" t="s">
        <v>7140</v>
      </c>
      <c r="E256" s="22" t="s">
        <v>7132</v>
      </c>
      <c r="F256" s="22" t="s">
        <v>129</v>
      </c>
      <c r="G256" s="22" t="s">
        <v>7141</v>
      </c>
      <c r="H256" s="22"/>
      <c r="I256" s="22" t="s">
        <v>5495</v>
      </c>
      <c r="J256" s="22"/>
      <c r="K256" s="22" t="s">
        <v>7135</v>
      </c>
      <c r="L256" s="22" t="s">
        <v>7142</v>
      </c>
      <c r="M256" s="22"/>
    </row>
    <row r="257" ht="15.75" customHeight="1">
      <c r="A257" s="20" t="s">
        <v>7143</v>
      </c>
      <c r="B257" s="20" t="s">
        <v>7144</v>
      </c>
      <c r="C257" s="20" t="s">
        <v>7145</v>
      </c>
      <c r="D257" s="20" t="s">
        <v>7146</v>
      </c>
      <c r="E257" s="20" t="s">
        <v>7147</v>
      </c>
      <c r="F257" s="20" t="s">
        <v>55</v>
      </c>
      <c r="G257" s="20" t="s">
        <v>7148</v>
      </c>
      <c r="H257" s="20" t="s">
        <v>7149</v>
      </c>
      <c r="I257" s="20" t="s">
        <v>5495</v>
      </c>
      <c r="J257" s="21" t="s">
        <v>6592</v>
      </c>
      <c r="K257" s="21" t="s">
        <v>7150</v>
      </c>
      <c r="L257" s="21" t="s">
        <v>7151</v>
      </c>
      <c r="M257" s="21" t="s">
        <v>7152</v>
      </c>
    </row>
    <row r="258" ht="15.75" customHeight="1">
      <c r="A258" s="22" t="s">
        <v>7153</v>
      </c>
      <c r="B258" s="22"/>
      <c r="C258" s="22" t="s">
        <v>7154</v>
      </c>
      <c r="D258" s="22"/>
      <c r="E258" s="22" t="s">
        <v>7155</v>
      </c>
      <c r="F258" s="22" t="s">
        <v>395</v>
      </c>
      <c r="G258" s="22" t="s">
        <v>7156</v>
      </c>
      <c r="H258" s="22"/>
      <c r="I258" s="22" t="s">
        <v>5495</v>
      </c>
      <c r="J258" s="22" t="s">
        <v>5552</v>
      </c>
      <c r="K258" s="22" t="s">
        <v>7157</v>
      </c>
      <c r="L258" s="22" t="s">
        <v>6084</v>
      </c>
      <c r="M258" s="22"/>
    </row>
    <row r="259" ht="15.75" customHeight="1">
      <c r="A259" s="20" t="s">
        <v>7158</v>
      </c>
      <c r="B259" s="20" t="s">
        <v>7159</v>
      </c>
      <c r="C259" s="20" t="s">
        <v>7160</v>
      </c>
      <c r="D259" s="20" t="s">
        <v>7161</v>
      </c>
      <c r="E259" s="20" t="s">
        <v>7162</v>
      </c>
      <c r="F259" s="20" t="s">
        <v>1462</v>
      </c>
      <c r="G259" s="20" t="s">
        <v>7163</v>
      </c>
      <c r="H259" s="20" t="s">
        <v>7164</v>
      </c>
      <c r="I259" s="20" t="s">
        <v>5495</v>
      </c>
      <c r="J259" s="21" t="s">
        <v>5496</v>
      </c>
      <c r="K259" s="21" t="s">
        <v>7165</v>
      </c>
      <c r="L259" s="21" t="s">
        <v>1901</v>
      </c>
      <c r="M259" s="21"/>
    </row>
    <row r="260" ht="15.75" customHeight="1">
      <c r="A260" s="22" t="s">
        <v>7166</v>
      </c>
      <c r="B260" s="22" t="s">
        <v>7167</v>
      </c>
      <c r="C260" s="22" t="s">
        <v>7168</v>
      </c>
      <c r="D260" s="22" t="s">
        <v>7169</v>
      </c>
      <c r="E260" s="22" t="s">
        <v>7170</v>
      </c>
      <c r="F260" s="22" t="s">
        <v>55</v>
      </c>
      <c r="G260" s="22" t="s">
        <v>7171</v>
      </c>
      <c r="H260" s="22" t="s">
        <v>7172</v>
      </c>
      <c r="I260" s="22" t="s">
        <v>5495</v>
      </c>
      <c r="J260" s="22"/>
      <c r="K260" s="22" t="s">
        <v>7173</v>
      </c>
      <c r="L260" s="22" t="s">
        <v>531</v>
      </c>
      <c r="M260" s="22" t="s">
        <v>6670</v>
      </c>
    </row>
    <row r="261" ht="15.75" customHeight="1">
      <c r="A261" s="20" t="s">
        <v>7174</v>
      </c>
      <c r="B261" s="20" t="s">
        <v>7175</v>
      </c>
      <c r="C261" s="20" t="s">
        <v>7176</v>
      </c>
      <c r="D261" s="20" t="s">
        <v>7177</v>
      </c>
      <c r="E261" s="20" t="s">
        <v>395</v>
      </c>
      <c r="F261" s="20" t="s">
        <v>395</v>
      </c>
      <c r="G261" s="20" t="s">
        <v>7178</v>
      </c>
      <c r="H261" s="20" t="s">
        <v>7179</v>
      </c>
      <c r="I261" s="20" t="s">
        <v>5495</v>
      </c>
      <c r="J261" s="21" t="s">
        <v>5552</v>
      </c>
      <c r="K261" s="21" t="s">
        <v>7180</v>
      </c>
      <c r="L261" s="21" t="s">
        <v>941</v>
      </c>
      <c r="M261" s="21"/>
    </row>
    <row r="262" ht="15.75" customHeight="1">
      <c r="A262" s="22" t="s">
        <v>7181</v>
      </c>
      <c r="B262" s="22" t="s">
        <v>7182</v>
      </c>
      <c r="C262" s="22" t="s">
        <v>7183</v>
      </c>
      <c r="D262" s="22" t="s">
        <v>7184</v>
      </c>
      <c r="E262" s="22" t="s">
        <v>395</v>
      </c>
      <c r="F262" s="22" t="s">
        <v>395</v>
      </c>
      <c r="G262" s="22" t="s">
        <v>7185</v>
      </c>
      <c r="H262" s="22" t="s">
        <v>7186</v>
      </c>
      <c r="I262" s="22" t="s">
        <v>5495</v>
      </c>
      <c r="J262" s="22" t="s">
        <v>5552</v>
      </c>
      <c r="K262" s="22" t="s">
        <v>7187</v>
      </c>
      <c r="L262" s="22" t="s">
        <v>3486</v>
      </c>
      <c r="M262" s="22"/>
    </row>
    <row r="263" ht="15.75" customHeight="1">
      <c r="A263" s="20" t="s">
        <v>7188</v>
      </c>
      <c r="B263" s="20" t="s">
        <v>7189</v>
      </c>
      <c r="C263" s="20" t="s">
        <v>7190</v>
      </c>
      <c r="D263" s="20" t="s">
        <v>7191</v>
      </c>
      <c r="E263" s="20" t="s">
        <v>395</v>
      </c>
      <c r="F263" s="20" t="s">
        <v>395</v>
      </c>
      <c r="G263" s="20" t="s">
        <v>7192</v>
      </c>
      <c r="H263" s="20" t="s">
        <v>7193</v>
      </c>
      <c r="I263" s="20" t="s">
        <v>5495</v>
      </c>
      <c r="J263" s="21" t="s">
        <v>5552</v>
      </c>
      <c r="K263" s="21" t="s">
        <v>7194</v>
      </c>
      <c r="L263" s="21" t="s">
        <v>941</v>
      </c>
      <c r="M263" s="21"/>
    </row>
    <row r="264" ht="15.75" customHeight="1">
      <c r="A264" s="22" t="s">
        <v>7195</v>
      </c>
      <c r="B264" s="22" t="s">
        <v>7196</v>
      </c>
      <c r="C264" s="22" t="s">
        <v>7197</v>
      </c>
      <c r="D264" s="22" t="s">
        <v>7198</v>
      </c>
      <c r="E264" s="22" t="s">
        <v>395</v>
      </c>
      <c r="F264" s="22" t="s">
        <v>395</v>
      </c>
      <c r="G264" s="22" t="s">
        <v>7199</v>
      </c>
      <c r="H264" s="22" t="s">
        <v>7200</v>
      </c>
      <c r="I264" s="22" t="s">
        <v>5495</v>
      </c>
      <c r="J264" s="22" t="s">
        <v>5552</v>
      </c>
      <c r="K264" s="22" t="s">
        <v>7187</v>
      </c>
      <c r="L264" s="22" t="s">
        <v>7201</v>
      </c>
      <c r="M264" s="22"/>
    </row>
    <row r="265" ht="15.75" customHeight="1">
      <c r="A265" s="20" t="s">
        <v>7202</v>
      </c>
      <c r="B265" s="20" t="s">
        <v>7203</v>
      </c>
      <c r="C265" s="20" t="s">
        <v>7204</v>
      </c>
      <c r="D265" s="20" t="s">
        <v>7205</v>
      </c>
      <c r="E265" s="20" t="s">
        <v>395</v>
      </c>
      <c r="F265" s="20" t="s">
        <v>395</v>
      </c>
      <c r="G265" s="20" t="s">
        <v>7206</v>
      </c>
      <c r="H265" s="20" t="s">
        <v>7207</v>
      </c>
      <c r="I265" s="20" t="s">
        <v>5495</v>
      </c>
      <c r="J265" s="21" t="s">
        <v>5552</v>
      </c>
      <c r="K265" s="21" t="s">
        <v>7180</v>
      </c>
      <c r="L265" s="21" t="s">
        <v>902</v>
      </c>
      <c r="M265" s="21"/>
    </row>
    <row r="266" ht="15.75" customHeight="1">
      <c r="A266" s="22" t="s">
        <v>7208</v>
      </c>
      <c r="B266" s="22" t="s">
        <v>7209</v>
      </c>
      <c r="C266" s="22" t="s">
        <v>7210</v>
      </c>
      <c r="D266" s="22" t="s">
        <v>7211</v>
      </c>
      <c r="E266" s="22" t="s">
        <v>395</v>
      </c>
      <c r="F266" s="22" t="s">
        <v>395</v>
      </c>
      <c r="G266" s="22" t="s">
        <v>7212</v>
      </c>
      <c r="H266" s="22" t="s">
        <v>7213</v>
      </c>
      <c r="I266" s="22" t="s">
        <v>5495</v>
      </c>
      <c r="J266" s="22" t="s">
        <v>5552</v>
      </c>
      <c r="K266" s="22" t="s">
        <v>7180</v>
      </c>
      <c r="L266" s="22" t="s">
        <v>5912</v>
      </c>
      <c r="M266" s="22"/>
    </row>
    <row r="267" ht="15.75" customHeight="1">
      <c r="A267" s="20" t="s">
        <v>7214</v>
      </c>
      <c r="B267" s="20" t="s">
        <v>7215</v>
      </c>
      <c r="C267" s="20" t="s">
        <v>7216</v>
      </c>
      <c r="D267" s="20" t="s">
        <v>7217</v>
      </c>
      <c r="E267" s="20" t="s">
        <v>395</v>
      </c>
      <c r="F267" s="20" t="s">
        <v>395</v>
      </c>
      <c r="G267" s="20" t="s">
        <v>7218</v>
      </c>
      <c r="H267" s="20"/>
      <c r="I267" s="20" t="s">
        <v>5495</v>
      </c>
      <c r="J267" s="21" t="s">
        <v>6185</v>
      </c>
      <c r="K267" s="21" t="s">
        <v>7187</v>
      </c>
      <c r="L267" s="21"/>
      <c r="M267" s="21"/>
    </row>
    <row r="268" ht="15.75" customHeight="1">
      <c r="A268" s="22" t="s">
        <v>7219</v>
      </c>
      <c r="B268" s="22" t="s">
        <v>7220</v>
      </c>
      <c r="C268" s="22"/>
      <c r="D268" s="22"/>
      <c r="E268" s="22" t="s">
        <v>395</v>
      </c>
      <c r="F268" s="22" t="s">
        <v>395</v>
      </c>
      <c r="G268" s="22" t="s">
        <v>7221</v>
      </c>
      <c r="H268" s="22"/>
      <c r="I268" s="22" t="s">
        <v>5495</v>
      </c>
      <c r="J268" s="22" t="s">
        <v>6185</v>
      </c>
      <c r="K268" s="22" t="s">
        <v>7187</v>
      </c>
      <c r="L268" s="22"/>
      <c r="M268" s="22"/>
    </row>
    <row r="269" ht="15.75" customHeight="1">
      <c r="A269" s="20" t="s">
        <v>7222</v>
      </c>
      <c r="B269" s="20" t="s">
        <v>7223</v>
      </c>
      <c r="C269" s="20" t="s">
        <v>7224</v>
      </c>
      <c r="D269" s="20" t="s">
        <v>7225</v>
      </c>
      <c r="E269" s="20" t="s">
        <v>395</v>
      </c>
      <c r="F269" s="20" t="s">
        <v>395</v>
      </c>
      <c r="G269" s="20" t="s">
        <v>7226</v>
      </c>
      <c r="H269" s="20"/>
      <c r="I269" s="20" t="s">
        <v>5495</v>
      </c>
      <c r="J269" s="21" t="s">
        <v>6185</v>
      </c>
      <c r="K269" s="21" t="s">
        <v>7187</v>
      </c>
      <c r="L269" s="21"/>
      <c r="M269" s="21"/>
    </row>
    <row r="270" ht="15.75" customHeight="1">
      <c r="A270" s="22" t="s">
        <v>7227</v>
      </c>
      <c r="B270" s="22" t="s">
        <v>7228</v>
      </c>
      <c r="C270" s="22" t="s">
        <v>7229</v>
      </c>
      <c r="D270" s="22" t="s">
        <v>7230</v>
      </c>
      <c r="E270" s="22" t="s">
        <v>4668</v>
      </c>
      <c r="F270" s="22" t="s">
        <v>111</v>
      </c>
      <c r="G270" s="22" t="s">
        <v>7231</v>
      </c>
      <c r="H270" s="22" t="s">
        <v>7232</v>
      </c>
      <c r="I270" s="22" t="s">
        <v>5495</v>
      </c>
      <c r="J270" s="22" t="s">
        <v>5496</v>
      </c>
      <c r="K270" s="22" t="s">
        <v>6001</v>
      </c>
      <c r="L270" s="22" t="s">
        <v>5575</v>
      </c>
      <c r="M270" s="22"/>
    </row>
    <row r="271" ht="15.75" customHeight="1">
      <c r="A271" s="20" t="s">
        <v>7233</v>
      </c>
      <c r="B271" s="20" t="s">
        <v>7234</v>
      </c>
      <c r="C271" s="20" t="s">
        <v>7235</v>
      </c>
      <c r="D271" s="20" t="s">
        <v>7236</v>
      </c>
      <c r="E271" s="20" t="s">
        <v>7237</v>
      </c>
      <c r="F271" s="20" t="s">
        <v>1462</v>
      </c>
      <c r="G271" s="20" t="s">
        <v>7238</v>
      </c>
      <c r="H271" s="20" t="s">
        <v>7239</v>
      </c>
      <c r="I271" s="20" t="s">
        <v>5495</v>
      </c>
      <c r="J271" s="21" t="s">
        <v>5496</v>
      </c>
      <c r="K271" s="21" t="s">
        <v>7240</v>
      </c>
      <c r="L271" s="21" t="s">
        <v>3486</v>
      </c>
      <c r="M271" s="21"/>
    </row>
    <row r="272" ht="15.75" customHeight="1">
      <c r="A272" s="22" t="s">
        <v>7241</v>
      </c>
      <c r="B272" s="22" t="s">
        <v>7242</v>
      </c>
      <c r="C272" s="22" t="s">
        <v>7243</v>
      </c>
      <c r="D272" s="22" t="s">
        <v>7244</v>
      </c>
      <c r="E272" s="22" t="s">
        <v>7245</v>
      </c>
      <c r="F272" s="22" t="s">
        <v>731</v>
      </c>
      <c r="G272" s="22" t="s">
        <v>7246</v>
      </c>
      <c r="H272" s="22" t="s">
        <v>7247</v>
      </c>
      <c r="I272" s="22" t="s">
        <v>5495</v>
      </c>
      <c r="J272" s="22" t="s">
        <v>5628</v>
      </c>
      <c r="K272" s="22" t="s">
        <v>7248</v>
      </c>
      <c r="L272" s="22" t="s">
        <v>531</v>
      </c>
      <c r="M272" s="22"/>
    </row>
    <row r="273" ht="15.75" customHeight="1">
      <c r="A273" s="20" t="s">
        <v>7249</v>
      </c>
      <c r="B273" s="20" t="s">
        <v>7250</v>
      </c>
      <c r="C273" s="20" t="s">
        <v>7251</v>
      </c>
      <c r="D273" s="20" t="s">
        <v>7252</v>
      </c>
      <c r="E273" s="20" t="s">
        <v>111</v>
      </c>
      <c r="F273" s="20" t="s">
        <v>111</v>
      </c>
      <c r="G273" s="20" t="s">
        <v>7253</v>
      </c>
      <c r="H273" s="20" t="s">
        <v>7254</v>
      </c>
      <c r="I273" s="20" t="s">
        <v>5495</v>
      </c>
      <c r="J273" s="21" t="s">
        <v>5496</v>
      </c>
      <c r="K273" s="21" t="s">
        <v>7255</v>
      </c>
      <c r="L273" s="21" t="s">
        <v>5498</v>
      </c>
      <c r="M273" s="21"/>
    </row>
    <row r="274" ht="15.75" customHeight="1">
      <c r="A274" s="22" t="s">
        <v>7256</v>
      </c>
      <c r="B274" s="22" t="s">
        <v>7257</v>
      </c>
      <c r="C274" s="22" t="s">
        <v>7258</v>
      </c>
      <c r="D274" s="22" t="s">
        <v>7259</v>
      </c>
      <c r="E274" s="22" t="s">
        <v>111</v>
      </c>
      <c r="F274" s="22" t="s">
        <v>111</v>
      </c>
      <c r="G274" s="22" t="s">
        <v>7260</v>
      </c>
      <c r="H274" s="22"/>
      <c r="I274" s="22" t="s">
        <v>5495</v>
      </c>
      <c r="J274" s="22"/>
      <c r="K274" s="22" t="s">
        <v>7261</v>
      </c>
      <c r="L274" s="22" t="s">
        <v>5498</v>
      </c>
      <c r="M274" s="22"/>
    </row>
    <row r="275" ht="15.75" customHeight="1">
      <c r="A275" s="20" t="s">
        <v>7262</v>
      </c>
      <c r="B275" s="20" t="s">
        <v>7263</v>
      </c>
      <c r="C275" s="20"/>
      <c r="D275" s="20" t="s">
        <v>7264</v>
      </c>
      <c r="E275" s="20" t="s">
        <v>7265</v>
      </c>
      <c r="F275" s="20" t="s">
        <v>1612</v>
      </c>
      <c r="G275" s="20" t="s">
        <v>7266</v>
      </c>
      <c r="H275" s="20" t="s">
        <v>7267</v>
      </c>
      <c r="I275" s="20" t="s">
        <v>5495</v>
      </c>
      <c r="J275" s="21" t="s">
        <v>5560</v>
      </c>
      <c r="K275" s="21" t="s">
        <v>7268</v>
      </c>
      <c r="L275" s="21" t="s">
        <v>7269</v>
      </c>
      <c r="M275" s="21"/>
    </row>
    <row r="276" ht="15.75" customHeight="1">
      <c r="A276" s="22" t="s">
        <v>7270</v>
      </c>
      <c r="B276" s="22" t="s">
        <v>7271</v>
      </c>
      <c r="C276" s="22"/>
      <c r="D276" s="22" t="s">
        <v>7272</v>
      </c>
      <c r="E276" s="22" t="s">
        <v>2294</v>
      </c>
      <c r="F276" s="22" t="s">
        <v>2294</v>
      </c>
      <c r="G276" s="22" t="s">
        <v>7273</v>
      </c>
      <c r="H276" s="22" t="s">
        <v>7274</v>
      </c>
      <c r="I276" s="22" t="s">
        <v>5495</v>
      </c>
      <c r="J276" s="22"/>
      <c r="K276" s="22" t="s">
        <v>7275</v>
      </c>
      <c r="L276" s="22" t="s">
        <v>5886</v>
      </c>
      <c r="M276" s="22"/>
    </row>
    <row r="277" ht="15.75" customHeight="1">
      <c r="A277" s="20" t="s">
        <v>7276</v>
      </c>
      <c r="B277" s="20" t="s">
        <v>7277</v>
      </c>
      <c r="C277" s="20" t="s">
        <v>7278</v>
      </c>
      <c r="D277" s="20" t="s">
        <v>7279</v>
      </c>
      <c r="E277" s="20" t="s">
        <v>7280</v>
      </c>
      <c r="F277" s="20" t="s">
        <v>4846</v>
      </c>
      <c r="G277" s="20" t="s">
        <v>7281</v>
      </c>
      <c r="H277" s="20" t="s">
        <v>7282</v>
      </c>
      <c r="I277" s="20" t="s">
        <v>5495</v>
      </c>
      <c r="J277" s="21" t="s">
        <v>5650</v>
      </c>
      <c r="K277" s="21" t="s">
        <v>7283</v>
      </c>
      <c r="L277" s="21" t="s">
        <v>5498</v>
      </c>
      <c r="M277" s="21"/>
    </row>
    <row r="278" ht="15.75" customHeight="1">
      <c r="A278" s="22" t="s">
        <v>7284</v>
      </c>
      <c r="B278" s="22" t="s">
        <v>7285</v>
      </c>
      <c r="C278" s="22" t="s">
        <v>7286</v>
      </c>
      <c r="D278" s="22" t="s">
        <v>7287</v>
      </c>
      <c r="E278" s="22" t="s">
        <v>3994</v>
      </c>
      <c r="F278" s="22" t="s">
        <v>3994</v>
      </c>
      <c r="G278" s="22" t="s">
        <v>7288</v>
      </c>
      <c r="H278" s="22" t="s">
        <v>7289</v>
      </c>
      <c r="I278" s="22" t="s">
        <v>5495</v>
      </c>
      <c r="J278" s="22" t="s">
        <v>5605</v>
      </c>
      <c r="K278" s="22" t="s">
        <v>7290</v>
      </c>
      <c r="L278" s="22" t="s">
        <v>3486</v>
      </c>
      <c r="M278" s="22"/>
    </row>
    <row r="279" ht="15.75" customHeight="1">
      <c r="A279" s="20" t="s">
        <v>7291</v>
      </c>
      <c r="B279" s="20" t="s">
        <v>7292</v>
      </c>
      <c r="C279" s="20" t="s">
        <v>7293</v>
      </c>
      <c r="D279" s="20" t="s">
        <v>7294</v>
      </c>
      <c r="E279" s="20" t="s">
        <v>7295</v>
      </c>
      <c r="F279" s="20" t="s">
        <v>7083</v>
      </c>
      <c r="G279" s="20" t="s">
        <v>7296</v>
      </c>
      <c r="H279" s="20" t="s">
        <v>7297</v>
      </c>
      <c r="I279" s="20" t="s">
        <v>5495</v>
      </c>
      <c r="J279" s="21" t="s">
        <v>5519</v>
      </c>
      <c r="K279" s="21" t="s">
        <v>7298</v>
      </c>
      <c r="L279" s="21" t="s">
        <v>7299</v>
      </c>
      <c r="M279" s="21"/>
    </row>
    <row r="280" ht="15.75" customHeight="1">
      <c r="A280" s="22" t="s">
        <v>7300</v>
      </c>
      <c r="B280" s="22" t="s">
        <v>7301</v>
      </c>
      <c r="C280" s="22" t="s">
        <v>7302</v>
      </c>
      <c r="D280" s="22" t="s">
        <v>7303</v>
      </c>
      <c r="E280" s="22" t="s">
        <v>7295</v>
      </c>
      <c r="F280" s="22" t="s">
        <v>7083</v>
      </c>
      <c r="G280" s="22" t="s">
        <v>7304</v>
      </c>
      <c r="H280" s="22" t="s">
        <v>7305</v>
      </c>
      <c r="I280" s="22" t="s">
        <v>5495</v>
      </c>
      <c r="J280" s="22" t="s">
        <v>5519</v>
      </c>
      <c r="K280" s="22" t="s">
        <v>7306</v>
      </c>
      <c r="L280" s="22" t="s">
        <v>2110</v>
      </c>
      <c r="M280" s="22"/>
    </row>
    <row r="281" ht="15.75" customHeight="1">
      <c r="A281" s="20" t="s">
        <v>7307</v>
      </c>
      <c r="B281" s="20" t="s">
        <v>7308</v>
      </c>
      <c r="C281" s="20" t="s">
        <v>7309</v>
      </c>
      <c r="D281" s="20" t="s">
        <v>7310</v>
      </c>
      <c r="E281" s="20" t="s">
        <v>1163</v>
      </c>
      <c r="F281" s="20" t="s">
        <v>253</v>
      </c>
      <c r="G281" s="20" t="s">
        <v>7311</v>
      </c>
      <c r="H281" s="20"/>
      <c r="I281" s="20" t="s">
        <v>5495</v>
      </c>
      <c r="J281" s="21" t="s">
        <v>7312</v>
      </c>
      <c r="K281" s="21" t="s">
        <v>7313</v>
      </c>
      <c r="L281" s="21" t="s">
        <v>6114</v>
      </c>
      <c r="M281" s="21"/>
    </row>
    <row r="282" ht="15.75" customHeight="1">
      <c r="A282" s="22" t="s">
        <v>7314</v>
      </c>
      <c r="B282" s="22" t="s">
        <v>7315</v>
      </c>
      <c r="C282" s="22" t="s">
        <v>7316</v>
      </c>
      <c r="D282" s="22" t="s">
        <v>7317</v>
      </c>
      <c r="E282" s="22" t="s">
        <v>1163</v>
      </c>
      <c r="F282" s="22" t="s">
        <v>253</v>
      </c>
      <c r="G282" s="22" t="s">
        <v>7318</v>
      </c>
      <c r="H282" s="22"/>
      <c r="I282" s="22" t="s">
        <v>5495</v>
      </c>
      <c r="J282" s="22" t="s">
        <v>5628</v>
      </c>
      <c r="K282" s="22" t="s">
        <v>7319</v>
      </c>
      <c r="L282" s="22"/>
      <c r="M282" s="22"/>
    </row>
    <row r="283" ht="15.75" customHeight="1">
      <c r="A283" s="20" t="s">
        <v>7320</v>
      </c>
      <c r="B283" s="20" t="s">
        <v>7321</v>
      </c>
      <c r="C283" s="20" t="s">
        <v>7322</v>
      </c>
      <c r="D283" s="20" t="s">
        <v>7323</v>
      </c>
      <c r="E283" s="20" t="s">
        <v>7324</v>
      </c>
      <c r="F283" s="20" t="s">
        <v>4123</v>
      </c>
      <c r="G283" s="20" t="s">
        <v>7325</v>
      </c>
      <c r="H283" s="20" t="s">
        <v>7326</v>
      </c>
      <c r="I283" s="20" t="s">
        <v>5495</v>
      </c>
      <c r="J283" s="21" t="s">
        <v>5605</v>
      </c>
      <c r="K283" s="21" t="s">
        <v>7327</v>
      </c>
      <c r="L283" s="21" t="s">
        <v>2110</v>
      </c>
      <c r="M283" s="21"/>
    </row>
    <row r="284" ht="15.75" customHeight="1">
      <c r="A284" s="22" t="s">
        <v>7328</v>
      </c>
      <c r="B284" s="22" t="s">
        <v>7329</v>
      </c>
      <c r="C284" s="22" t="s">
        <v>7330</v>
      </c>
      <c r="D284" s="22" t="s">
        <v>7331</v>
      </c>
      <c r="E284" s="22" t="s">
        <v>7332</v>
      </c>
      <c r="F284" s="22" t="s">
        <v>1462</v>
      </c>
      <c r="G284" s="22" t="s">
        <v>7333</v>
      </c>
      <c r="H284" s="22"/>
      <c r="I284" s="22" t="s">
        <v>5495</v>
      </c>
      <c r="J284" s="22"/>
      <c r="K284" s="22" t="s">
        <v>7334</v>
      </c>
      <c r="L284" s="22"/>
      <c r="M284" s="22"/>
    </row>
    <row r="285" ht="15.75" customHeight="1">
      <c r="A285" s="20" t="s">
        <v>7335</v>
      </c>
      <c r="B285" s="20"/>
      <c r="C285" s="20" t="s">
        <v>7336</v>
      </c>
      <c r="D285" s="20" t="s">
        <v>7337</v>
      </c>
      <c r="E285" s="20" t="s">
        <v>7338</v>
      </c>
      <c r="F285" s="20" t="s">
        <v>1462</v>
      </c>
      <c r="G285" s="20" t="s">
        <v>7339</v>
      </c>
      <c r="H285" s="20" t="s">
        <v>7340</v>
      </c>
      <c r="I285" s="20" t="s">
        <v>5495</v>
      </c>
      <c r="J285" s="21" t="s">
        <v>5519</v>
      </c>
      <c r="K285" s="21" t="s">
        <v>7334</v>
      </c>
      <c r="L285" s="21" t="s">
        <v>902</v>
      </c>
      <c r="M285" s="21"/>
    </row>
    <row r="286" ht="15.75" customHeight="1">
      <c r="A286" s="22" t="s">
        <v>7341</v>
      </c>
      <c r="B286" s="22" t="s">
        <v>7342</v>
      </c>
      <c r="C286" s="22" t="s">
        <v>7343</v>
      </c>
      <c r="D286" s="22" t="s">
        <v>7344</v>
      </c>
      <c r="E286" s="22" t="s">
        <v>7345</v>
      </c>
      <c r="F286" s="22" t="s">
        <v>926</v>
      </c>
      <c r="G286" s="22" t="s">
        <v>7346</v>
      </c>
      <c r="H286" s="22" t="s">
        <v>7347</v>
      </c>
      <c r="I286" s="22" t="s">
        <v>5495</v>
      </c>
      <c r="J286" s="22" t="s">
        <v>5496</v>
      </c>
      <c r="K286" s="22" t="s">
        <v>7348</v>
      </c>
      <c r="L286" s="22" t="s">
        <v>902</v>
      </c>
      <c r="M286" s="22"/>
    </row>
    <row r="287" ht="15.75" customHeight="1">
      <c r="A287" s="20" t="s">
        <v>7349</v>
      </c>
      <c r="B287" s="20" t="s">
        <v>7350</v>
      </c>
      <c r="C287" s="20"/>
      <c r="D287" s="20" t="s">
        <v>7351</v>
      </c>
      <c r="E287" s="20" t="s">
        <v>1462</v>
      </c>
      <c r="F287" s="20" t="s">
        <v>1462</v>
      </c>
      <c r="G287" s="20" t="s">
        <v>7352</v>
      </c>
      <c r="H287" s="20" t="s">
        <v>7353</v>
      </c>
      <c r="I287" s="20" t="s">
        <v>5495</v>
      </c>
      <c r="J287" s="21" t="s">
        <v>5519</v>
      </c>
      <c r="K287" s="21" t="s">
        <v>7354</v>
      </c>
      <c r="L287" s="21" t="s">
        <v>7355</v>
      </c>
      <c r="M287" s="21"/>
    </row>
    <row r="288" ht="15.75" customHeight="1">
      <c r="A288" s="22" t="s">
        <v>7356</v>
      </c>
      <c r="B288" s="22" t="s">
        <v>7357</v>
      </c>
      <c r="C288" s="22" t="s">
        <v>7358</v>
      </c>
      <c r="D288" s="22" t="s">
        <v>7359</v>
      </c>
      <c r="E288" s="22" t="s">
        <v>1462</v>
      </c>
      <c r="F288" s="22" t="s">
        <v>1462</v>
      </c>
      <c r="G288" s="22" t="s">
        <v>7360</v>
      </c>
      <c r="H288" s="22" t="s">
        <v>7361</v>
      </c>
      <c r="I288" s="22" t="s">
        <v>5495</v>
      </c>
      <c r="J288" s="22" t="s">
        <v>5519</v>
      </c>
      <c r="K288" s="22" t="s">
        <v>7362</v>
      </c>
      <c r="L288" s="22" t="s">
        <v>3486</v>
      </c>
      <c r="M288" s="22"/>
    </row>
    <row r="289" ht="15.75" customHeight="1">
      <c r="A289" s="20" t="s">
        <v>7363</v>
      </c>
      <c r="B289" s="20" t="s">
        <v>7364</v>
      </c>
      <c r="C289" s="20" t="s">
        <v>7365</v>
      </c>
      <c r="D289" s="20" t="s">
        <v>7366</v>
      </c>
      <c r="E289" s="20" t="s">
        <v>1462</v>
      </c>
      <c r="F289" s="20" t="s">
        <v>1462</v>
      </c>
      <c r="G289" s="20" t="s">
        <v>7367</v>
      </c>
      <c r="H289" s="20" t="s">
        <v>7368</v>
      </c>
      <c r="I289" s="20" t="s">
        <v>5495</v>
      </c>
      <c r="J289" s="21" t="s">
        <v>5496</v>
      </c>
      <c r="K289" s="21" t="s">
        <v>7369</v>
      </c>
      <c r="L289" s="21" t="s">
        <v>7370</v>
      </c>
      <c r="M289" s="21"/>
    </row>
    <row r="290" ht="15.75" customHeight="1">
      <c r="A290" s="22" t="s">
        <v>7371</v>
      </c>
      <c r="B290" s="22" t="s">
        <v>7372</v>
      </c>
      <c r="C290" s="22" t="s">
        <v>7373</v>
      </c>
      <c r="D290" s="22" t="s">
        <v>7374</v>
      </c>
      <c r="E290" s="22" t="s">
        <v>7375</v>
      </c>
      <c r="F290" s="22" t="s">
        <v>231</v>
      </c>
      <c r="G290" s="22" t="s">
        <v>7376</v>
      </c>
      <c r="H290" s="22" t="s">
        <v>7377</v>
      </c>
      <c r="I290" s="22" t="s">
        <v>5495</v>
      </c>
      <c r="J290" s="22" t="s">
        <v>5650</v>
      </c>
      <c r="K290" s="22" t="s">
        <v>7378</v>
      </c>
      <c r="L290" s="22" t="s">
        <v>278</v>
      </c>
      <c r="M290" s="22"/>
    </row>
    <row r="291" ht="15.75" customHeight="1">
      <c r="A291" s="20" t="s">
        <v>7379</v>
      </c>
      <c r="B291" s="20" t="s">
        <v>7380</v>
      </c>
      <c r="C291" s="20" t="s">
        <v>7381</v>
      </c>
      <c r="D291" s="20"/>
      <c r="E291" s="20" t="s">
        <v>7382</v>
      </c>
      <c r="F291" s="20" t="s">
        <v>1009</v>
      </c>
      <c r="G291" s="20" t="s">
        <v>7383</v>
      </c>
      <c r="H291" s="20"/>
      <c r="I291" s="20" t="s">
        <v>5495</v>
      </c>
      <c r="J291" s="21" t="s">
        <v>5650</v>
      </c>
      <c r="K291" s="21" t="s">
        <v>7384</v>
      </c>
      <c r="L291" s="21" t="s">
        <v>5098</v>
      </c>
      <c r="M291" s="21"/>
    </row>
    <row r="292" ht="15.75" customHeight="1">
      <c r="A292" s="22" t="s">
        <v>7385</v>
      </c>
      <c r="B292" s="22" t="s">
        <v>7386</v>
      </c>
      <c r="C292" s="22"/>
      <c r="D292" s="22" t="s">
        <v>7387</v>
      </c>
      <c r="E292" s="22" t="s">
        <v>7388</v>
      </c>
      <c r="F292" s="22" t="s">
        <v>231</v>
      </c>
      <c r="G292" s="22" t="s">
        <v>7389</v>
      </c>
      <c r="H292" s="22"/>
      <c r="I292" s="22" t="s">
        <v>5495</v>
      </c>
      <c r="J292" s="22" t="s">
        <v>5650</v>
      </c>
      <c r="K292" s="22" t="s">
        <v>7390</v>
      </c>
      <c r="L292" s="22" t="s">
        <v>7201</v>
      </c>
      <c r="M292" s="22"/>
    </row>
    <row r="293" ht="15.75" customHeight="1">
      <c r="A293" s="20" t="s">
        <v>7391</v>
      </c>
      <c r="B293" s="20" t="s">
        <v>7392</v>
      </c>
      <c r="C293" s="20" t="s">
        <v>7393</v>
      </c>
      <c r="D293" s="20" t="s">
        <v>7394</v>
      </c>
      <c r="E293" s="20" t="s">
        <v>7395</v>
      </c>
      <c r="F293" s="20" t="s">
        <v>2660</v>
      </c>
      <c r="G293" s="20" t="s">
        <v>7396</v>
      </c>
      <c r="H293" s="20" t="s">
        <v>7397</v>
      </c>
      <c r="I293" s="20" t="s">
        <v>5495</v>
      </c>
      <c r="J293" s="21" t="s">
        <v>7398</v>
      </c>
      <c r="K293" s="21" t="s">
        <v>7399</v>
      </c>
      <c r="L293" s="21" t="s">
        <v>1901</v>
      </c>
      <c r="M293" s="21"/>
    </row>
    <row r="294" ht="15.75" customHeight="1">
      <c r="A294" s="22" t="s">
        <v>7400</v>
      </c>
      <c r="B294" s="22" t="s">
        <v>7401</v>
      </c>
      <c r="C294" s="22" t="s">
        <v>7402</v>
      </c>
      <c r="D294" s="22" t="s">
        <v>7403</v>
      </c>
      <c r="E294" s="22" t="s">
        <v>1961</v>
      </c>
      <c r="F294" s="22" t="s">
        <v>1961</v>
      </c>
      <c r="G294" s="22" t="s">
        <v>7404</v>
      </c>
      <c r="H294" s="22" t="s">
        <v>7405</v>
      </c>
      <c r="I294" s="22" t="s">
        <v>5495</v>
      </c>
      <c r="J294" s="22" t="s">
        <v>5605</v>
      </c>
      <c r="K294" s="22" t="s">
        <v>7406</v>
      </c>
      <c r="L294" s="22" t="s">
        <v>6042</v>
      </c>
      <c r="M294" s="22"/>
    </row>
    <row r="295" ht="15.75" customHeight="1">
      <c r="A295" s="20" t="s">
        <v>7407</v>
      </c>
      <c r="B295" s="20"/>
      <c r="C295" s="20" t="s">
        <v>7408</v>
      </c>
      <c r="D295" s="20" t="s">
        <v>7409</v>
      </c>
      <c r="E295" s="20" t="s">
        <v>7410</v>
      </c>
      <c r="F295" s="20" t="s">
        <v>4846</v>
      </c>
      <c r="G295" s="20" t="s">
        <v>7411</v>
      </c>
      <c r="H295" s="20"/>
      <c r="I295" s="20" t="s">
        <v>5495</v>
      </c>
      <c r="J295" s="21" t="s">
        <v>5650</v>
      </c>
      <c r="K295" s="21" t="s">
        <v>7412</v>
      </c>
      <c r="L295" s="21" t="s">
        <v>7413</v>
      </c>
      <c r="M295" s="21"/>
    </row>
    <row r="296" ht="15.75" customHeight="1">
      <c r="A296" s="22" t="s">
        <v>7414</v>
      </c>
      <c r="B296" s="22" t="s">
        <v>7415</v>
      </c>
      <c r="C296" s="22"/>
      <c r="D296" s="22" t="s">
        <v>7416</v>
      </c>
      <c r="E296" s="22" t="s">
        <v>377</v>
      </c>
      <c r="F296" s="22" t="s">
        <v>5625</v>
      </c>
      <c r="G296" s="22" t="s">
        <v>7417</v>
      </c>
      <c r="H296" s="22"/>
      <c r="I296" s="22" t="s">
        <v>5495</v>
      </c>
      <c r="J296" s="22" t="s">
        <v>5628</v>
      </c>
      <c r="K296" s="22" t="s">
        <v>7418</v>
      </c>
      <c r="L296" s="22" t="s">
        <v>1901</v>
      </c>
      <c r="M296" s="22"/>
    </row>
    <row r="297" ht="15.75" customHeight="1">
      <c r="A297" s="20" t="s">
        <v>7419</v>
      </c>
      <c r="B297" s="20" t="s">
        <v>7420</v>
      </c>
      <c r="C297" s="20" t="s">
        <v>7421</v>
      </c>
      <c r="D297" s="20" t="s">
        <v>7422</v>
      </c>
      <c r="E297" s="20" t="s">
        <v>7423</v>
      </c>
      <c r="F297" s="20" t="s">
        <v>1612</v>
      </c>
      <c r="G297" s="20" t="s">
        <v>7424</v>
      </c>
      <c r="H297" s="20" t="s">
        <v>7425</v>
      </c>
      <c r="I297" s="20" t="s">
        <v>5495</v>
      </c>
      <c r="J297" s="21" t="s">
        <v>5560</v>
      </c>
      <c r="K297" s="21" t="s">
        <v>7426</v>
      </c>
      <c r="L297" s="21" t="s">
        <v>7427</v>
      </c>
      <c r="M297" s="21"/>
    </row>
    <row r="298" ht="15.75" customHeight="1">
      <c r="A298" s="22" t="s">
        <v>7428</v>
      </c>
      <c r="B298" s="22" t="s">
        <v>7429</v>
      </c>
      <c r="C298" s="22"/>
      <c r="D298" s="22" t="s">
        <v>7430</v>
      </c>
      <c r="E298" s="22" t="s">
        <v>7431</v>
      </c>
      <c r="F298" s="22" t="s">
        <v>231</v>
      </c>
      <c r="G298" s="22" t="s">
        <v>7432</v>
      </c>
      <c r="H298" s="22" t="s">
        <v>7433</v>
      </c>
      <c r="I298" s="22" t="s">
        <v>5495</v>
      </c>
      <c r="J298" s="22" t="s">
        <v>5650</v>
      </c>
      <c r="K298" s="22" t="s">
        <v>7434</v>
      </c>
      <c r="L298" s="22" t="s">
        <v>7435</v>
      </c>
      <c r="M298" s="22"/>
    </row>
    <row r="299" ht="15.75" customHeight="1">
      <c r="A299" s="20" t="s">
        <v>7436</v>
      </c>
      <c r="B299" s="20" t="s">
        <v>7437</v>
      </c>
      <c r="C299" s="20" t="s">
        <v>7438</v>
      </c>
      <c r="D299" s="20" t="s">
        <v>7439</v>
      </c>
      <c r="E299" s="20" t="s">
        <v>7440</v>
      </c>
      <c r="F299" s="20" t="s">
        <v>231</v>
      </c>
      <c r="G299" s="20" t="s">
        <v>7441</v>
      </c>
      <c r="H299" s="20" t="s">
        <v>6526</v>
      </c>
      <c r="I299" s="20" t="s">
        <v>5495</v>
      </c>
      <c r="J299" s="21" t="s">
        <v>5650</v>
      </c>
      <c r="K299" s="21" t="s">
        <v>7442</v>
      </c>
      <c r="L299" s="21" t="s">
        <v>7443</v>
      </c>
      <c r="M299" s="21"/>
    </row>
    <row r="300" ht="15.75" customHeight="1">
      <c r="A300" s="22" t="s">
        <v>7444</v>
      </c>
      <c r="B300" s="22" t="s">
        <v>7445</v>
      </c>
      <c r="C300" s="22" t="s">
        <v>7446</v>
      </c>
      <c r="D300" s="22" t="s">
        <v>7447</v>
      </c>
      <c r="E300" s="22" t="s">
        <v>4193</v>
      </c>
      <c r="F300" s="22" t="s">
        <v>4846</v>
      </c>
      <c r="G300" s="22" t="s">
        <v>7448</v>
      </c>
      <c r="H300" s="22"/>
      <c r="I300" s="22" t="s">
        <v>5495</v>
      </c>
      <c r="J300" s="22" t="s">
        <v>5650</v>
      </c>
      <c r="K300" s="22" t="s">
        <v>7449</v>
      </c>
      <c r="L300" s="22" t="s">
        <v>520</v>
      </c>
      <c r="M300" s="22"/>
    </row>
    <row r="301" ht="15.75" customHeight="1">
      <c r="A301" s="20" t="s">
        <v>7450</v>
      </c>
      <c r="B301" s="20" t="s">
        <v>7451</v>
      </c>
      <c r="C301" s="20" t="s">
        <v>7452</v>
      </c>
      <c r="D301" s="20" t="s">
        <v>7453</v>
      </c>
      <c r="E301" s="20" t="s">
        <v>7454</v>
      </c>
      <c r="F301" s="20" t="s">
        <v>231</v>
      </c>
      <c r="G301" s="20" t="s">
        <v>7455</v>
      </c>
      <c r="H301" s="20"/>
      <c r="I301" s="20" t="s">
        <v>5495</v>
      </c>
      <c r="J301" s="21" t="s">
        <v>5650</v>
      </c>
      <c r="K301" s="21" t="s">
        <v>7456</v>
      </c>
      <c r="L301" s="21" t="s">
        <v>7457</v>
      </c>
      <c r="M301" s="21"/>
    </row>
    <row r="302" ht="15.75" customHeight="1">
      <c r="A302" s="22" t="s">
        <v>7458</v>
      </c>
      <c r="B302" s="22" t="s">
        <v>7459</v>
      </c>
      <c r="C302" s="22" t="s">
        <v>7460</v>
      </c>
      <c r="D302" s="22" t="s">
        <v>7461</v>
      </c>
      <c r="E302" s="22" t="s">
        <v>7462</v>
      </c>
      <c r="F302" s="22" t="s">
        <v>231</v>
      </c>
      <c r="G302" s="22" t="s">
        <v>7463</v>
      </c>
      <c r="H302" s="22"/>
      <c r="I302" s="22" t="s">
        <v>5495</v>
      </c>
      <c r="J302" s="22" t="s">
        <v>5650</v>
      </c>
      <c r="K302" s="22" t="s">
        <v>7464</v>
      </c>
      <c r="L302" s="22" t="s">
        <v>5665</v>
      </c>
      <c r="M302" s="22"/>
    </row>
    <row r="303" ht="15.75" customHeight="1">
      <c r="A303" s="20" t="s">
        <v>7465</v>
      </c>
      <c r="B303" s="20" t="s">
        <v>7466</v>
      </c>
      <c r="C303" s="20" t="s">
        <v>7467</v>
      </c>
      <c r="D303" s="20" t="s">
        <v>7468</v>
      </c>
      <c r="E303" s="20" t="s">
        <v>7469</v>
      </c>
      <c r="F303" s="20" t="s">
        <v>1612</v>
      </c>
      <c r="G303" s="20" t="s">
        <v>7470</v>
      </c>
      <c r="H303" s="20" t="s">
        <v>7471</v>
      </c>
      <c r="I303" s="20" t="s">
        <v>5495</v>
      </c>
      <c r="J303" s="21" t="s">
        <v>5560</v>
      </c>
      <c r="K303" s="21" t="s">
        <v>7472</v>
      </c>
      <c r="L303" s="21" t="s">
        <v>7473</v>
      </c>
      <c r="M303" s="21"/>
    </row>
    <row r="304" ht="15.75" customHeight="1">
      <c r="A304" s="22" t="s">
        <v>7474</v>
      </c>
      <c r="B304" s="22" t="s">
        <v>7475</v>
      </c>
      <c r="C304" s="22" t="s">
        <v>7476</v>
      </c>
      <c r="D304" s="22" t="s">
        <v>7477</v>
      </c>
      <c r="E304" s="22" t="s">
        <v>2837</v>
      </c>
      <c r="F304" s="22" t="s">
        <v>580</v>
      </c>
      <c r="G304" s="22" t="s">
        <v>7478</v>
      </c>
      <c r="H304" s="22" t="s">
        <v>7479</v>
      </c>
      <c r="I304" s="22" t="s">
        <v>5495</v>
      </c>
      <c r="J304" s="22" t="s">
        <v>5519</v>
      </c>
      <c r="K304" s="22" t="s">
        <v>7480</v>
      </c>
      <c r="L304" s="22" t="s">
        <v>7481</v>
      </c>
      <c r="M304" s="22"/>
    </row>
    <row r="305" ht="15.75" customHeight="1">
      <c r="A305" s="20" t="s">
        <v>7482</v>
      </c>
      <c r="B305" s="20" t="s">
        <v>7483</v>
      </c>
      <c r="C305" s="20" t="s">
        <v>7484</v>
      </c>
      <c r="D305" s="20" t="s">
        <v>7485</v>
      </c>
      <c r="E305" s="20" t="s">
        <v>2837</v>
      </c>
      <c r="F305" s="20" t="s">
        <v>580</v>
      </c>
      <c r="G305" s="20" t="s">
        <v>7486</v>
      </c>
      <c r="H305" s="20" t="s">
        <v>7487</v>
      </c>
      <c r="I305" s="20" t="s">
        <v>5495</v>
      </c>
      <c r="J305" s="21"/>
      <c r="K305" s="21" t="s">
        <v>7488</v>
      </c>
      <c r="L305" s="21" t="s">
        <v>941</v>
      </c>
      <c r="M305" s="21"/>
    </row>
    <row r="306" ht="15.75" customHeight="1">
      <c r="A306" s="22" t="s">
        <v>7489</v>
      </c>
      <c r="B306" s="22" t="s">
        <v>7490</v>
      </c>
      <c r="C306" s="22" t="s">
        <v>7491</v>
      </c>
      <c r="D306" s="22"/>
      <c r="E306" s="22" t="s">
        <v>3081</v>
      </c>
      <c r="F306" s="22" t="s">
        <v>926</v>
      </c>
      <c r="G306" s="22" t="s">
        <v>7492</v>
      </c>
      <c r="H306" s="22" t="s">
        <v>7493</v>
      </c>
      <c r="I306" s="22" t="s">
        <v>5495</v>
      </c>
      <c r="J306" s="22" t="s">
        <v>5496</v>
      </c>
      <c r="K306" s="22" t="s">
        <v>7494</v>
      </c>
      <c r="L306" s="22" t="s">
        <v>5906</v>
      </c>
      <c r="M306" s="22"/>
    </row>
    <row r="307" ht="15.75" customHeight="1">
      <c r="A307" s="20" t="s">
        <v>7495</v>
      </c>
      <c r="B307" s="20" t="s">
        <v>7496</v>
      </c>
      <c r="C307" s="20" t="s">
        <v>7497</v>
      </c>
      <c r="D307" s="20" t="s">
        <v>7498</v>
      </c>
      <c r="E307" s="20" t="s">
        <v>3081</v>
      </c>
      <c r="F307" s="20" t="s">
        <v>926</v>
      </c>
      <c r="G307" s="20" t="s">
        <v>7499</v>
      </c>
      <c r="H307" s="20" t="s">
        <v>7500</v>
      </c>
      <c r="I307" s="20" t="s">
        <v>5495</v>
      </c>
      <c r="J307" s="21" t="s">
        <v>5496</v>
      </c>
      <c r="K307" s="21" t="s">
        <v>7501</v>
      </c>
      <c r="L307" s="21" t="s">
        <v>520</v>
      </c>
      <c r="M307" s="21"/>
    </row>
    <row r="308" ht="15.75" customHeight="1">
      <c r="A308" s="22" t="s">
        <v>7502</v>
      </c>
      <c r="B308" s="22" t="s">
        <v>7503</v>
      </c>
      <c r="C308" s="22" t="s">
        <v>7504</v>
      </c>
      <c r="D308" s="22" t="s">
        <v>7505</v>
      </c>
      <c r="E308" s="22" t="s">
        <v>3081</v>
      </c>
      <c r="F308" s="22" t="s">
        <v>926</v>
      </c>
      <c r="G308" s="22" t="s">
        <v>7506</v>
      </c>
      <c r="H308" s="22" t="s">
        <v>7507</v>
      </c>
      <c r="I308" s="22" t="s">
        <v>5495</v>
      </c>
      <c r="J308" s="22" t="s">
        <v>5496</v>
      </c>
      <c r="K308" s="22" t="s">
        <v>7494</v>
      </c>
      <c r="L308" s="22" t="s">
        <v>5691</v>
      </c>
      <c r="M308" s="22"/>
    </row>
    <row r="309" ht="15.75" customHeight="1">
      <c r="A309" s="20" t="s">
        <v>7508</v>
      </c>
      <c r="B309" s="20" t="s">
        <v>7509</v>
      </c>
      <c r="C309" s="20" t="s">
        <v>7510</v>
      </c>
      <c r="D309" s="20" t="s">
        <v>7511</v>
      </c>
      <c r="E309" s="20" t="s">
        <v>3081</v>
      </c>
      <c r="F309" s="20" t="s">
        <v>926</v>
      </c>
      <c r="G309" s="20" t="s">
        <v>7512</v>
      </c>
      <c r="H309" s="20"/>
      <c r="I309" s="20" t="s">
        <v>5495</v>
      </c>
      <c r="J309" s="21" t="s">
        <v>6082</v>
      </c>
      <c r="K309" s="21" t="s">
        <v>7513</v>
      </c>
      <c r="L309" s="21"/>
      <c r="M309" s="21"/>
    </row>
    <row r="310" ht="15.75" customHeight="1">
      <c r="A310" s="22" t="s">
        <v>7514</v>
      </c>
      <c r="B310" s="22" t="s">
        <v>7515</v>
      </c>
      <c r="C310" s="22" t="s">
        <v>7516</v>
      </c>
      <c r="D310" s="22"/>
      <c r="E310" s="22" t="s">
        <v>7517</v>
      </c>
      <c r="F310" s="22" t="s">
        <v>926</v>
      </c>
      <c r="G310" s="22" t="s">
        <v>7518</v>
      </c>
      <c r="H310" s="22" t="s">
        <v>7519</v>
      </c>
      <c r="I310" s="22" t="s">
        <v>5495</v>
      </c>
      <c r="J310" s="22" t="s">
        <v>5496</v>
      </c>
      <c r="K310" s="22" t="s">
        <v>7520</v>
      </c>
      <c r="L310" s="22" t="s">
        <v>902</v>
      </c>
      <c r="M310" s="22"/>
    </row>
    <row r="311" ht="15.75" customHeight="1">
      <c r="A311" s="20" t="s">
        <v>7521</v>
      </c>
      <c r="B311" s="20" t="s">
        <v>7522</v>
      </c>
      <c r="C311" s="20"/>
      <c r="D311" s="20"/>
      <c r="E311" s="20" t="s">
        <v>2154</v>
      </c>
      <c r="F311" s="20" t="s">
        <v>2154</v>
      </c>
      <c r="G311" s="20" t="s">
        <v>7523</v>
      </c>
      <c r="H311" s="20"/>
      <c r="I311" s="20" t="s">
        <v>5495</v>
      </c>
      <c r="J311" s="21"/>
      <c r="K311" s="21"/>
      <c r="L311" s="21"/>
      <c r="M311" s="21"/>
    </row>
    <row r="312" ht="15.75" customHeight="1">
      <c r="A312" s="22" t="s">
        <v>7524</v>
      </c>
      <c r="B312" s="22" t="s">
        <v>7525</v>
      </c>
      <c r="C312" s="22" t="s">
        <v>6245</v>
      </c>
      <c r="D312" s="22"/>
      <c r="E312" s="22" t="s">
        <v>7526</v>
      </c>
      <c r="F312" s="22" t="s">
        <v>1009</v>
      </c>
      <c r="G312" s="22" t="s">
        <v>7527</v>
      </c>
      <c r="H312" s="22" t="s">
        <v>6248</v>
      </c>
      <c r="I312" s="22" t="s">
        <v>5495</v>
      </c>
      <c r="J312" s="22" t="s">
        <v>5650</v>
      </c>
      <c r="K312" s="22" t="s">
        <v>7528</v>
      </c>
      <c r="L312" s="22" t="s">
        <v>2110</v>
      </c>
      <c r="M312" s="22"/>
    </row>
    <row r="313" ht="15.75" customHeight="1">
      <c r="A313" s="20" t="s">
        <v>7529</v>
      </c>
      <c r="B313" s="20" t="s">
        <v>7530</v>
      </c>
      <c r="C313" s="20" t="s">
        <v>7531</v>
      </c>
      <c r="D313" s="20" t="s">
        <v>7532</v>
      </c>
      <c r="E313" s="20" t="s">
        <v>813</v>
      </c>
      <c r="F313" s="20" t="s">
        <v>813</v>
      </c>
      <c r="G313" s="20" t="s">
        <v>7533</v>
      </c>
      <c r="H313" s="20" t="s">
        <v>7534</v>
      </c>
      <c r="I313" s="20" t="s">
        <v>5495</v>
      </c>
      <c r="J313" s="21" t="s">
        <v>5519</v>
      </c>
      <c r="K313" s="21" t="s">
        <v>7535</v>
      </c>
      <c r="L313" s="21" t="s">
        <v>902</v>
      </c>
      <c r="M313" s="21"/>
    </row>
    <row r="314" ht="15.75" customHeight="1">
      <c r="A314" s="22" t="s">
        <v>7536</v>
      </c>
      <c r="B314" s="22" t="s">
        <v>7537</v>
      </c>
      <c r="C314" s="22"/>
      <c r="D314" s="22" t="s">
        <v>7538</v>
      </c>
      <c r="E314" s="22" t="s">
        <v>813</v>
      </c>
      <c r="F314" s="22" t="s">
        <v>813</v>
      </c>
      <c r="G314" s="22" t="s">
        <v>7539</v>
      </c>
      <c r="H314" s="22"/>
      <c r="I314" s="22" t="s">
        <v>5495</v>
      </c>
      <c r="J314" s="22" t="s">
        <v>5519</v>
      </c>
      <c r="K314" s="22" t="s">
        <v>7540</v>
      </c>
      <c r="L314" s="22" t="s">
        <v>1986</v>
      </c>
      <c r="M314" s="22"/>
    </row>
    <row r="315" ht="15.75" customHeight="1">
      <c r="A315" s="20" t="s">
        <v>7541</v>
      </c>
      <c r="B315" s="20" t="s">
        <v>7542</v>
      </c>
      <c r="C315" s="20" t="s">
        <v>7543</v>
      </c>
      <c r="D315" s="20" t="s">
        <v>7544</v>
      </c>
      <c r="E315" s="20" t="s">
        <v>813</v>
      </c>
      <c r="F315" s="20" t="s">
        <v>813</v>
      </c>
      <c r="G315" s="20" t="s">
        <v>7545</v>
      </c>
      <c r="H315" s="20" t="s">
        <v>7546</v>
      </c>
      <c r="I315" s="20" t="s">
        <v>5495</v>
      </c>
      <c r="J315" s="21" t="s">
        <v>5519</v>
      </c>
      <c r="K315" s="21" t="s">
        <v>7547</v>
      </c>
      <c r="L315" s="21" t="s">
        <v>2110</v>
      </c>
      <c r="M315" s="21"/>
    </row>
    <row r="316" ht="15.75" customHeight="1">
      <c r="A316" s="22" t="s">
        <v>7548</v>
      </c>
      <c r="B316" s="22" t="s">
        <v>7549</v>
      </c>
      <c r="C316" s="22" t="s">
        <v>1154</v>
      </c>
      <c r="D316" s="22" t="s">
        <v>7550</v>
      </c>
      <c r="E316" s="22" t="s">
        <v>813</v>
      </c>
      <c r="F316" s="22" t="s">
        <v>813</v>
      </c>
      <c r="G316" s="22" t="s">
        <v>7551</v>
      </c>
      <c r="H316" s="22" t="s">
        <v>7552</v>
      </c>
      <c r="I316" s="22" t="s">
        <v>5495</v>
      </c>
      <c r="J316" s="22" t="s">
        <v>5542</v>
      </c>
      <c r="K316" s="22" t="s">
        <v>7547</v>
      </c>
      <c r="L316" s="22" t="s">
        <v>7553</v>
      </c>
      <c r="M316" s="22"/>
    </row>
    <row r="317" ht="15.75" customHeight="1">
      <c r="A317" s="20" t="s">
        <v>7554</v>
      </c>
      <c r="B317" s="20" t="s">
        <v>1887</v>
      </c>
      <c r="C317" s="20" t="s">
        <v>1888</v>
      </c>
      <c r="D317" s="20" t="s">
        <v>7555</v>
      </c>
      <c r="E317" s="20" t="s">
        <v>813</v>
      </c>
      <c r="F317" s="20" t="s">
        <v>813</v>
      </c>
      <c r="G317" s="20" t="s">
        <v>7556</v>
      </c>
      <c r="H317" s="20" t="s">
        <v>7557</v>
      </c>
      <c r="I317" s="20" t="s">
        <v>5495</v>
      </c>
      <c r="J317" s="21" t="s">
        <v>5542</v>
      </c>
      <c r="K317" s="21" t="s">
        <v>7535</v>
      </c>
      <c r="L317" s="21" t="s">
        <v>5607</v>
      </c>
      <c r="M317" s="21"/>
    </row>
    <row r="318" ht="15.75" customHeight="1">
      <c r="A318" s="22" t="s">
        <v>7558</v>
      </c>
      <c r="B318" s="22" t="s">
        <v>7559</v>
      </c>
      <c r="C318" s="22" t="s">
        <v>7560</v>
      </c>
      <c r="D318" s="22" t="s">
        <v>7561</v>
      </c>
      <c r="E318" s="22" t="s">
        <v>813</v>
      </c>
      <c r="F318" s="22" t="s">
        <v>813</v>
      </c>
      <c r="G318" s="22" t="s">
        <v>7562</v>
      </c>
      <c r="H318" s="22" t="s">
        <v>7563</v>
      </c>
      <c r="I318" s="22" t="s">
        <v>5495</v>
      </c>
      <c r="J318" s="22"/>
      <c r="K318" s="22" t="s">
        <v>7564</v>
      </c>
      <c r="L318" s="22" t="s">
        <v>5506</v>
      </c>
      <c r="M318" s="22"/>
    </row>
    <row r="319" ht="15.75" customHeight="1">
      <c r="A319" s="20" t="s">
        <v>7565</v>
      </c>
      <c r="B319" s="20" t="s">
        <v>7566</v>
      </c>
      <c r="C319" s="20" t="s">
        <v>7567</v>
      </c>
      <c r="D319" s="20"/>
      <c r="E319" s="20" t="s">
        <v>1799</v>
      </c>
      <c r="F319" s="20" t="s">
        <v>1799</v>
      </c>
      <c r="G319" s="20" t="s">
        <v>7568</v>
      </c>
      <c r="H319" s="20" t="s">
        <v>7569</v>
      </c>
      <c r="I319" s="20" t="s">
        <v>5495</v>
      </c>
      <c r="J319" s="21" t="s">
        <v>5605</v>
      </c>
      <c r="K319" s="21" t="s">
        <v>7570</v>
      </c>
      <c r="L319" s="21" t="s">
        <v>2110</v>
      </c>
      <c r="M319" s="21"/>
    </row>
    <row r="320" ht="15.75" customHeight="1">
      <c r="A320" s="22" t="s">
        <v>7571</v>
      </c>
      <c r="B320" s="22" t="s">
        <v>7572</v>
      </c>
      <c r="C320" s="22"/>
      <c r="D320" s="22" t="s">
        <v>7573</v>
      </c>
      <c r="E320" s="22" t="s">
        <v>7574</v>
      </c>
      <c r="F320" s="22" t="s">
        <v>5662</v>
      </c>
      <c r="G320" s="22" t="s">
        <v>7575</v>
      </c>
      <c r="H320" s="22"/>
      <c r="I320" s="22" t="s">
        <v>5495</v>
      </c>
      <c r="J320" s="22" t="s">
        <v>5628</v>
      </c>
      <c r="K320" s="22" t="s">
        <v>7576</v>
      </c>
      <c r="L320" s="22"/>
      <c r="M320" s="22"/>
    </row>
    <row r="321" ht="15.75" customHeight="1">
      <c r="A321" s="20" t="s">
        <v>7577</v>
      </c>
      <c r="B321" s="20" t="s">
        <v>7578</v>
      </c>
      <c r="C321" s="20"/>
      <c r="D321" s="20" t="s">
        <v>7579</v>
      </c>
      <c r="E321" s="20" t="s">
        <v>7580</v>
      </c>
      <c r="F321" s="20" t="s">
        <v>253</v>
      </c>
      <c r="G321" s="20" t="s">
        <v>7581</v>
      </c>
      <c r="H321" s="20" t="s">
        <v>7582</v>
      </c>
      <c r="I321" s="20" t="s">
        <v>5495</v>
      </c>
      <c r="J321" s="21" t="s">
        <v>5519</v>
      </c>
      <c r="K321" s="21" t="s">
        <v>7583</v>
      </c>
      <c r="L321" s="21" t="s">
        <v>3486</v>
      </c>
      <c r="M321" s="21"/>
    </row>
    <row r="322" ht="15.75" customHeight="1">
      <c r="A322" s="22" t="s">
        <v>7584</v>
      </c>
      <c r="B322" s="22" t="s">
        <v>7585</v>
      </c>
      <c r="C322" s="22" t="s">
        <v>7586</v>
      </c>
      <c r="D322" s="22" t="s">
        <v>7587</v>
      </c>
      <c r="E322" s="22" t="s">
        <v>7588</v>
      </c>
      <c r="F322" s="22" t="s">
        <v>3736</v>
      </c>
      <c r="G322" s="22" t="s">
        <v>7589</v>
      </c>
      <c r="H322" s="22" t="s">
        <v>7590</v>
      </c>
      <c r="I322" s="22" t="s">
        <v>5495</v>
      </c>
      <c r="J322" s="22" t="s">
        <v>5650</v>
      </c>
      <c r="K322" s="22" t="s">
        <v>7591</v>
      </c>
      <c r="L322" s="22" t="s">
        <v>1986</v>
      </c>
      <c r="M322" s="22"/>
    </row>
    <row r="323" ht="15.75" customHeight="1">
      <c r="A323" s="20" t="s">
        <v>7592</v>
      </c>
      <c r="B323" s="20" t="s">
        <v>5523</v>
      </c>
      <c r="C323" s="20"/>
      <c r="D323" s="20"/>
      <c r="E323" s="20" t="s">
        <v>7593</v>
      </c>
      <c r="F323" s="20" t="s">
        <v>1427</v>
      </c>
      <c r="G323" s="20" t="s">
        <v>7594</v>
      </c>
      <c r="H323" s="20" t="s">
        <v>7595</v>
      </c>
      <c r="I323" s="20" t="s">
        <v>5495</v>
      </c>
      <c r="J323" s="21"/>
      <c r="K323" s="21" t="s">
        <v>5526</v>
      </c>
      <c r="L323" s="21" t="s">
        <v>5098</v>
      </c>
      <c r="M323" s="21"/>
    </row>
    <row r="324" ht="15.75" customHeight="1">
      <c r="A324" s="22" t="s">
        <v>1010</v>
      </c>
      <c r="B324" s="22" t="s">
        <v>7596</v>
      </c>
      <c r="C324" s="22" t="s">
        <v>7597</v>
      </c>
      <c r="D324" s="22" t="s">
        <v>7598</v>
      </c>
      <c r="E324" s="22" t="s">
        <v>1009</v>
      </c>
      <c r="F324" s="22" t="s">
        <v>1009</v>
      </c>
      <c r="G324" s="22" t="s">
        <v>7599</v>
      </c>
      <c r="H324" s="22"/>
      <c r="I324" s="22" t="s">
        <v>5495</v>
      </c>
      <c r="J324" s="22" t="s">
        <v>5650</v>
      </c>
      <c r="K324" s="22" t="s">
        <v>7600</v>
      </c>
      <c r="L324" s="22" t="s">
        <v>1901</v>
      </c>
      <c r="M324" s="22"/>
    </row>
    <row r="325" ht="15.75" customHeight="1">
      <c r="A325" s="20" t="s">
        <v>7601</v>
      </c>
      <c r="B325" s="20" t="s">
        <v>7602</v>
      </c>
      <c r="C325" s="20" t="s">
        <v>7603</v>
      </c>
      <c r="D325" s="20" t="s">
        <v>7604</v>
      </c>
      <c r="E325" s="20" t="s">
        <v>7605</v>
      </c>
      <c r="F325" s="20" t="s">
        <v>231</v>
      </c>
      <c r="G325" s="20" t="s">
        <v>7606</v>
      </c>
      <c r="H325" s="20" t="s">
        <v>7607</v>
      </c>
      <c r="I325" s="20" t="s">
        <v>5495</v>
      </c>
      <c r="J325" s="21" t="s">
        <v>5519</v>
      </c>
      <c r="K325" s="21" t="s">
        <v>7608</v>
      </c>
      <c r="L325" s="21" t="s">
        <v>278</v>
      </c>
      <c r="M325" s="21"/>
    </row>
    <row r="326" ht="15.75" customHeight="1">
      <c r="A326" s="22" t="s">
        <v>7609</v>
      </c>
      <c r="B326" s="22" t="s">
        <v>7610</v>
      </c>
      <c r="C326" s="22" t="s">
        <v>7611</v>
      </c>
      <c r="D326" s="22" t="s">
        <v>7612</v>
      </c>
      <c r="E326" s="22" t="s">
        <v>7605</v>
      </c>
      <c r="F326" s="22" t="s">
        <v>231</v>
      </c>
      <c r="G326" s="22" t="s">
        <v>7613</v>
      </c>
      <c r="H326" s="22" t="s">
        <v>7614</v>
      </c>
      <c r="I326" s="22" t="s">
        <v>5495</v>
      </c>
      <c r="J326" s="22" t="s">
        <v>5650</v>
      </c>
      <c r="K326" s="22" t="s">
        <v>7608</v>
      </c>
      <c r="L326" s="22"/>
      <c r="M326" s="22"/>
    </row>
    <row r="327" ht="15.75" customHeight="1">
      <c r="A327" s="20" t="s">
        <v>7615</v>
      </c>
      <c r="B327" s="20" t="s">
        <v>7616</v>
      </c>
      <c r="C327" s="20" t="s">
        <v>7617</v>
      </c>
      <c r="D327" s="20" t="s">
        <v>7618</v>
      </c>
      <c r="E327" s="20" t="s">
        <v>7605</v>
      </c>
      <c r="F327" s="20" t="s">
        <v>231</v>
      </c>
      <c r="G327" s="20" t="s">
        <v>7619</v>
      </c>
      <c r="H327" s="20"/>
      <c r="I327" s="20" t="s">
        <v>5495</v>
      </c>
      <c r="J327" s="21" t="s">
        <v>5650</v>
      </c>
      <c r="K327" s="21" t="s">
        <v>7608</v>
      </c>
      <c r="L327" s="21" t="s">
        <v>520</v>
      </c>
      <c r="M327" s="21"/>
    </row>
    <row r="328" ht="15.75" customHeight="1">
      <c r="A328" s="22" t="s">
        <v>7620</v>
      </c>
      <c r="B328" s="22" t="s">
        <v>7621</v>
      </c>
      <c r="C328" s="22" t="s">
        <v>7622</v>
      </c>
      <c r="D328" s="22" t="s">
        <v>7623</v>
      </c>
      <c r="E328" s="22" t="s">
        <v>7605</v>
      </c>
      <c r="F328" s="22" t="s">
        <v>231</v>
      </c>
      <c r="G328" s="22" t="s">
        <v>7624</v>
      </c>
      <c r="H328" s="22" t="s">
        <v>7625</v>
      </c>
      <c r="I328" s="22" t="s">
        <v>5495</v>
      </c>
      <c r="J328" s="22" t="s">
        <v>5650</v>
      </c>
      <c r="K328" s="22" t="s">
        <v>7608</v>
      </c>
      <c r="L328" s="22" t="s">
        <v>5691</v>
      </c>
      <c r="M328" s="22"/>
    </row>
    <row r="329" ht="15.75" customHeight="1">
      <c r="A329" s="20" t="s">
        <v>7626</v>
      </c>
      <c r="B329" s="20" t="s">
        <v>7627</v>
      </c>
      <c r="C329" s="20" t="s">
        <v>7628</v>
      </c>
      <c r="D329" s="20" t="s">
        <v>7629</v>
      </c>
      <c r="E329" s="20" t="s">
        <v>7605</v>
      </c>
      <c r="F329" s="20" t="s">
        <v>231</v>
      </c>
      <c r="G329" s="20" t="s">
        <v>7630</v>
      </c>
      <c r="H329" s="20" t="s">
        <v>7631</v>
      </c>
      <c r="I329" s="20" t="s">
        <v>5495</v>
      </c>
      <c r="J329" s="21" t="s">
        <v>5650</v>
      </c>
      <c r="K329" s="21" t="s">
        <v>7632</v>
      </c>
      <c r="L329" s="21" t="s">
        <v>7633</v>
      </c>
      <c r="M329" s="21"/>
    </row>
    <row r="330" ht="15.75" customHeight="1">
      <c r="A330" s="22" t="s">
        <v>7634</v>
      </c>
      <c r="B330" s="22" t="s">
        <v>7635</v>
      </c>
      <c r="C330" s="22" t="s">
        <v>7636</v>
      </c>
      <c r="D330" s="22" t="s">
        <v>7637</v>
      </c>
      <c r="E330" s="22" t="s">
        <v>5480</v>
      </c>
      <c r="F330" s="22" t="s">
        <v>5480</v>
      </c>
      <c r="G330" s="22" t="s">
        <v>7638</v>
      </c>
      <c r="H330" s="22" t="s">
        <v>7639</v>
      </c>
      <c r="I330" s="22" t="s">
        <v>5495</v>
      </c>
      <c r="J330" s="22" t="s">
        <v>5519</v>
      </c>
      <c r="K330" s="22" t="s">
        <v>7640</v>
      </c>
      <c r="L330" s="22" t="s">
        <v>5673</v>
      </c>
      <c r="M330" s="22"/>
    </row>
    <row r="331" ht="15.75" customHeight="1">
      <c r="A331" s="20" t="s">
        <v>7641</v>
      </c>
      <c r="B331" s="20" t="s">
        <v>7635</v>
      </c>
      <c r="C331" s="20" t="s">
        <v>7636</v>
      </c>
      <c r="D331" s="20" t="s">
        <v>7642</v>
      </c>
      <c r="E331" s="20" t="s">
        <v>5480</v>
      </c>
      <c r="F331" s="20" t="s">
        <v>5480</v>
      </c>
      <c r="G331" s="20" t="s">
        <v>7643</v>
      </c>
      <c r="H331" s="20" t="s">
        <v>7639</v>
      </c>
      <c r="I331" s="20" t="s">
        <v>5495</v>
      </c>
      <c r="J331" s="21" t="s">
        <v>5519</v>
      </c>
      <c r="K331" s="21" t="s">
        <v>7640</v>
      </c>
      <c r="L331" s="21" t="s">
        <v>278</v>
      </c>
      <c r="M331" s="21"/>
    </row>
    <row r="332" ht="15.75" customHeight="1">
      <c r="A332" s="22" t="s">
        <v>7644</v>
      </c>
      <c r="B332" s="22" t="s">
        <v>7635</v>
      </c>
      <c r="C332" s="22" t="s">
        <v>7645</v>
      </c>
      <c r="D332" s="22" t="s">
        <v>7646</v>
      </c>
      <c r="E332" s="22" t="s">
        <v>5480</v>
      </c>
      <c r="F332" s="22" t="s">
        <v>5480</v>
      </c>
      <c r="G332" s="22" t="s">
        <v>7647</v>
      </c>
      <c r="H332" s="22" t="s">
        <v>7639</v>
      </c>
      <c r="I332" s="22" t="s">
        <v>5495</v>
      </c>
      <c r="J332" s="22" t="s">
        <v>5519</v>
      </c>
      <c r="K332" s="22" t="s">
        <v>7648</v>
      </c>
      <c r="L332" s="22" t="s">
        <v>2110</v>
      </c>
      <c r="M332" s="22"/>
    </row>
    <row r="333" ht="15.75" customHeight="1">
      <c r="A333" s="20" t="s">
        <v>7649</v>
      </c>
      <c r="B333" s="20" t="s">
        <v>7650</v>
      </c>
      <c r="C333" s="20" t="s">
        <v>7651</v>
      </c>
      <c r="D333" s="20" t="s">
        <v>7652</v>
      </c>
      <c r="E333" s="20" t="s">
        <v>7653</v>
      </c>
      <c r="F333" s="20" t="s">
        <v>231</v>
      </c>
      <c r="G333" s="20" t="s">
        <v>7654</v>
      </c>
      <c r="H333" s="20" t="s">
        <v>7655</v>
      </c>
      <c r="I333" s="20" t="s">
        <v>5495</v>
      </c>
      <c r="J333" s="21"/>
      <c r="K333" s="21" t="s">
        <v>7656</v>
      </c>
      <c r="L333" s="21" t="s">
        <v>7657</v>
      </c>
      <c r="M333" s="21"/>
    </row>
    <row r="334" ht="15.75" customHeight="1">
      <c r="A334" s="22" t="s">
        <v>7658</v>
      </c>
      <c r="B334" s="22" t="s">
        <v>7659</v>
      </c>
      <c r="C334" s="22" t="s">
        <v>7660</v>
      </c>
      <c r="D334" s="22" t="s">
        <v>7661</v>
      </c>
      <c r="E334" s="22" t="s">
        <v>7662</v>
      </c>
      <c r="F334" s="22" t="s">
        <v>4846</v>
      </c>
      <c r="G334" s="22" t="s">
        <v>7663</v>
      </c>
      <c r="H334" s="22"/>
      <c r="I334" s="22" t="s">
        <v>5495</v>
      </c>
      <c r="J334" s="22" t="s">
        <v>5650</v>
      </c>
      <c r="K334" s="22" t="s">
        <v>7664</v>
      </c>
      <c r="L334" s="22" t="s">
        <v>7665</v>
      </c>
      <c r="M334" s="22"/>
    </row>
    <row r="335" ht="15.75" customHeight="1">
      <c r="A335" s="20" t="s">
        <v>7666</v>
      </c>
      <c r="B335" s="20" t="s">
        <v>7667</v>
      </c>
      <c r="C335" s="20" t="s">
        <v>7668</v>
      </c>
      <c r="D335" s="20" t="s">
        <v>7669</v>
      </c>
      <c r="E335" s="20" t="s">
        <v>129</v>
      </c>
      <c r="F335" s="20" t="s">
        <v>129</v>
      </c>
      <c r="G335" s="20" t="s">
        <v>7670</v>
      </c>
      <c r="H335" s="20" t="s">
        <v>7671</v>
      </c>
      <c r="I335" s="20" t="s">
        <v>5495</v>
      </c>
      <c r="J335" s="21" t="s">
        <v>5560</v>
      </c>
      <c r="K335" s="21" t="s">
        <v>7672</v>
      </c>
      <c r="L335" s="21" t="s">
        <v>7673</v>
      </c>
      <c r="M335" s="21"/>
    </row>
    <row r="336" ht="15.75" customHeight="1">
      <c r="A336" s="22" t="s">
        <v>7674</v>
      </c>
      <c r="B336" s="22" t="s">
        <v>7675</v>
      </c>
      <c r="C336" s="22"/>
      <c r="D336" s="22" t="s">
        <v>7676</v>
      </c>
      <c r="E336" s="22" t="s">
        <v>129</v>
      </c>
      <c r="F336" s="22" t="s">
        <v>129</v>
      </c>
      <c r="G336" s="22" t="s">
        <v>7677</v>
      </c>
      <c r="H336" s="22" t="s">
        <v>7678</v>
      </c>
      <c r="I336" s="22" t="s">
        <v>5495</v>
      </c>
      <c r="J336" s="22" t="s">
        <v>5560</v>
      </c>
      <c r="K336" s="22" t="s">
        <v>7679</v>
      </c>
      <c r="L336" s="22" t="s">
        <v>7680</v>
      </c>
      <c r="M336" s="22"/>
    </row>
    <row r="337" ht="15.75" customHeight="1">
      <c r="A337" s="20" t="s">
        <v>7681</v>
      </c>
      <c r="B337" s="20" t="s">
        <v>7682</v>
      </c>
      <c r="C337" s="20" t="s">
        <v>7683</v>
      </c>
      <c r="D337" s="20" t="s">
        <v>7684</v>
      </c>
      <c r="E337" s="20" t="s">
        <v>129</v>
      </c>
      <c r="F337" s="20" t="s">
        <v>129</v>
      </c>
      <c r="G337" s="20" t="s">
        <v>7685</v>
      </c>
      <c r="H337" s="20" t="s">
        <v>7686</v>
      </c>
      <c r="I337" s="20" t="s">
        <v>5495</v>
      </c>
      <c r="J337" s="21" t="s">
        <v>5560</v>
      </c>
      <c r="K337" s="21" t="s">
        <v>7687</v>
      </c>
      <c r="L337" s="21" t="s">
        <v>5575</v>
      </c>
      <c r="M337" s="21"/>
    </row>
    <row r="338" ht="15.75" customHeight="1">
      <c r="A338" s="22" t="s">
        <v>7688</v>
      </c>
      <c r="B338" s="22" t="s">
        <v>7689</v>
      </c>
      <c r="C338" s="22"/>
      <c r="D338" s="22"/>
      <c r="E338" s="22" t="s">
        <v>129</v>
      </c>
      <c r="F338" s="22" t="s">
        <v>129</v>
      </c>
      <c r="G338" s="22" t="s">
        <v>7690</v>
      </c>
      <c r="H338" s="22" t="s">
        <v>7691</v>
      </c>
      <c r="I338" s="22" t="s">
        <v>5495</v>
      </c>
      <c r="J338" s="22" t="s">
        <v>5560</v>
      </c>
      <c r="K338" s="22" t="s">
        <v>7692</v>
      </c>
      <c r="L338" s="22" t="s">
        <v>7693</v>
      </c>
      <c r="M338" s="22"/>
    </row>
    <row r="339" ht="15.75" customHeight="1">
      <c r="A339" s="20" t="s">
        <v>7694</v>
      </c>
      <c r="B339" s="20" t="s">
        <v>7695</v>
      </c>
      <c r="C339" s="20" t="s">
        <v>7696</v>
      </c>
      <c r="D339" s="20" t="s">
        <v>7697</v>
      </c>
      <c r="E339" s="20" t="s">
        <v>129</v>
      </c>
      <c r="F339" s="20" t="s">
        <v>129</v>
      </c>
      <c r="G339" s="20" t="s">
        <v>7698</v>
      </c>
      <c r="H339" s="20" t="s">
        <v>7699</v>
      </c>
      <c r="I339" s="20" t="s">
        <v>5495</v>
      </c>
      <c r="J339" s="21" t="s">
        <v>5560</v>
      </c>
      <c r="K339" s="21" t="s">
        <v>7700</v>
      </c>
      <c r="L339" s="21" t="s">
        <v>5691</v>
      </c>
      <c r="M339" s="21"/>
    </row>
    <row r="340" ht="15.75" customHeight="1">
      <c r="A340" s="22" t="s">
        <v>7701</v>
      </c>
      <c r="B340" s="22" t="s">
        <v>7702</v>
      </c>
      <c r="C340" s="22" t="s">
        <v>7703</v>
      </c>
      <c r="D340" s="22" t="s">
        <v>7704</v>
      </c>
      <c r="E340" s="22" t="s">
        <v>129</v>
      </c>
      <c r="F340" s="22" t="s">
        <v>129</v>
      </c>
      <c r="G340" s="22" t="s">
        <v>7705</v>
      </c>
      <c r="H340" s="22" t="s">
        <v>7706</v>
      </c>
      <c r="I340" s="22" t="s">
        <v>5495</v>
      </c>
      <c r="J340" s="22" t="s">
        <v>5560</v>
      </c>
      <c r="K340" s="22" t="s">
        <v>7692</v>
      </c>
      <c r="L340" s="22" t="s">
        <v>7707</v>
      </c>
      <c r="M340" s="22"/>
    </row>
    <row r="341" ht="15.75" customHeight="1">
      <c r="A341" s="20" t="s">
        <v>7708</v>
      </c>
      <c r="B341" s="20" t="s">
        <v>7709</v>
      </c>
      <c r="C341" s="20"/>
      <c r="D341" s="20" t="s">
        <v>7710</v>
      </c>
      <c r="E341" s="20" t="s">
        <v>129</v>
      </c>
      <c r="F341" s="20" t="s">
        <v>129</v>
      </c>
      <c r="G341" s="20" t="s">
        <v>7711</v>
      </c>
      <c r="H341" s="20" t="s">
        <v>7712</v>
      </c>
      <c r="I341" s="20" t="s">
        <v>5495</v>
      </c>
      <c r="J341" s="21" t="s">
        <v>5560</v>
      </c>
      <c r="K341" s="21" t="s">
        <v>7713</v>
      </c>
      <c r="L341" s="21" t="s">
        <v>7693</v>
      </c>
      <c r="M341" s="21"/>
    </row>
    <row r="342" ht="15.75" customHeight="1">
      <c r="A342" s="22" t="s">
        <v>7714</v>
      </c>
      <c r="B342" s="22" t="s">
        <v>7715</v>
      </c>
      <c r="C342" s="22"/>
      <c r="D342" s="22" t="s">
        <v>7716</v>
      </c>
      <c r="E342" s="22" t="s">
        <v>129</v>
      </c>
      <c r="F342" s="22" t="s">
        <v>129</v>
      </c>
      <c r="G342" s="22" t="s">
        <v>7717</v>
      </c>
      <c r="H342" s="22"/>
      <c r="I342" s="22" t="s">
        <v>5495</v>
      </c>
      <c r="J342" s="22" t="s">
        <v>5560</v>
      </c>
      <c r="K342" s="22" t="s">
        <v>7718</v>
      </c>
      <c r="L342" s="22" t="s">
        <v>2110</v>
      </c>
      <c r="M342" s="22"/>
    </row>
    <row r="343" ht="15.75" customHeight="1">
      <c r="A343" s="20" t="s">
        <v>7719</v>
      </c>
      <c r="B343" s="20" t="s">
        <v>7720</v>
      </c>
      <c r="C343" s="20" t="s">
        <v>7721</v>
      </c>
      <c r="D343" s="20" t="s">
        <v>7722</v>
      </c>
      <c r="E343" s="20" t="s">
        <v>129</v>
      </c>
      <c r="F343" s="20" t="s">
        <v>129</v>
      </c>
      <c r="G343" s="20" t="s">
        <v>7723</v>
      </c>
      <c r="H343" s="20" t="s">
        <v>7724</v>
      </c>
      <c r="I343" s="20" t="s">
        <v>5495</v>
      </c>
      <c r="J343" s="21" t="s">
        <v>5560</v>
      </c>
      <c r="K343" s="21" t="s">
        <v>7718</v>
      </c>
      <c r="L343" s="21" t="s">
        <v>1901</v>
      </c>
      <c r="M343" s="21"/>
    </row>
    <row r="344" ht="15.75" customHeight="1">
      <c r="A344" s="22" t="s">
        <v>7725</v>
      </c>
      <c r="B344" s="22" t="s">
        <v>7726</v>
      </c>
      <c r="C344" s="22" t="s">
        <v>7727</v>
      </c>
      <c r="D344" s="22" t="s">
        <v>7728</v>
      </c>
      <c r="E344" s="22" t="s">
        <v>129</v>
      </c>
      <c r="F344" s="22" t="s">
        <v>129</v>
      </c>
      <c r="G344" s="22" t="s">
        <v>7729</v>
      </c>
      <c r="H344" s="22" t="s">
        <v>7730</v>
      </c>
      <c r="I344" s="22" t="s">
        <v>5495</v>
      </c>
      <c r="J344" s="22" t="s">
        <v>5560</v>
      </c>
      <c r="K344" s="22" t="s">
        <v>7692</v>
      </c>
      <c r="L344" s="22" t="s">
        <v>7731</v>
      </c>
      <c r="M344" s="22"/>
    </row>
    <row r="345" ht="15.75" customHeight="1">
      <c r="A345" s="20" t="s">
        <v>7732</v>
      </c>
      <c r="B345" s="20" t="s">
        <v>7733</v>
      </c>
      <c r="C345" s="20" t="s">
        <v>7734</v>
      </c>
      <c r="D345" s="20" t="s">
        <v>7735</v>
      </c>
      <c r="E345" s="20" t="s">
        <v>129</v>
      </c>
      <c r="F345" s="20" t="s">
        <v>129</v>
      </c>
      <c r="G345" s="20" t="s">
        <v>7736</v>
      </c>
      <c r="H345" s="20"/>
      <c r="I345" s="20" t="s">
        <v>5495</v>
      </c>
      <c r="J345" s="21" t="s">
        <v>7737</v>
      </c>
      <c r="K345" s="21" t="s">
        <v>7738</v>
      </c>
      <c r="L345" s="21"/>
      <c r="M345" s="21"/>
    </row>
    <row r="346" ht="15.75" customHeight="1">
      <c r="A346" s="22" t="s">
        <v>7739</v>
      </c>
      <c r="B346" s="22" t="s">
        <v>7740</v>
      </c>
      <c r="C346" s="22" t="s">
        <v>7741</v>
      </c>
      <c r="D346" s="22" t="s">
        <v>7742</v>
      </c>
      <c r="E346" s="22" t="s">
        <v>129</v>
      </c>
      <c r="F346" s="22" t="s">
        <v>129</v>
      </c>
      <c r="G346" s="22" t="s">
        <v>7743</v>
      </c>
      <c r="H346" s="22"/>
      <c r="I346" s="22" t="s">
        <v>5495</v>
      </c>
      <c r="J346" s="22"/>
      <c r="K346" s="22" t="s">
        <v>7744</v>
      </c>
      <c r="L346" s="22" t="s">
        <v>1070</v>
      </c>
      <c r="M346" s="22"/>
    </row>
    <row r="347" ht="15.75" customHeight="1">
      <c r="A347" s="20" t="s">
        <v>7745</v>
      </c>
      <c r="B347" s="20" t="s">
        <v>7740</v>
      </c>
      <c r="C347" s="20" t="s">
        <v>7746</v>
      </c>
      <c r="D347" s="20" t="s">
        <v>7747</v>
      </c>
      <c r="E347" s="20" t="s">
        <v>129</v>
      </c>
      <c r="F347" s="20" t="s">
        <v>129</v>
      </c>
      <c r="G347" s="20" t="s">
        <v>7748</v>
      </c>
      <c r="H347" s="20"/>
      <c r="I347" s="20" t="s">
        <v>5495</v>
      </c>
      <c r="J347" s="21"/>
      <c r="K347" s="21" t="s">
        <v>7744</v>
      </c>
      <c r="L347" s="21" t="s">
        <v>941</v>
      </c>
      <c r="M347" s="21"/>
    </row>
    <row r="348" ht="15.75" customHeight="1">
      <c r="A348" s="22" t="s">
        <v>7749</v>
      </c>
      <c r="B348" s="22" t="s">
        <v>7702</v>
      </c>
      <c r="C348" s="22" t="s">
        <v>7750</v>
      </c>
      <c r="D348" s="22"/>
      <c r="E348" s="22" t="s">
        <v>129</v>
      </c>
      <c r="F348" s="22" t="s">
        <v>129</v>
      </c>
      <c r="G348" s="22" t="s">
        <v>7751</v>
      </c>
      <c r="H348" s="22"/>
      <c r="I348" s="22" t="s">
        <v>5495</v>
      </c>
      <c r="J348" s="22"/>
      <c r="K348" s="22" t="s">
        <v>7692</v>
      </c>
      <c r="L348" s="22" t="s">
        <v>7707</v>
      </c>
      <c r="M348" s="22"/>
    </row>
    <row r="349" ht="15.75" customHeight="1">
      <c r="A349" s="20" t="s">
        <v>7752</v>
      </c>
      <c r="B349" s="20" t="s">
        <v>7753</v>
      </c>
      <c r="C349" s="20" t="s">
        <v>7754</v>
      </c>
      <c r="D349" s="20" t="s">
        <v>7755</v>
      </c>
      <c r="E349" s="20" t="s">
        <v>7756</v>
      </c>
      <c r="F349" s="20" t="s">
        <v>7756</v>
      </c>
      <c r="G349" s="20" t="s">
        <v>7757</v>
      </c>
      <c r="H349" s="20" t="s">
        <v>7758</v>
      </c>
      <c r="I349" s="20" t="s">
        <v>5495</v>
      </c>
      <c r="J349" s="21" t="s">
        <v>5560</v>
      </c>
      <c r="K349" s="21" t="s">
        <v>7759</v>
      </c>
      <c r="L349" s="21" t="s">
        <v>902</v>
      </c>
      <c r="M349" s="21"/>
    </row>
    <row r="350" ht="15.75" customHeight="1">
      <c r="A350" s="22" t="s">
        <v>7760</v>
      </c>
      <c r="B350" s="22" t="s">
        <v>7761</v>
      </c>
      <c r="C350" s="22" t="s">
        <v>7762</v>
      </c>
      <c r="D350" s="22" t="s">
        <v>7763</v>
      </c>
      <c r="E350" s="22" t="s">
        <v>1352</v>
      </c>
      <c r="F350" s="22" t="s">
        <v>1352</v>
      </c>
      <c r="G350" s="22" t="s">
        <v>7764</v>
      </c>
      <c r="H350" s="22" t="s">
        <v>7765</v>
      </c>
      <c r="I350" s="22" t="s">
        <v>5495</v>
      </c>
      <c r="J350" s="22" t="s">
        <v>5605</v>
      </c>
      <c r="K350" s="22" t="s">
        <v>7766</v>
      </c>
      <c r="L350" s="22" t="s">
        <v>7767</v>
      </c>
      <c r="M350" s="22"/>
    </row>
    <row r="351" ht="15.75" customHeight="1">
      <c r="A351" s="20" t="s">
        <v>7768</v>
      </c>
      <c r="B351" s="20" t="s">
        <v>7769</v>
      </c>
      <c r="C351" s="20" t="s">
        <v>7770</v>
      </c>
      <c r="D351" s="20" t="s">
        <v>7771</v>
      </c>
      <c r="E351" s="20" t="s">
        <v>1352</v>
      </c>
      <c r="F351" s="20" t="s">
        <v>1352</v>
      </c>
      <c r="G351" s="20" t="s">
        <v>7772</v>
      </c>
      <c r="H351" s="20" t="s">
        <v>7773</v>
      </c>
      <c r="I351" s="20" t="s">
        <v>5495</v>
      </c>
      <c r="J351" s="21" t="s">
        <v>7774</v>
      </c>
      <c r="K351" s="21" t="s">
        <v>7775</v>
      </c>
      <c r="L351" s="21" t="s">
        <v>1986</v>
      </c>
      <c r="M351" s="21"/>
    </row>
    <row r="352" ht="15.75" customHeight="1">
      <c r="A352" s="22" t="s">
        <v>7776</v>
      </c>
      <c r="B352" s="22" t="s">
        <v>7777</v>
      </c>
      <c r="C352" s="22" t="s">
        <v>7778</v>
      </c>
      <c r="D352" s="22" t="s">
        <v>7779</v>
      </c>
      <c r="E352" s="22" t="s">
        <v>7780</v>
      </c>
      <c r="F352" s="22" t="s">
        <v>1009</v>
      </c>
      <c r="G352" s="22" t="s">
        <v>7781</v>
      </c>
      <c r="H352" s="22"/>
      <c r="I352" s="22" t="s">
        <v>5495</v>
      </c>
      <c r="J352" s="22" t="s">
        <v>5650</v>
      </c>
      <c r="K352" s="22" t="s">
        <v>7782</v>
      </c>
      <c r="L352" s="22" t="s">
        <v>7783</v>
      </c>
      <c r="M352" s="22"/>
    </row>
    <row r="353" ht="15.75" customHeight="1">
      <c r="A353" s="20" t="s">
        <v>7784</v>
      </c>
      <c r="B353" s="20" t="s">
        <v>7785</v>
      </c>
      <c r="C353" s="20" t="s">
        <v>7786</v>
      </c>
      <c r="D353" s="20" t="s">
        <v>7787</v>
      </c>
      <c r="E353" s="20" t="s">
        <v>7780</v>
      </c>
      <c r="F353" s="20" t="s">
        <v>1009</v>
      </c>
      <c r="G353" s="20" t="s">
        <v>7788</v>
      </c>
      <c r="H353" s="20" t="s">
        <v>7789</v>
      </c>
      <c r="I353" s="20" t="s">
        <v>5495</v>
      </c>
      <c r="J353" s="21"/>
      <c r="K353" s="21" t="s">
        <v>7782</v>
      </c>
      <c r="L353" s="21" t="s">
        <v>7435</v>
      </c>
      <c r="M353" s="21"/>
    </row>
    <row r="354" ht="15.75" customHeight="1">
      <c r="A354" s="22" t="s">
        <v>7790</v>
      </c>
      <c r="B354" s="22" t="s">
        <v>7791</v>
      </c>
      <c r="C354" s="22"/>
      <c r="D354" s="22" t="s">
        <v>7792</v>
      </c>
      <c r="E354" s="22" t="s">
        <v>7793</v>
      </c>
      <c r="F354" s="22" t="s">
        <v>231</v>
      </c>
      <c r="G354" s="22" t="s">
        <v>7794</v>
      </c>
      <c r="H354" s="22"/>
      <c r="I354" s="22" t="s">
        <v>5495</v>
      </c>
      <c r="J354" s="22"/>
      <c r="K354" s="22" t="s">
        <v>7795</v>
      </c>
      <c r="L354" s="22" t="s">
        <v>7796</v>
      </c>
      <c r="M354" s="22"/>
    </row>
    <row r="355" ht="15.75" customHeight="1">
      <c r="A355" s="20" t="s">
        <v>7797</v>
      </c>
      <c r="B355" s="20" t="s">
        <v>7798</v>
      </c>
      <c r="C355" s="20" t="s">
        <v>7799</v>
      </c>
      <c r="D355" s="20" t="s">
        <v>7800</v>
      </c>
      <c r="E355" s="20" t="s">
        <v>7801</v>
      </c>
      <c r="F355" s="20" t="s">
        <v>231</v>
      </c>
      <c r="G355" s="20" t="s">
        <v>7802</v>
      </c>
      <c r="H355" s="20"/>
      <c r="I355" s="20" t="s">
        <v>5495</v>
      </c>
      <c r="J355" s="21" t="s">
        <v>5650</v>
      </c>
      <c r="K355" s="21" t="s">
        <v>7795</v>
      </c>
      <c r="L355" s="21" t="s">
        <v>5734</v>
      </c>
      <c r="M355" s="21"/>
    </row>
    <row r="356" ht="15.75" customHeight="1">
      <c r="A356" s="22" t="s">
        <v>7803</v>
      </c>
      <c r="B356" s="22" t="s">
        <v>7804</v>
      </c>
      <c r="C356" s="22"/>
      <c r="D356" s="22"/>
      <c r="E356" s="22" t="s">
        <v>4660</v>
      </c>
      <c r="F356" s="22" t="s">
        <v>4660</v>
      </c>
      <c r="G356" s="22" t="s">
        <v>7805</v>
      </c>
      <c r="H356" s="22" t="s">
        <v>7806</v>
      </c>
      <c r="I356" s="22" t="s">
        <v>5495</v>
      </c>
      <c r="J356" s="22" t="s">
        <v>5519</v>
      </c>
      <c r="K356" s="22" t="s">
        <v>7354</v>
      </c>
      <c r="L356" s="22" t="s">
        <v>5734</v>
      </c>
      <c r="M356" s="22"/>
    </row>
    <row r="357" ht="15.75" customHeight="1">
      <c r="A357" s="20" t="s">
        <v>7807</v>
      </c>
      <c r="B357" s="20" t="s">
        <v>7808</v>
      </c>
      <c r="C357" s="20" t="s">
        <v>7809</v>
      </c>
      <c r="D357" s="20" t="s">
        <v>7810</v>
      </c>
      <c r="E357" s="20" t="s">
        <v>4660</v>
      </c>
      <c r="F357" s="20" t="s">
        <v>1462</v>
      </c>
      <c r="G357" s="20" t="s">
        <v>7811</v>
      </c>
      <c r="H357" s="20" t="s">
        <v>7812</v>
      </c>
      <c r="I357" s="20" t="s">
        <v>5495</v>
      </c>
      <c r="J357" s="21" t="s">
        <v>5496</v>
      </c>
      <c r="K357" s="21" t="s">
        <v>7813</v>
      </c>
      <c r="L357" s="21" t="s">
        <v>5691</v>
      </c>
      <c r="M357" s="21"/>
    </row>
    <row r="358" ht="15.75" customHeight="1">
      <c r="A358" s="22" t="s">
        <v>7814</v>
      </c>
      <c r="B358" s="22" t="s">
        <v>7815</v>
      </c>
      <c r="C358" s="22" t="s">
        <v>7816</v>
      </c>
      <c r="D358" s="22" t="s">
        <v>7817</v>
      </c>
      <c r="E358" s="22" t="s">
        <v>4660</v>
      </c>
      <c r="F358" s="22" t="s">
        <v>1462</v>
      </c>
      <c r="G358" s="22" t="s">
        <v>7818</v>
      </c>
      <c r="H358" s="22" t="s">
        <v>7819</v>
      </c>
      <c r="I358" s="22" t="s">
        <v>5495</v>
      </c>
      <c r="J358" s="22" t="s">
        <v>5496</v>
      </c>
      <c r="K358" s="22" t="s">
        <v>7354</v>
      </c>
      <c r="L358" s="22" t="s">
        <v>902</v>
      </c>
      <c r="M358" s="22"/>
    </row>
    <row r="359" ht="15.75" customHeight="1">
      <c r="A359" s="20" t="s">
        <v>7820</v>
      </c>
      <c r="B359" s="20" t="s">
        <v>7821</v>
      </c>
      <c r="C359" s="20" t="s">
        <v>7822</v>
      </c>
      <c r="D359" s="20"/>
      <c r="E359" s="20" t="s">
        <v>4660</v>
      </c>
      <c r="F359" s="20" t="s">
        <v>1462</v>
      </c>
      <c r="G359" s="20" t="s">
        <v>7823</v>
      </c>
      <c r="H359" s="20" t="s">
        <v>7824</v>
      </c>
      <c r="I359" s="20" t="s">
        <v>5495</v>
      </c>
      <c r="J359" s="21" t="s">
        <v>5496</v>
      </c>
      <c r="K359" s="21" t="s">
        <v>7813</v>
      </c>
      <c r="L359" s="21" t="s">
        <v>5098</v>
      </c>
      <c r="M359" s="21"/>
    </row>
    <row r="360" ht="15.75" customHeight="1">
      <c r="A360" s="22" t="s">
        <v>7825</v>
      </c>
      <c r="B360" s="22" t="s">
        <v>7826</v>
      </c>
      <c r="C360" s="22" t="s">
        <v>7827</v>
      </c>
      <c r="D360" s="22"/>
      <c r="E360" s="22" t="s">
        <v>4660</v>
      </c>
      <c r="F360" s="22" t="s">
        <v>1462</v>
      </c>
      <c r="G360" s="22" t="s">
        <v>7828</v>
      </c>
      <c r="H360" s="22" t="s">
        <v>7829</v>
      </c>
      <c r="I360" s="22" t="s">
        <v>5495</v>
      </c>
      <c r="J360" s="22" t="s">
        <v>5496</v>
      </c>
      <c r="K360" s="22" t="s">
        <v>7830</v>
      </c>
      <c r="L360" s="22" t="s">
        <v>5521</v>
      </c>
      <c r="M360" s="22"/>
    </row>
    <row r="361" ht="15.75" customHeight="1">
      <c r="A361" s="20" t="s">
        <v>7831</v>
      </c>
      <c r="B361" s="20" t="s">
        <v>7832</v>
      </c>
      <c r="C361" s="20" t="s">
        <v>7833</v>
      </c>
      <c r="D361" s="20"/>
      <c r="E361" s="20" t="s">
        <v>4660</v>
      </c>
      <c r="F361" s="20" t="s">
        <v>1462</v>
      </c>
      <c r="G361" s="20" t="s">
        <v>7834</v>
      </c>
      <c r="H361" s="20"/>
      <c r="I361" s="20" t="s">
        <v>5495</v>
      </c>
      <c r="J361" s="21"/>
      <c r="K361" s="21" t="s">
        <v>7354</v>
      </c>
      <c r="L361" s="21" t="s">
        <v>5912</v>
      </c>
      <c r="M361" s="21"/>
    </row>
    <row r="362" ht="15.75" customHeight="1">
      <c r="A362" s="22" t="s">
        <v>7835</v>
      </c>
      <c r="B362" s="22" t="s">
        <v>7836</v>
      </c>
      <c r="C362" s="22" t="s">
        <v>7837</v>
      </c>
      <c r="D362" s="22" t="s">
        <v>7838</v>
      </c>
      <c r="E362" s="22" t="s">
        <v>4660</v>
      </c>
      <c r="F362" s="22" t="s">
        <v>1462</v>
      </c>
      <c r="G362" s="22" t="s">
        <v>7839</v>
      </c>
      <c r="H362" s="22"/>
      <c r="I362" s="22" t="s">
        <v>5495</v>
      </c>
      <c r="J362" s="22"/>
      <c r="K362" s="22" t="s">
        <v>7354</v>
      </c>
      <c r="L362" s="22" t="s">
        <v>278</v>
      </c>
      <c r="M362" s="22"/>
    </row>
    <row r="363" ht="15.75" customHeight="1">
      <c r="A363" s="20" t="s">
        <v>7840</v>
      </c>
      <c r="B363" s="20" t="s">
        <v>7841</v>
      </c>
      <c r="C363" s="20" t="s">
        <v>7842</v>
      </c>
      <c r="D363" s="20" t="s">
        <v>7843</v>
      </c>
      <c r="E363" s="20" t="s">
        <v>7844</v>
      </c>
      <c r="F363" s="20" t="s">
        <v>231</v>
      </c>
      <c r="G363" s="20" t="s">
        <v>7845</v>
      </c>
      <c r="H363" s="20" t="s">
        <v>7846</v>
      </c>
      <c r="I363" s="20" t="s">
        <v>5495</v>
      </c>
      <c r="J363" s="21" t="s">
        <v>5650</v>
      </c>
      <c r="K363" s="21" t="s">
        <v>7847</v>
      </c>
      <c r="L363" s="21" t="s">
        <v>3486</v>
      </c>
      <c r="M363" s="21"/>
    </row>
    <row r="364" ht="15.75" customHeight="1">
      <c r="A364" s="22" t="s">
        <v>7848</v>
      </c>
      <c r="B364" s="22" t="s">
        <v>7849</v>
      </c>
      <c r="C364" s="22" t="s">
        <v>7850</v>
      </c>
      <c r="D364" s="22" t="s">
        <v>7851</v>
      </c>
      <c r="E364" s="22" t="s">
        <v>7852</v>
      </c>
      <c r="F364" s="22" t="s">
        <v>231</v>
      </c>
      <c r="G364" s="22" t="s">
        <v>7853</v>
      </c>
      <c r="H364" s="22"/>
      <c r="I364" s="22" t="s">
        <v>5495</v>
      </c>
      <c r="J364" s="22" t="s">
        <v>5650</v>
      </c>
      <c r="K364" s="22" t="s">
        <v>7854</v>
      </c>
      <c r="L364" s="22" t="s">
        <v>781</v>
      </c>
      <c r="M364" s="22"/>
    </row>
    <row r="365" ht="15.75" customHeight="1">
      <c r="A365" s="20" t="s">
        <v>7855</v>
      </c>
      <c r="B365" s="20" t="s">
        <v>7856</v>
      </c>
      <c r="C365" s="20" t="s">
        <v>7857</v>
      </c>
      <c r="D365" s="20" t="s">
        <v>7858</v>
      </c>
      <c r="E365" s="20" t="s">
        <v>7859</v>
      </c>
      <c r="F365" s="20" t="s">
        <v>1462</v>
      </c>
      <c r="G365" s="20" t="s">
        <v>7860</v>
      </c>
      <c r="H365" s="20"/>
      <c r="I365" s="20" t="s">
        <v>5495</v>
      </c>
      <c r="J365" s="21" t="s">
        <v>6082</v>
      </c>
      <c r="K365" s="21" t="s">
        <v>7861</v>
      </c>
      <c r="L365" s="21"/>
      <c r="M365" s="21"/>
    </row>
    <row r="366" ht="15.75" customHeight="1">
      <c r="A366" s="22" t="s">
        <v>7862</v>
      </c>
      <c r="B366" s="22" t="s">
        <v>7863</v>
      </c>
      <c r="C366" s="22" t="s">
        <v>7864</v>
      </c>
      <c r="D366" s="22" t="s">
        <v>7865</v>
      </c>
      <c r="E366" s="22" t="s">
        <v>7866</v>
      </c>
      <c r="F366" s="22" t="s">
        <v>231</v>
      </c>
      <c r="G366" s="22" t="s">
        <v>7867</v>
      </c>
      <c r="H366" s="22"/>
      <c r="I366" s="22" t="s">
        <v>5495</v>
      </c>
      <c r="J366" s="22" t="s">
        <v>5650</v>
      </c>
      <c r="K366" s="22" t="s">
        <v>5893</v>
      </c>
      <c r="L366" s="22" t="s">
        <v>6123</v>
      </c>
      <c r="M366" s="22"/>
    </row>
    <row r="367" ht="15.75" customHeight="1">
      <c r="A367" s="20" t="s">
        <v>7868</v>
      </c>
      <c r="B367" s="20" t="s">
        <v>7869</v>
      </c>
      <c r="C367" s="20" t="s">
        <v>7870</v>
      </c>
      <c r="D367" s="20" t="s">
        <v>7871</v>
      </c>
      <c r="E367" s="20" t="s">
        <v>7872</v>
      </c>
      <c r="F367" s="20" t="s">
        <v>111</v>
      </c>
      <c r="G367" s="20" t="s">
        <v>7873</v>
      </c>
      <c r="H367" s="20" t="s">
        <v>7874</v>
      </c>
      <c r="I367" s="20" t="s">
        <v>5495</v>
      </c>
      <c r="J367" s="21" t="s">
        <v>5496</v>
      </c>
      <c r="K367" s="21" t="s">
        <v>7875</v>
      </c>
      <c r="L367" s="21" t="s">
        <v>5691</v>
      </c>
      <c r="M367" s="21"/>
    </row>
    <row r="368" ht="15.75" customHeight="1">
      <c r="A368" s="22" t="s">
        <v>7876</v>
      </c>
      <c r="B368" s="22" t="s">
        <v>7877</v>
      </c>
      <c r="C368" s="22" t="s">
        <v>7878</v>
      </c>
      <c r="D368" s="22" t="s">
        <v>7879</v>
      </c>
      <c r="E368" s="22" t="s">
        <v>7880</v>
      </c>
      <c r="F368" s="22" t="s">
        <v>253</v>
      </c>
      <c r="G368" s="22" t="s">
        <v>7881</v>
      </c>
      <c r="H368" s="22" t="s">
        <v>7882</v>
      </c>
      <c r="I368" s="22" t="s">
        <v>5495</v>
      </c>
      <c r="J368" s="22" t="s">
        <v>5628</v>
      </c>
      <c r="K368" s="22" t="s">
        <v>7883</v>
      </c>
      <c r="L368" s="22"/>
      <c r="M368" s="22"/>
    </row>
    <row r="369" ht="15.75" customHeight="1">
      <c r="A369" s="20" t="s">
        <v>7884</v>
      </c>
      <c r="B369" s="20" t="s">
        <v>7885</v>
      </c>
      <c r="C369" s="20" t="s">
        <v>7886</v>
      </c>
      <c r="D369" s="20" t="s">
        <v>7887</v>
      </c>
      <c r="E369" s="20" t="s">
        <v>7888</v>
      </c>
      <c r="F369" s="20" t="s">
        <v>7889</v>
      </c>
      <c r="G369" s="20" t="s">
        <v>7890</v>
      </c>
      <c r="H369" s="20" t="s">
        <v>7891</v>
      </c>
      <c r="I369" s="20" t="s">
        <v>5495</v>
      </c>
      <c r="J369" s="21" t="s">
        <v>5628</v>
      </c>
      <c r="K369" s="21" t="s">
        <v>7892</v>
      </c>
      <c r="L369" s="21" t="s">
        <v>7893</v>
      </c>
      <c r="M369" s="21"/>
    </row>
    <row r="370" ht="15.75" customHeight="1">
      <c r="A370" s="22" t="s">
        <v>7894</v>
      </c>
      <c r="B370" s="22" t="s">
        <v>7895</v>
      </c>
      <c r="C370" s="22" t="s">
        <v>2426</v>
      </c>
      <c r="D370" s="22" t="s">
        <v>7896</v>
      </c>
      <c r="E370" s="22" t="s">
        <v>7888</v>
      </c>
      <c r="F370" s="22" t="s">
        <v>7889</v>
      </c>
      <c r="G370" s="22" t="s">
        <v>7897</v>
      </c>
      <c r="H370" s="22"/>
      <c r="I370" s="22" t="s">
        <v>5495</v>
      </c>
      <c r="J370" s="22"/>
      <c r="K370" s="22" t="s">
        <v>7898</v>
      </c>
      <c r="L370" s="22" t="s">
        <v>520</v>
      </c>
      <c r="M370" s="22"/>
    </row>
    <row r="371" ht="15.75" customHeight="1">
      <c r="A371" s="20" t="s">
        <v>7899</v>
      </c>
      <c r="B371" s="20" t="s">
        <v>7900</v>
      </c>
      <c r="C371" s="20"/>
      <c r="D371" s="20" t="s">
        <v>7901</v>
      </c>
      <c r="E371" s="20" t="s">
        <v>7888</v>
      </c>
      <c r="F371" s="20" t="s">
        <v>7889</v>
      </c>
      <c r="G371" s="20" t="s">
        <v>7902</v>
      </c>
      <c r="H371" s="20"/>
      <c r="I371" s="20" t="s">
        <v>5495</v>
      </c>
      <c r="J371" s="21"/>
      <c r="K371" s="21" t="s">
        <v>7903</v>
      </c>
      <c r="L371" s="21" t="s">
        <v>5673</v>
      </c>
      <c r="M371" s="21"/>
    </row>
    <row r="372" ht="15.75" customHeight="1">
      <c r="A372" s="22" t="s">
        <v>5522</v>
      </c>
      <c r="B372" s="22" t="s">
        <v>7904</v>
      </c>
      <c r="C372" s="22" t="s">
        <v>7905</v>
      </c>
      <c r="D372" s="22" t="s">
        <v>7906</v>
      </c>
      <c r="E372" s="22" t="s">
        <v>7907</v>
      </c>
      <c r="F372" s="22" t="s">
        <v>5480</v>
      </c>
      <c r="G372" s="22" t="s">
        <v>7908</v>
      </c>
      <c r="H372" s="22" t="s">
        <v>7909</v>
      </c>
      <c r="I372" s="22" t="s">
        <v>5495</v>
      </c>
      <c r="J372" s="22" t="s">
        <v>5519</v>
      </c>
      <c r="K372" s="22" t="s">
        <v>7910</v>
      </c>
      <c r="L372" s="22" t="s">
        <v>2110</v>
      </c>
      <c r="M372" s="22"/>
    </row>
    <row r="373" ht="15.75" customHeight="1">
      <c r="A373" s="20" t="s">
        <v>7911</v>
      </c>
      <c r="B373" s="20" t="s">
        <v>7912</v>
      </c>
      <c r="C373" s="20" t="s">
        <v>7913</v>
      </c>
      <c r="D373" s="20" t="s">
        <v>7914</v>
      </c>
      <c r="E373" s="20" t="s">
        <v>5441</v>
      </c>
      <c r="F373" s="20" t="s">
        <v>5441</v>
      </c>
      <c r="G373" s="20" t="s">
        <v>7915</v>
      </c>
      <c r="H373" s="20" t="s">
        <v>7916</v>
      </c>
      <c r="I373" s="20" t="s">
        <v>5495</v>
      </c>
      <c r="J373" s="21" t="s">
        <v>5605</v>
      </c>
      <c r="K373" s="21" t="s">
        <v>7917</v>
      </c>
      <c r="L373" s="21"/>
      <c r="M373" s="21"/>
    </row>
    <row r="374" ht="15.75" customHeight="1">
      <c r="A374" s="22" t="s">
        <v>7918</v>
      </c>
      <c r="B374" s="22" t="s">
        <v>7919</v>
      </c>
      <c r="C374" s="22" t="s">
        <v>7920</v>
      </c>
      <c r="D374" s="22" t="s">
        <v>7921</v>
      </c>
      <c r="E374" s="22" t="s">
        <v>5441</v>
      </c>
      <c r="F374" s="22" t="s">
        <v>5441</v>
      </c>
      <c r="G374" s="22" t="s">
        <v>7922</v>
      </c>
      <c r="H374" s="22" t="s">
        <v>7923</v>
      </c>
      <c r="I374" s="22" t="s">
        <v>5495</v>
      </c>
      <c r="J374" s="22" t="s">
        <v>5605</v>
      </c>
      <c r="K374" s="22" t="s">
        <v>7924</v>
      </c>
      <c r="L374" s="22" t="s">
        <v>3486</v>
      </c>
      <c r="M374" s="22"/>
    </row>
    <row r="375" ht="15.75" customHeight="1">
      <c r="A375" s="20" t="s">
        <v>7925</v>
      </c>
      <c r="B375" s="20" t="s">
        <v>7926</v>
      </c>
      <c r="C375" s="20" t="s">
        <v>7927</v>
      </c>
      <c r="D375" s="20" t="s">
        <v>7928</v>
      </c>
      <c r="E375" s="20" t="s">
        <v>5441</v>
      </c>
      <c r="F375" s="20" t="s">
        <v>5441</v>
      </c>
      <c r="G375" s="20" t="s">
        <v>7929</v>
      </c>
      <c r="H375" s="20" t="s">
        <v>7930</v>
      </c>
      <c r="I375" s="20" t="s">
        <v>5495</v>
      </c>
      <c r="J375" s="21"/>
      <c r="K375" s="21" t="s">
        <v>7931</v>
      </c>
      <c r="L375" s="21" t="s">
        <v>1901</v>
      </c>
      <c r="M375" s="21"/>
    </row>
    <row r="376" ht="15.75" customHeight="1">
      <c r="A376" s="22" t="s">
        <v>7932</v>
      </c>
      <c r="B376" s="22" t="s">
        <v>7933</v>
      </c>
      <c r="C376" s="22"/>
      <c r="D376" s="22" t="s">
        <v>7934</v>
      </c>
      <c r="E376" s="22" t="s">
        <v>2162</v>
      </c>
      <c r="F376" s="22" t="s">
        <v>2162</v>
      </c>
      <c r="G376" s="22" t="s">
        <v>7935</v>
      </c>
      <c r="H376" s="22" t="s">
        <v>7936</v>
      </c>
      <c r="I376" s="22" t="s">
        <v>5495</v>
      </c>
      <c r="J376" s="22" t="s">
        <v>7937</v>
      </c>
      <c r="K376" s="22" t="s">
        <v>7938</v>
      </c>
      <c r="L376" s="22" t="s">
        <v>5691</v>
      </c>
      <c r="M376" s="22"/>
    </row>
    <row r="377" ht="15.75" customHeight="1">
      <c r="A377" s="20" t="s">
        <v>7939</v>
      </c>
      <c r="B377" s="20" t="s">
        <v>7940</v>
      </c>
      <c r="C377" s="20" t="s">
        <v>7941</v>
      </c>
      <c r="D377" s="20" t="s">
        <v>7942</v>
      </c>
      <c r="E377" s="20" t="s">
        <v>2162</v>
      </c>
      <c r="F377" s="20" t="s">
        <v>2162</v>
      </c>
      <c r="G377" s="20" t="s">
        <v>7943</v>
      </c>
      <c r="H377" s="20" t="s">
        <v>7944</v>
      </c>
      <c r="I377" s="20" t="s">
        <v>5495</v>
      </c>
      <c r="J377" s="21" t="s">
        <v>7398</v>
      </c>
      <c r="K377" s="21" t="s">
        <v>7945</v>
      </c>
      <c r="L377" s="21" t="s">
        <v>5691</v>
      </c>
      <c r="M377" s="21"/>
    </row>
    <row r="378" ht="15.75" customHeight="1">
      <c r="A378" s="22" t="s">
        <v>7946</v>
      </c>
      <c r="B378" s="22" t="s">
        <v>7947</v>
      </c>
      <c r="C378" s="22" t="s">
        <v>7948</v>
      </c>
      <c r="D378" s="22" t="s">
        <v>7949</v>
      </c>
      <c r="E378" s="22" t="s">
        <v>2162</v>
      </c>
      <c r="F378" s="22" t="s">
        <v>2162</v>
      </c>
      <c r="G378" s="22" t="s">
        <v>7950</v>
      </c>
      <c r="H378" s="22"/>
      <c r="I378" s="22" t="s">
        <v>5495</v>
      </c>
      <c r="J378" s="22" t="s">
        <v>7398</v>
      </c>
      <c r="K378" s="22" t="s">
        <v>7951</v>
      </c>
      <c r="L378" s="22" t="s">
        <v>531</v>
      </c>
      <c r="M378" s="22"/>
    </row>
    <row r="379" ht="15.75" customHeight="1">
      <c r="A379" s="20" t="s">
        <v>7952</v>
      </c>
      <c r="B379" s="20" t="s">
        <v>7953</v>
      </c>
      <c r="C379" s="20" t="s">
        <v>7954</v>
      </c>
      <c r="D379" s="20" t="s">
        <v>7955</v>
      </c>
      <c r="E379" s="20" t="s">
        <v>2162</v>
      </c>
      <c r="F379" s="20" t="s">
        <v>2162</v>
      </c>
      <c r="G379" s="20" t="s">
        <v>7956</v>
      </c>
      <c r="H379" s="20"/>
      <c r="I379" s="20" t="s">
        <v>5495</v>
      </c>
      <c r="J379" s="21" t="s">
        <v>7398</v>
      </c>
      <c r="K379" s="21" t="s">
        <v>7957</v>
      </c>
      <c r="L379" s="21" t="s">
        <v>5498</v>
      </c>
      <c r="M379" s="21"/>
    </row>
    <row r="380" ht="15.75" customHeight="1">
      <c r="A380" s="22" t="s">
        <v>7958</v>
      </c>
      <c r="B380" s="22" t="s">
        <v>7959</v>
      </c>
      <c r="C380" s="22" t="s">
        <v>7960</v>
      </c>
      <c r="D380" s="22" t="s">
        <v>7961</v>
      </c>
      <c r="E380" s="22" t="s">
        <v>2162</v>
      </c>
      <c r="F380" s="22" t="s">
        <v>2162</v>
      </c>
      <c r="G380" s="22" t="s">
        <v>7962</v>
      </c>
      <c r="H380" s="22" t="s">
        <v>7963</v>
      </c>
      <c r="I380" s="22" t="s">
        <v>5495</v>
      </c>
      <c r="J380" s="22" t="s">
        <v>7398</v>
      </c>
      <c r="K380" s="22" t="s">
        <v>7964</v>
      </c>
      <c r="L380" s="22" t="s">
        <v>5691</v>
      </c>
      <c r="M380" s="22"/>
    </row>
    <row r="381" ht="15.75" customHeight="1">
      <c r="A381" s="20" t="s">
        <v>7965</v>
      </c>
      <c r="B381" s="20" t="s">
        <v>7966</v>
      </c>
      <c r="C381" s="20" t="s">
        <v>7967</v>
      </c>
      <c r="D381" s="20" t="s">
        <v>7968</v>
      </c>
      <c r="E381" s="20" t="s">
        <v>2162</v>
      </c>
      <c r="F381" s="20" t="s">
        <v>2162</v>
      </c>
      <c r="G381" s="20" t="s">
        <v>7969</v>
      </c>
      <c r="H381" s="20" t="s">
        <v>7970</v>
      </c>
      <c r="I381" s="20" t="s">
        <v>5495</v>
      </c>
      <c r="J381" s="21" t="s">
        <v>7398</v>
      </c>
      <c r="K381" s="21" t="s">
        <v>7945</v>
      </c>
      <c r="L381" s="21" t="s">
        <v>902</v>
      </c>
      <c r="M381" s="21"/>
    </row>
    <row r="382" ht="15.75" customHeight="1">
      <c r="A382" s="22" t="s">
        <v>7971</v>
      </c>
      <c r="B382" s="22" t="s">
        <v>7972</v>
      </c>
      <c r="C382" s="22" t="s">
        <v>7973</v>
      </c>
      <c r="D382" s="22" t="s">
        <v>7974</v>
      </c>
      <c r="E382" s="22" t="s">
        <v>2162</v>
      </c>
      <c r="F382" s="22" t="s">
        <v>2162</v>
      </c>
      <c r="G382" s="22" t="s">
        <v>7975</v>
      </c>
      <c r="H382" s="22" t="s">
        <v>7976</v>
      </c>
      <c r="I382" s="22" t="s">
        <v>5495</v>
      </c>
      <c r="J382" s="22" t="s">
        <v>7398</v>
      </c>
      <c r="K382" s="22" t="s">
        <v>7977</v>
      </c>
      <c r="L382" s="22" t="s">
        <v>5673</v>
      </c>
      <c r="M382" s="22"/>
    </row>
    <row r="383" ht="15.75" customHeight="1">
      <c r="A383" s="20" t="s">
        <v>7978</v>
      </c>
      <c r="B383" s="20" t="s">
        <v>7979</v>
      </c>
      <c r="C383" s="20" t="s">
        <v>7980</v>
      </c>
      <c r="D383" s="20" t="s">
        <v>7981</v>
      </c>
      <c r="E383" s="20" t="s">
        <v>2162</v>
      </c>
      <c r="F383" s="20" t="s">
        <v>2162</v>
      </c>
      <c r="G383" s="20" t="s">
        <v>7982</v>
      </c>
      <c r="H383" s="20" t="s">
        <v>7983</v>
      </c>
      <c r="I383" s="20" t="s">
        <v>5495</v>
      </c>
      <c r="J383" s="21" t="s">
        <v>7398</v>
      </c>
      <c r="K383" s="21" t="s">
        <v>7964</v>
      </c>
      <c r="L383" s="21" t="s">
        <v>2110</v>
      </c>
      <c r="M383" s="21"/>
    </row>
    <row r="384" ht="15.75" customHeight="1">
      <c r="A384" s="22" t="s">
        <v>7984</v>
      </c>
      <c r="B384" s="22" t="s">
        <v>7985</v>
      </c>
      <c r="C384" s="22" t="s">
        <v>7986</v>
      </c>
      <c r="D384" s="22" t="s">
        <v>7987</v>
      </c>
      <c r="E384" s="22" t="s">
        <v>2162</v>
      </c>
      <c r="F384" s="22" t="s">
        <v>2162</v>
      </c>
      <c r="G384" s="22" t="s">
        <v>7988</v>
      </c>
      <c r="H384" s="22"/>
      <c r="I384" s="22" t="s">
        <v>5495</v>
      </c>
      <c r="J384" s="22" t="s">
        <v>7398</v>
      </c>
      <c r="K384" s="22" t="s">
        <v>7989</v>
      </c>
      <c r="L384" s="22" t="s">
        <v>7990</v>
      </c>
      <c r="M384" s="22"/>
    </row>
    <row r="385" ht="15.75" customHeight="1">
      <c r="A385" s="20" t="s">
        <v>7991</v>
      </c>
      <c r="B385" s="20" t="s">
        <v>7992</v>
      </c>
      <c r="C385" s="20" t="s">
        <v>7993</v>
      </c>
      <c r="D385" s="20" t="s">
        <v>7994</v>
      </c>
      <c r="E385" s="20" t="s">
        <v>2162</v>
      </c>
      <c r="F385" s="20" t="s">
        <v>2162</v>
      </c>
      <c r="G385" s="20" t="s">
        <v>7995</v>
      </c>
      <c r="H385" s="20" t="s">
        <v>7996</v>
      </c>
      <c r="I385" s="20" t="s">
        <v>5495</v>
      </c>
      <c r="J385" s="21" t="s">
        <v>7398</v>
      </c>
      <c r="K385" s="21" t="s">
        <v>7938</v>
      </c>
      <c r="L385" s="21" t="s">
        <v>3486</v>
      </c>
      <c r="M385" s="21"/>
    </row>
    <row r="386" ht="15.75" customHeight="1">
      <c r="A386" s="22" t="s">
        <v>5456</v>
      </c>
      <c r="B386" s="22" t="s">
        <v>7997</v>
      </c>
      <c r="C386" s="22" t="s">
        <v>7998</v>
      </c>
      <c r="D386" s="22" t="s">
        <v>7999</v>
      </c>
      <c r="E386" s="22" t="s">
        <v>2162</v>
      </c>
      <c r="F386" s="22" t="s">
        <v>2162</v>
      </c>
      <c r="G386" s="22" t="s">
        <v>8000</v>
      </c>
      <c r="H386" s="22"/>
      <c r="I386" s="22" t="s">
        <v>5495</v>
      </c>
      <c r="J386" s="22" t="s">
        <v>7398</v>
      </c>
      <c r="K386" s="22" t="s">
        <v>8001</v>
      </c>
      <c r="L386" s="22"/>
      <c r="M386" s="22"/>
    </row>
    <row r="387" ht="15.75" customHeight="1">
      <c r="A387" s="20" t="s">
        <v>8002</v>
      </c>
      <c r="B387" s="20"/>
      <c r="C387" s="20"/>
      <c r="D387" s="20"/>
      <c r="E387" s="20" t="s">
        <v>2162</v>
      </c>
      <c r="F387" s="20" t="s">
        <v>2162</v>
      </c>
      <c r="G387" s="20" t="s">
        <v>8003</v>
      </c>
      <c r="H387" s="20"/>
      <c r="I387" s="20" t="s">
        <v>5495</v>
      </c>
      <c r="J387" s="21" t="s">
        <v>7398</v>
      </c>
      <c r="K387" s="21" t="s">
        <v>7957</v>
      </c>
      <c r="L387" s="21"/>
      <c r="M387" s="21"/>
    </row>
    <row r="388" ht="15.75" customHeight="1">
      <c r="A388" s="22" t="s">
        <v>8004</v>
      </c>
      <c r="B388" s="22"/>
      <c r="C388" s="22"/>
      <c r="D388" s="22"/>
      <c r="E388" s="22" t="s">
        <v>2162</v>
      </c>
      <c r="F388" s="22" t="s">
        <v>2162</v>
      </c>
      <c r="G388" s="22" t="s">
        <v>8005</v>
      </c>
      <c r="H388" s="22"/>
      <c r="I388" s="22" t="s">
        <v>5495</v>
      </c>
      <c r="J388" s="22" t="s">
        <v>7398</v>
      </c>
      <c r="K388" s="22" t="s">
        <v>7951</v>
      </c>
      <c r="L388" s="22"/>
      <c r="M388" s="22"/>
    </row>
    <row r="389" ht="15.75" customHeight="1">
      <c r="A389" s="20" t="s">
        <v>8006</v>
      </c>
      <c r="B389" s="20" t="s">
        <v>8007</v>
      </c>
      <c r="C389" s="20" t="s">
        <v>8008</v>
      </c>
      <c r="D389" s="20" t="s">
        <v>8009</v>
      </c>
      <c r="E389" s="20" t="s">
        <v>2162</v>
      </c>
      <c r="F389" s="20" t="s">
        <v>2162</v>
      </c>
      <c r="G389" s="20" t="s">
        <v>8010</v>
      </c>
      <c r="H389" s="20"/>
      <c r="I389" s="20" t="s">
        <v>5495</v>
      </c>
      <c r="J389" s="21" t="s">
        <v>6415</v>
      </c>
      <c r="K389" s="21" t="s">
        <v>7945</v>
      </c>
      <c r="L389" s="21" t="s">
        <v>5098</v>
      </c>
      <c r="M389" s="21"/>
    </row>
    <row r="390" ht="15.75" customHeight="1">
      <c r="A390" s="22" t="s">
        <v>8011</v>
      </c>
      <c r="B390" s="22" t="s">
        <v>8012</v>
      </c>
      <c r="C390" s="22" t="s">
        <v>8013</v>
      </c>
      <c r="D390" s="22" t="s">
        <v>8014</v>
      </c>
      <c r="E390" s="22" t="s">
        <v>2162</v>
      </c>
      <c r="F390" s="22" t="s">
        <v>2162</v>
      </c>
      <c r="G390" s="22" t="s">
        <v>8015</v>
      </c>
      <c r="H390" s="22"/>
      <c r="I390" s="22" t="s">
        <v>5495</v>
      </c>
      <c r="J390" s="22"/>
      <c r="K390" s="22"/>
      <c r="L390" s="22" t="s">
        <v>5098</v>
      </c>
      <c r="M390" s="22"/>
    </row>
    <row r="391" ht="15.75" customHeight="1">
      <c r="A391" s="20" t="s">
        <v>8016</v>
      </c>
      <c r="B391" s="20" t="s">
        <v>8017</v>
      </c>
      <c r="C391" s="20" t="s">
        <v>8018</v>
      </c>
      <c r="D391" s="20" t="s">
        <v>8019</v>
      </c>
      <c r="E391" s="20" t="s">
        <v>2162</v>
      </c>
      <c r="F391" s="20" t="s">
        <v>2162</v>
      </c>
      <c r="G391" s="20" t="s">
        <v>8020</v>
      </c>
      <c r="H391" s="20"/>
      <c r="I391" s="20" t="s">
        <v>5495</v>
      </c>
      <c r="J391" s="21"/>
      <c r="K391" s="21" t="s">
        <v>7938</v>
      </c>
      <c r="L391" s="21" t="s">
        <v>5968</v>
      </c>
      <c r="M391" s="21"/>
    </row>
    <row r="392" ht="15.75" customHeight="1">
      <c r="A392" s="22" t="s">
        <v>8021</v>
      </c>
      <c r="B392" s="22" t="s">
        <v>8022</v>
      </c>
      <c r="C392" s="22" t="s">
        <v>8023</v>
      </c>
      <c r="D392" s="22" t="s">
        <v>8024</v>
      </c>
      <c r="E392" s="22" t="s">
        <v>2162</v>
      </c>
      <c r="F392" s="22" t="s">
        <v>2162</v>
      </c>
      <c r="G392" s="22" t="s">
        <v>8025</v>
      </c>
      <c r="H392" s="22" t="s">
        <v>8026</v>
      </c>
      <c r="I392" s="22" t="s">
        <v>5495</v>
      </c>
      <c r="J392" s="22"/>
      <c r="K392" s="22" t="s">
        <v>7945</v>
      </c>
      <c r="L392" s="22" t="s">
        <v>5673</v>
      </c>
      <c r="M392" s="22"/>
    </row>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J1:M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3" width="28.0"/>
    <col customWidth="1" min="4" max="4" width="32.0"/>
    <col customWidth="1" min="5" max="5" width="18.0"/>
    <col customWidth="1" min="6" max="6" width="32.0"/>
    <col customWidth="1" min="7" max="9" width="18.0"/>
    <col customWidth="1" min="10" max="10" width="32.0"/>
    <col customWidth="1" min="11" max="11" width="18.0"/>
    <col customWidth="1" min="12" max="12" width="30.0"/>
    <col customWidth="1" min="13" max="14" width="18.0"/>
    <col customWidth="1" min="15" max="26" width="8.71"/>
  </cols>
  <sheetData>
    <row r="1" ht="21.75" customHeight="1">
      <c r="A1" s="14" t="s">
        <v>2</v>
      </c>
      <c r="B1" s="15"/>
      <c r="C1" s="15"/>
      <c r="D1" s="15"/>
      <c r="E1" s="15"/>
      <c r="F1" s="15"/>
      <c r="G1" s="15"/>
      <c r="H1" s="15"/>
      <c r="I1" s="15"/>
      <c r="J1" s="15"/>
      <c r="K1" s="16"/>
      <c r="L1" s="17" t="s">
        <v>43</v>
      </c>
      <c r="M1" s="15"/>
      <c r="N1" s="16"/>
    </row>
    <row r="2" ht="27.75" customHeight="1">
      <c r="A2" s="18" t="s">
        <v>8</v>
      </c>
      <c r="B2" s="18" t="s">
        <v>10</v>
      </c>
      <c r="C2" s="18" t="s">
        <v>6</v>
      </c>
      <c r="D2" s="18" t="s">
        <v>12</v>
      </c>
      <c r="E2" s="18" t="s">
        <v>14</v>
      </c>
      <c r="F2" s="18" t="s">
        <v>16</v>
      </c>
      <c r="G2" s="18" t="s">
        <v>18</v>
      </c>
      <c r="H2" s="18" t="s">
        <v>20</v>
      </c>
      <c r="I2" s="18" t="s">
        <v>22</v>
      </c>
      <c r="J2" s="18" t="s">
        <v>24</v>
      </c>
      <c r="K2" s="18" t="s">
        <v>28</v>
      </c>
      <c r="L2" s="19" t="s">
        <v>8027</v>
      </c>
      <c r="M2" s="19" t="s">
        <v>8028</v>
      </c>
      <c r="N2" s="19" t="s">
        <v>8029</v>
      </c>
    </row>
    <row r="3">
      <c r="A3" s="20" t="s">
        <v>8030</v>
      </c>
      <c r="B3" s="20" t="s">
        <v>8031</v>
      </c>
      <c r="C3" s="20" t="s">
        <v>8032</v>
      </c>
      <c r="D3" s="20" t="s">
        <v>8033</v>
      </c>
      <c r="E3" s="20" t="s">
        <v>8034</v>
      </c>
      <c r="F3" s="20" t="s">
        <v>8035</v>
      </c>
      <c r="G3" s="20" t="s">
        <v>8036</v>
      </c>
      <c r="H3" s="20" t="s">
        <v>8036</v>
      </c>
      <c r="I3" s="20" t="s">
        <v>8036</v>
      </c>
      <c r="J3" s="20" t="s">
        <v>8037</v>
      </c>
      <c r="K3" s="20" t="s">
        <v>8038</v>
      </c>
      <c r="L3" s="21" t="s">
        <v>8039</v>
      </c>
      <c r="M3" s="21" t="s">
        <v>8040</v>
      </c>
      <c r="N3" s="21"/>
    </row>
    <row r="4">
      <c r="A4" s="22" t="s">
        <v>8041</v>
      </c>
      <c r="B4" s="22" t="s">
        <v>8042</v>
      </c>
      <c r="C4" s="22" t="s">
        <v>8043</v>
      </c>
      <c r="D4" s="22" t="s">
        <v>8044</v>
      </c>
      <c r="E4" s="22" t="s">
        <v>3196</v>
      </c>
      <c r="F4" s="22" t="s">
        <v>8045</v>
      </c>
      <c r="G4" s="22" t="s">
        <v>8036</v>
      </c>
      <c r="H4" s="22" t="s">
        <v>8036</v>
      </c>
      <c r="I4" s="22" t="s">
        <v>8036</v>
      </c>
      <c r="J4" s="22" t="s">
        <v>8046</v>
      </c>
      <c r="K4" s="22" t="s">
        <v>8038</v>
      </c>
      <c r="L4" s="22" t="s">
        <v>8047</v>
      </c>
      <c r="M4" s="22" t="s">
        <v>8048</v>
      </c>
      <c r="N4" s="22"/>
    </row>
    <row r="5">
      <c r="A5" s="20" t="s">
        <v>8049</v>
      </c>
      <c r="B5" s="20" t="s">
        <v>8050</v>
      </c>
      <c r="C5" s="20" t="s">
        <v>8051</v>
      </c>
      <c r="D5" s="20" t="s">
        <v>8052</v>
      </c>
      <c r="E5" s="20" t="s">
        <v>8053</v>
      </c>
      <c r="F5" s="20"/>
      <c r="G5" s="20" t="s">
        <v>8054</v>
      </c>
      <c r="H5" s="20" t="s">
        <v>8055</v>
      </c>
      <c r="I5" s="20" t="s">
        <v>8056</v>
      </c>
      <c r="J5" s="20" t="s">
        <v>8057</v>
      </c>
      <c r="K5" s="20" t="s">
        <v>8038</v>
      </c>
      <c r="L5" s="21" t="s">
        <v>8058</v>
      </c>
      <c r="M5" s="21" t="s">
        <v>8059</v>
      </c>
      <c r="N5" s="21"/>
    </row>
    <row r="6">
      <c r="A6" s="22" t="s">
        <v>8060</v>
      </c>
      <c r="B6" s="22" t="s">
        <v>8061</v>
      </c>
      <c r="C6" s="22" t="s">
        <v>8062</v>
      </c>
      <c r="D6" s="22" t="s">
        <v>8063</v>
      </c>
      <c r="E6" s="22" t="s">
        <v>8064</v>
      </c>
      <c r="F6" s="22" t="s">
        <v>8065</v>
      </c>
      <c r="G6" s="22" t="s">
        <v>8066</v>
      </c>
      <c r="H6" s="22" t="s">
        <v>8066</v>
      </c>
      <c r="I6" s="22" t="s">
        <v>8067</v>
      </c>
      <c r="J6" s="22" t="s">
        <v>8068</v>
      </c>
      <c r="K6" s="22" t="s">
        <v>8038</v>
      </c>
      <c r="L6" s="22" t="s">
        <v>8069</v>
      </c>
      <c r="M6" s="22" t="s">
        <v>8070</v>
      </c>
      <c r="N6" s="22" t="s">
        <v>8071</v>
      </c>
    </row>
    <row r="7">
      <c r="A7" s="20" t="s">
        <v>8072</v>
      </c>
      <c r="B7" s="20" t="s">
        <v>8073</v>
      </c>
      <c r="C7" s="20" t="s">
        <v>8074</v>
      </c>
      <c r="D7" s="20" t="s">
        <v>8075</v>
      </c>
      <c r="E7" s="20" t="s">
        <v>8076</v>
      </c>
      <c r="F7" s="20" t="s">
        <v>8077</v>
      </c>
      <c r="G7" s="20" t="s">
        <v>8078</v>
      </c>
      <c r="H7" s="20" t="s">
        <v>8079</v>
      </c>
      <c r="I7" s="20" t="s">
        <v>8080</v>
      </c>
      <c r="J7" s="20" t="s">
        <v>8081</v>
      </c>
      <c r="K7" s="20" t="s">
        <v>8038</v>
      </c>
      <c r="L7" s="21" t="s">
        <v>8082</v>
      </c>
      <c r="M7" s="21" t="s">
        <v>8083</v>
      </c>
      <c r="N7" s="21"/>
    </row>
    <row r="8">
      <c r="A8" s="22" t="s">
        <v>8084</v>
      </c>
      <c r="B8" s="22" t="s">
        <v>8085</v>
      </c>
      <c r="C8" s="22" t="s">
        <v>8086</v>
      </c>
      <c r="D8" s="22" t="s">
        <v>8087</v>
      </c>
      <c r="E8" s="22" t="s">
        <v>8088</v>
      </c>
      <c r="F8" s="22"/>
      <c r="G8" s="22" t="s">
        <v>8089</v>
      </c>
      <c r="H8" s="22" t="s">
        <v>8036</v>
      </c>
      <c r="I8" s="22" t="s">
        <v>8036</v>
      </c>
      <c r="J8" s="22" t="s">
        <v>8090</v>
      </c>
      <c r="K8" s="22" t="s">
        <v>8038</v>
      </c>
      <c r="L8" s="22" t="s">
        <v>8091</v>
      </c>
      <c r="M8" s="22" t="s">
        <v>8092</v>
      </c>
      <c r="N8" s="22"/>
    </row>
    <row r="9">
      <c r="A9" s="20" t="s">
        <v>8093</v>
      </c>
      <c r="B9" s="20" t="s">
        <v>8094</v>
      </c>
      <c r="C9" s="20" t="s">
        <v>8095</v>
      </c>
      <c r="D9" s="20" t="s">
        <v>8096</v>
      </c>
      <c r="E9" s="20" t="s">
        <v>8097</v>
      </c>
      <c r="F9" s="20" t="s">
        <v>8098</v>
      </c>
      <c r="G9" s="20" t="s">
        <v>8036</v>
      </c>
      <c r="H9" s="20" t="s">
        <v>8036</v>
      </c>
      <c r="I9" s="20" t="s">
        <v>8036</v>
      </c>
      <c r="J9" s="20" t="s">
        <v>8099</v>
      </c>
      <c r="K9" s="20" t="s">
        <v>8038</v>
      </c>
      <c r="L9" s="21" t="s">
        <v>8091</v>
      </c>
      <c r="M9" s="21" t="s">
        <v>8100</v>
      </c>
      <c r="N9" s="21"/>
    </row>
    <row r="10">
      <c r="A10" s="22" t="s">
        <v>8101</v>
      </c>
      <c r="B10" s="22" t="s">
        <v>8102</v>
      </c>
      <c r="C10" s="22" t="s">
        <v>8103</v>
      </c>
      <c r="D10" s="22" t="s">
        <v>8104</v>
      </c>
      <c r="E10" s="22" t="s">
        <v>8105</v>
      </c>
      <c r="F10" s="22" t="s">
        <v>8106</v>
      </c>
      <c r="G10" s="22" t="s">
        <v>8107</v>
      </c>
      <c r="H10" s="22" t="s">
        <v>8107</v>
      </c>
      <c r="I10" s="22" t="s">
        <v>8108</v>
      </c>
      <c r="J10" s="22" t="s">
        <v>8109</v>
      </c>
      <c r="K10" s="22" t="s">
        <v>8038</v>
      </c>
      <c r="L10" s="22" t="s">
        <v>8058</v>
      </c>
      <c r="M10" s="22" t="s">
        <v>8110</v>
      </c>
      <c r="N10" s="22"/>
    </row>
    <row r="11">
      <c r="A11" s="20" t="s">
        <v>8030</v>
      </c>
      <c r="B11" s="20" t="s">
        <v>8111</v>
      </c>
      <c r="C11" s="20" t="s">
        <v>8112</v>
      </c>
      <c r="D11" s="20" t="s">
        <v>8113</v>
      </c>
      <c r="E11" s="20" t="s">
        <v>8114</v>
      </c>
      <c r="F11" s="20" t="s">
        <v>8115</v>
      </c>
      <c r="G11" s="20" t="s">
        <v>8036</v>
      </c>
      <c r="H11" s="20" t="s">
        <v>8036</v>
      </c>
      <c r="I11" s="20" t="s">
        <v>8036</v>
      </c>
      <c r="J11" s="20" t="s">
        <v>8116</v>
      </c>
      <c r="K11" s="20" t="s">
        <v>8038</v>
      </c>
      <c r="L11" s="21" t="s">
        <v>8091</v>
      </c>
      <c r="M11" s="21" t="s">
        <v>8117</v>
      </c>
      <c r="N11" s="21"/>
    </row>
    <row r="12">
      <c r="A12" s="22" t="s">
        <v>8118</v>
      </c>
      <c r="B12" s="22" t="s">
        <v>8119</v>
      </c>
      <c r="C12" s="22" t="s">
        <v>8120</v>
      </c>
      <c r="D12" s="22" t="s">
        <v>8121</v>
      </c>
      <c r="E12" s="22" t="s">
        <v>8122</v>
      </c>
      <c r="F12" s="22" t="s">
        <v>8123</v>
      </c>
      <c r="G12" s="22" t="s">
        <v>8124</v>
      </c>
      <c r="H12" s="22" t="s">
        <v>8079</v>
      </c>
      <c r="I12" s="22" t="s">
        <v>8080</v>
      </c>
      <c r="J12" s="22" t="s">
        <v>8125</v>
      </c>
      <c r="K12" s="22" t="s">
        <v>8038</v>
      </c>
      <c r="L12" s="22" t="s">
        <v>8047</v>
      </c>
      <c r="M12" s="22" t="s">
        <v>8126</v>
      </c>
      <c r="N12" s="22"/>
    </row>
    <row r="13">
      <c r="A13" s="20" t="s">
        <v>8127</v>
      </c>
      <c r="B13" s="20" t="s">
        <v>8128</v>
      </c>
      <c r="C13" s="20" t="s">
        <v>8129</v>
      </c>
      <c r="D13" s="20" t="s">
        <v>8130</v>
      </c>
      <c r="E13" s="20" t="s">
        <v>8131</v>
      </c>
      <c r="F13" s="20" t="s">
        <v>8132</v>
      </c>
      <c r="G13" s="20" t="s">
        <v>8036</v>
      </c>
      <c r="H13" s="20" t="s">
        <v>8036</v>
      </c>
      <c r="I13" s="20" t="s">
        <v>8036</v>
      </c>
      <c r="J13" s="20" t="s">
        <v>8133</v>
      </c>
      <c r="K13" s="20" t="s">
        <v>8038</v>
      </c>
      <c r="L13" s="21" t="s">
        <v>8047</v>
      </c>
      <c r="M13" s="21" t="s">
        <v>8048</v>
      </c>
      <c r="N13" s="21"/>
    </row>
    <row r="14">
      <c r="A14" s="22" t="s">
        <v>8134</v>
      </c>
      <c r="B14" s="22" t="s">
        <v>8135</v>
      </c>
      <c r="C14" s="22" t="s">
        <v>8136</v>
      </c>
      <c r="D14" s="22" t="s">
        <v>8137</v>
      </c>
      <c r="E14" s="22" t="s">
        <v>8138</v>
      </c>
      <c r="F14" s="22" t="s">
        <v>8139</v>
      </c>
      <c r="G14" s="22" t="s">
        <v>8036</v>
      </c>
      <c r="H14" s="22" t="s">
        <v>8036</v>
      </c>
      <c r="I14" s="22" t="s">
        <v>8036</v>
      </c>
      <c r="J14" s="22" t="s">
        <v>8140</v>
      </c>
      <c r="K14" s="22" t="s">
        <v>8038</v>
      </c>
      <c r="L14" s="22" t="s">
        <v>8091</v>
      </c>
      <c r="M14" s="22" t="s">
        <v>8141</v>
      </c>
      <c r="N14" s="22"/>
    </row>
    <row r="15">
      <c r="A15" s="20" t="s">
        <v>8142</v>
      </c>
      <c r="B15" s="20" t="s">
        <v>8143</v>
      </c>
      <c r="C15" s="20" t="s">
        <v>8144</v>
      </c>
      <c r="D15" s="20" t="s">
        <v>8145</v>
      </c>
      <c r="E15" s="20" t="s">
        <v>8146</v>
      </c>
      <c r="F15" s="20" t="s">
        <v>8147</v>
      </c>
      <c r="G15" s="20" t="s">
        <v>8148</v>
      </c>
      <c r="H15" s="20" t="s">
        <v>8036</v>
      </c>
      <c r="I15" s="20" t="s">
        <v>8036</v>
      </c>
      <c r="J15" s="20" t="s">
        <v>8149</v>
      </c>
      <c r="K15" s="20" t="s">
        <v>8038</v>
      </c>
      <c r="L15" s="21" t="s">
        <v>8091</v>
      </c>
      <c r="M15" s="21" t="s">
        <v>8150</v>
      </c>
      <c r="N15" s="21"/>
    </row>
    <row r="16">
      <c r="A16" s="22" t="s">
        <v>8151</v>
      </c>
      <c r="B16" s="22" t="s">
        <v>8152</v>
      </c>
      <c r="C16" s="22" t="s">
        <v>8153</v>
      </c>
      <c r="D16" s="22" t="s">
        <v>8154</v>
      </c>
      <c r="E16" s="22" t="s">
        <v>8155</v>
      </c>
      <c r="F16" s="22" t="s">
        <v>8156</v>
      </c>
      <c r="G16" s="22" t="s">
        <v>8157</v>
      </c>
      <c r="H16" s="22" t="s">
        <v>8158</v>
      </c>
      <c r="I16" s="22" t="s">
        <v>8159</v>
      </c>
      <c r="J16" s="22" t="s">
        <v>8160</v>
      </c>
      <c r="K16" s="22" t="s">
        <v>8038</v>
      </c>
      <c r="L16" s="22" t="s">
        <v>8069</v>
      </c>
      <c r="M16" s="22" t="s">
        <v>8161</v>
      </c>
      <c r="N16" s="22" t="s">
        <v>8162</v>
      </c>
    </row>
    <row r="17">
      <c r="A17" s="20" t="s">
        <v>8163</v>
      </c>
      <c r="B17" s="20" t="s">
        <v>8164</v>
      </c>
      <c r="C17" s="20" t="s">
        <v>8165</v>
      </c>
      <c r="D17" s="20" t="s">
        <v>8166</v>
      </c>
      <c r="E17" s="20" t="s">
        <v>8167</v>
      </c>
      <c r="F17" s="20" t="s">
        <v>8168</v>
      </c>
      <c r="G17" s="20" t="s">
        <v>8169</v>
      </c>
      <c r="H17" s="20" t="s">
        <v>8169</v>
      </c>
      <c r="I17" s="20" t="s">
        <v>8067</v>
      </c>
      <c r="J17" s="20" t="s">
        <v>8170</v>
      </c>
      <c r="K17" s="20" t="s">
        <v>8038</v>
      </c>
      <c r="L17" s="21" t="s">
        <v>8171</v>
      </c>
      <c r="M17" s="21" t="s">
        <v>8172</v>
      </c>
      <c r="N17" s="21" t="s">
        <v>8173</v>
      </c>
    </row>
    <row r="18">
      <c r="A18" s="22" t="s">
        <v>8174</v>
      </c>
      <c r="B18" s="22" t="s">
        <v>8175</v>
      </c>
      <c r="C18" s="22" t="s">
        <v>8176</v>
      </c>
      <c r="D18" s="22" t="s">
        <v>8177</v>
      </c>
      <c r="E18" s="22" t="s">
        <v>8178</v>
      </c>
      <c r="F18" s="22" t="s">
        <v>8179</v>
      </c>
      <c r="G18" s="22" t="s">
        <v>8180</v>
      </c>
      <c r="H18" s="22" t="s">
        <v>8181</v>
      </c>
      <c r="I18" s="22" t="s">
        <v>8159</v>
      </c>
      <c r="J18" s="22" t="s">
        <v>8182</v>
      </c>
      <c r="K18" s="22" t="s">
        <v>8038</v>
      </c>
      <c r="L18" s="22" t="s">
        <v>8069</v>
      </c>
      <c r="M18" s="22" t="s">
        <v>8183</v>
      </c>
      <c r="N18" s="22" t="s">
        <v>8184</v>
      </c>
    </row>
    <row r="19">
      <c r="A19" s="20" t="s">
        <v>8185</v>
      </c>
      <c r="B19" s="20" t="s">
        <v>8186</v>
      </c>
      <c r="C19" s="20" t="s">
        <v>8187</v>
      </c>
      <c r="D19" s="20" t="s">
        <v>8188</v>
      </c>
      <c r="E19" s="20" t="s">
        <v>8189</v>
      </c>
      <c r="F19" s="20"/>
      <c r="G19" s="20" t="s">
        <v>8190</v>
      </c>
      <c r="H19" s="20" t="s">
        <v>8191</v>
      </c>
      <c r="I19" s="20" t="s">
        <v>8192</v>
      </c>
      <c r="J19" s="20" t="s">
        <v>8193</v>
      </c>
      <c r="K19" s="20" t="s">
        <v>8038</v>
      </c>
      <c r="L19" s="21" t="s">
        <v>8058</v>
      </c>
      <c r="M19" s="21" t="s">
        <v>8194</v>
      </c>
      <c r="N19" s="21"/>
    </row>
    <row r="20">
      <c r="A20" s="22" t="s">
        <v>8195</v>
      </c>
      <c r="B20" s="22" t="s">
        <v>8196</v>
      </c>
      <c r="C20" s="22" t="s">
        <v>8197</v>
      </c>
      <c r="D20" s="22" t="s">
        <v>8198</v>
      </c>
      <c r="E20" s="22" t="s">
        <v>8199</v>
      </c>
      <c r="F20" s="22" t="s">
        <v>8200</v>
      </c>
      <c r="G20" s="22" t="s">
        <v>8036</v>
      </c>
      <c r="H20" s="22" t="s">
        <v>8036</v>
      </c>
      <c r="I20" s="22" t="s">
        <v>8036</v>
      </c>
      <c r="J20" s="22" t="s">
        <v>8201</v>
      </c>
      <c r="K20" s="22" t="s">
        <v>8038</v>
      </c>
      <c r="L20" s="22" t="s">
        <v>8069</v>
      </c>
      <c r="M20" s="22" t="s">
        <v>8202</v>
      </c>
      <c r="N20" s="22"/>
    </row>
    <row r="21" ht="15.75" customHeight="1">
      <c r="A21" s="20" t="s">
        <v>8203</v>
      </c>
      <c r="B21" s="20" t="s">
        <v>8204</v>
      </c>
      <c r="C21" s="20" t="s">
        <v>8205</v>
      </c>
      <c r="D21" s="20" t="s">
        <v>8206</v>
      </c>
      <c r="E21" s="20" t="s">
        <v>8207</v>
      </c>
      <c r="F21" s="20" t="s">
        <v>8208</v>
      </c>
      <c r="G21" s="20" t="s">
        <v>8036</v>
      </c>
      <c r="H21" s="20" t="s">
        <v>8036</v>
      </c>
      <c r="I21" s="20" t="s">
        <v>8036</v>
      </c>
      <c r="J21" s="20" t="s">
        <v>8209</v>
      </c>
      <c r="K21" s="20" t="s">
        <v>8038</v>
      </c>
      <c r="L21" s="21" t="s">
        <v>8091</v>
      </c>
      <c r="M21" s="21" t="s">
        <v>8210</v>
      </c>
      <c r="N21" s="21" t="s">
        <v>8211</v>
      </c>
    </row>
    <row r="22" ht="15.75" customHeight="1">
      <c r="A22" s="22" t="s">
        <v>8203</v>
      </c>
      <c r="B22" s="22" t="s">
        <v>8212</v>
      </c>
      <c r="C22" s="22" t="s">
        <v>8213</v>
      </c>
      <c r="D22" s="22" t="s">
        <v>8214</v>
      </c>
      <c r="E22" s="22" t="s">
        <v>8215</v>
      </c>
      <c r="F22" s="22" t="s">
        <v>8216</v>
      </c>
      <c r="G22" s="22" t="s">
        <v>8217</v>
      </c>
      <c r="H22" s="22" t="s">
        <v>8218</v>
      </c>
      <c r="I22" s="22" t="s">
        <v>8219</v>
      </c>
      <c r="J22" s="22" t="s">
        <v>8220</v>
      </c>
      <c r="K22" s="22" t="s">
        <v>8038</v>
      </c>
      <c r="L22" s="22" t="s">
        <v>8221</v>
      </c>
      <c r="M22" s="22" t="s">
        <v>8222</v>
      </c>
      <c r="N22" s="22"/>
    </row>
    <row r="23" ht="15.75" customHeight="1">
      <c r="A23" s="20" t="s">
        <v>8223</v>
      </c>
      <c r="B23" s="20" t="s">
        <v>8224</v>
      </c>
      <c r="C23" s="20" t="s">
        <v>8225</v>
      </c>
      <c r="D23" s="20" t="s">
        <v>8226</v>
      </c>
      <c r="E23" s="20" t="s">
        <v>8227</v>
      </c>
      <c r="F23" s="20" t="s">
        <v>8228</v>
      </c>
      <c r="G23" s="20" t="s">
        <v>8229</v>
      </c>
      <c r="H23" s="20" t="s">
        <v>8036</v>
      </c>
      <c r="I23" s="20" t="s">
        <v>8036</v>
      </c>
      <c r="J23" s="20" t="s">
        <v>8230</v>
      </c>
      <c r="K23" s="20" t="s">
        <v>8038</v>
      </c>
      <c r="L23" s="21" t="s">
        <v>8231</v>
      </c>
      <c r="M23" s="21" t="s">
        <v>8232</v>
      </c>
      <c r="N23" s="21"/>
    </row>
    <row r="24" ht="15.75" customHeight="1">
      <c r="A24" s="22" t="s">
        <v>8223</v>
      </c>
      <c r="B24" s="22" t="s">
        <v>8224</v>
      </c>
      <c r="C24" s="22" t="s">
        <v>8233</v>
      </c>
      <c r="D24" s="22" t="s">
        <v>8234</v>
      </c>
      <c r="E24" s="22" t="s">
        <v>8235</v>
      </c>
      <c r="F24" s="22" t="s">
        <v>8236</v>
      </c>
      <c r="G24" s="22" t="s">
        <v>8036</v>
      </c>
      <c r="H24" s="22" t="s">
        <v>8036</v>
      </c>
      <c r="I24" s="22" t="s">
        <v>8036</v>
      </c>
      <c r="J24" s="22" t="s">
        <v>8230</v>
      </c>
      <c r="K24" s="22" t="s">
        <v>8038</v>
      </c>
      <c r="L24" s="22" t="s">
        <v>8231</v>
      </c>
      <c r="M24" s="22" t="s">
        <v>8232</v>
      </c>
      <c r="N24" s="22"/>
    </row>
    <row r="25" ht="15.75" customHeight="1">
      <c r="A25" s="20" t="s">
        <v>8237</v>
      </c>
      <c r="B25" s="20" t="s">
        <v>8238</v>
      </c>
      <c r="C25" s="20" t="s">
        <v>8239</v>
      </c>
      <c r="D25" s="20" t="s">
        <v>8240</v>
      </c>
      <c r="E25" s="20" t="s">
        <v>216</v>
      </c>
      <c r="F25" s="20" t="s">
        <v>8241</v>
      </c>
      <c r="G25" s="20" t="s">
        <v>8242</v>
      </c>
      <c r="H25" s="20" t="s">
        <v>8242</v>
      </c>
      <c r="I25" s="20" t="s">
        <v>8243</v>
      </c>
      <c r="J25" s="20" t="s">
        <v>8244</v>
      </c>
      <c r="K25" s="20" t="s">
        <v>8038</v>
      </c>
      <c r="L25" s="21" t="s">
        <v>8058</v>
      </c>
      <c r="M25" s="21" t="s">
        <v>8245</v>
      </c>
      <c r="N25" s="21" t="s">
        <v>8246</v>
      </c>
    </row>
    <row r="26" ht="15.75" customHeight="1">
      <c r="A26" s="22" t="s">
        <v>8247</v>
      </c>
      <c r="B26" s="22" t="s">
        <v>8248</v>
      </c>
      <c r="C26" s="22" t="s">
        <v>8249</v>
      </c>
      <c r="D26" s="22" t="s">
        <v>7926</v>
      </c>
      <c r="E26" s="22" t="s">
        <v>8250</v>
      </c>
      <c r="F26" s="22" t="s">
        <v>8251</v>
      </c>
      <c r="G26" s="22" t="s">
        <v>8252</v>
      </c>
      <c r="H26" s="22" t="s">
        <v>8181</v>
      </c>
      <c r="I26" s="22" t="s">
        <v>8159</v>
      </c>
      <c r="J26" s="22" t="s">
        <v>8253</v>
      </c>
      <c r="K26" s="22" t="s">
        <v>8038</v>
      </c>
      <c r="L26" s="22" t="s">
        <v>8254</v>
      </c>
      <c r="M26" s="22" t="s">
        <v>8255</v>
      </c>
      <c r="N26" s="22"/>
    </row>
    <row r="27" ht="15.75" customHeight="1">
      <c r="A27" s="20" t="s">
        <v>8060</v>
      </c>
      <c r="B27" s="20" t="s">
        <v>8256</v>
      </c>
      <c r="C27" s="20" t="s">
        <v>8257</v>
      </c>
      <c r="D27" s="20" t="s">
        <v>8258</v>
      </c>
      <c r="E27" s="20" t="s">
        <v>8259</v>
      </c>
      <c r="F27" s="20" t="s">
        <v>8260</v>
      </c>
      <c r="G27" s="20" t="s">
        <v>8261</v>
      </c>
      <c r="H27" s="20" t="s">
        <v>8066</v>
      </c>
      <c r="I27" s="20" t="s">
        <v>8067</v>
      </c>
      <c r="J27" s="20" t="s">
        <v>8262</v>
      </c>
      <c r="K27" s="20" t="s">
        <v>8038</v>
      </c>
      <c r="L27" s="21" t="s">
        <v>8091</v>
      </c>
      <c r="M27" s="21" t="s">
        <v>8263</v>
      </c>
      <c r="N27" s="21"/>
    </row>
    <row r="28" ht="15.75" customHeight="1">
      <c r="A28" s="22" t="s">
        <v>8264</v>
      </c>
      <c r="B28" s="22" t="s">
        <v>8265</v>
      </c>
      <c r="C28" s="22" t="s">
        <v>8266</v>
      </c>
      <c r="D28" s="22" t="s">
        <v>8267</v>
      </c>
      <c r="E28" s="22" t="s">
        <v>8268</v>
      </c>
      <c r="F28" s="22"/>
      <c r="G28" s="22" t="s">
        <v>8269</v>
      </c>
      <c r="H28" s="22" t="s">
        <v>8269</v>
      </c>
      <c r="I28" s="22" t="s">
        <v>8270</v>
      </c>
      <c r="J28" s="22" t="s">
        <v>8271</v>
      </c>
      <c r="K28" s="22" t="s">
        <v>8038</v>
      </c>
      <c r="L28" s="22" t="s">
        <v>8058</v>
      </c>
      <c r="M28" s="22" t="s">
        <v>8272</v>
      </c>
      <c r="N28" s="22"/>
    </row>
    <row r="29" ht="15.75" customHeight="1">
      <c r="A29" s="20" t="s">
        <v>8273</v>
      </c>
      <c r="B29" s="20" t="s">
        <v>8274</v>
      </c>
      <c r="C29" s="20" t="s">
        <v>8275</v>
      </c>
      <c r="D29" s="20" t="s">
        <v>8276</v>
      </c>
      <c r="E29" s="20" t="s">
        <v>8277</v>
      </c>
      <c r="F29" s="20" t="s">
        <v>8278</v>
      </c>
      <c r="G29" s="20" t="s">
        <v>8036</v>
      </c>
      <c r="H29" s="20" t="s">
        <v>8036</v>
      </c>
      <c r="I29" s="20" t="s">
        <v>8036</v>
      </c>
      <c r="J29" s="20" t="s">
        <v>8279</v>
      </c>
      <c r="K29" s="20" t="s">
        <v>8038</v>
      </c>
      <c r="L29" s="21" t="s">
        <v>8047</v>
      </c>
      <c r="M29" s="21" t="s">
        <v>8100</v>
      </c>
      <c r="N29" s="21"/>
    </row>
    <row r="30" ht="15.75" customHeight="1">
      <c r="A30" s="22" t="s">
        <v>8280</v>
      </c>
      <c r="B30" s="22" t="s">
        <v>8281</v>
      </c>
      <c r="C30" s="22" t="s">
        <v>8282</v>
      </c>
      <c r="D30" s="22" t="s">
        <v>8283</v>
      </c>
      <c r="E30" s="22" t="s">
        <v>8284</v>
      </c>
      <c r="F30" s="22"/>
      <c r="G30" s="22" t="s">
        <v>8036</v>
      </c>
      <c r="H30" s="22" t="s">
        <v>8036</v>
      </c>
      <c r="I30" s="22" t="s">
        <v>8036</v>
      </c>
      <c r="J30" s="22" t="s">
        <v>8285</v>
      </c>
      <c r="K30" s="22" t="s">
        <v>8038</v>
      </c>
      <c r="L30" s="22" t="s">
        <v>8091</v>
      </c>
      <c r="M30" s="22" t="s">
        <v>8286</v>
      </c>
      <c r="N30" s="22"/>
    </row>
    <row r="31" ht="15.75" customHeight="1">
      <c r="A31" s="20" t="s">
        <v>8287</v>
      </c>
      <c r="B31" s="20" t="s">
        <v>8288</v>
      </c>
      <c r="C31" s="20" t="s">
        <v>8289</v>
      </c>
      <c r="D31" s="20" t="s">
        <v>8290</v>
      </c>
      <c r="E31" s="20" t="s">
        <v>8291</v>
      </c>
      <c r="F31" s="20" t="s">
        <v>8292</v>
      </c>
      <c r="G31" s="20" t="s">
        <v>8293</v>
      </c>
      <c r="H31" s="20" t="s">
        <v>8242</v>
      </c>
      <c r="I31" s="20" t="s">
        <v>8243</v>
      </c>
      <c r="J31" s="20" t="s">
        <v>8294</v>
      </c>
      <c r="K31" s="20" t="s">
        <v>8038</v>
      </c>
      <c r="L31" s="21" t="s">
        <v>8058</v>
      </c>
      <c r="M31" s="21" t="s">
        <v>8295</v>
      </c>
      <c r="N31" s="21" t="s">
        <v>8296</v>
      </c>
    </row>
    <row r="32" ht="15.75" customHeight="1">
      <c r="A32" s="22" t="s">
        <v>8297</v>
      </c>
      <c r="B32" s="22" t="s">
        <v>8298</v>
      </c>
      <c r="C32" s="22" t="s">
        <v>8299</v>
      </c>
      <c r="D32" s="22" t="s">
        <v>8300</v>
      </c>
      <c r="E32" s="22" t="s">
        <v>8301</v>
      </c>
      <c r="F32" s="22" t="s">
        <v>8302</v>
      </c>
      <c r="G32" s="22" t="s">
        <v>8036</v>
      </c>
      <c r="H32" s="22" t="s">
        <v>8036</v>
      </c>
      <c r="I32" s="22" t="s">
        <v>8036</v>
      </c>
      <c r="J32" s="22" t="s">
        <v>8303</v>
      </c>
      <c r="K32" s="22" t="s">
        <v>8038</v>
      </c>
      <c r="L32" s="22" t="s">
        <v>8091</v>
      </c>
      <c r="M32" s="22" t="s">
        <v>8304</v>
      </c>
      <c r="N32" s="22" t="s">
        <v>8305</v>
      </c>
    </row>
    <row r="33" ht="15.75" customHeight="1">
      <c r="A33" s="20" t="s">
        <v>8306</v>
      </c>
      <c r="B33" s="20" t="s">
        <v>8307</v>
      </c>
      <c r="C33" s="20" t="s">
        <v>8308</v>
      </c>
      <c r="D33" s="20" t="s">
        <v>8309</v>
      </c>
      <c r="E33" s="20" t="s">
        <v>8310</v>
      </c>
      <c r="F33" s="20" t="s">
        <v>8311</v>
      </c>
      <c r="G33" s="20" t="s">
        <v>8312</v>
      </c>
      <c r="H33" s="20" t="s">
        <v>8313</v>
      </c>
      <c r="I33" s="20" t="s">
        <v>8314</v>
      </c>
      <c r="J33" s="20" t="s">
        <v>8315</v>
      </c>
      <c r="K33" s="20" t="s">
        <v>8038</v>
      </c>
      <c r="L33" s="21" t="s">
        <v>8058</v>
      </c>
      <c r="M33" s="21" t="s">
        <v>8316</v>
      </c>
      <c r="N33" s="21" t="s">
        <v>8317</v>
      </c>
    </row>
    <row r="34" ht="15.75" customHeight="1">
      <c r="A34" s="22" t="s">
        <v>8318</v>
      </c>
      <c r="B34" s="22" t="s">
        <v>8319</v>
      </c>
      <c r="C34" s="22" t="s">
        <v>8320</v>
      </c>
      <c r="D34" s="22" t="s">
        <v>8321</v>
      </c>
      <c r="E34" s="22" t="s">
        <v>8322</v>
      </c>
      <c r="F34" s="22" t="s">
        <v>8323</v>
      </c>
      <c r="G34" s="22" t="s">
        <v>8324</v>
      </c>
      <c r="H34" s="22" t="s">
        <v>8325</v>
      </c>
      <c r="I34" s="22" t="s">
        <v>8080</v>
      </c>
      <c r="J34" s="22" t="s">
        <v>8326</v>
      </c>
      <c r="K34" s="22" t="s">
        <v>8038</v>
      </c>
      <c r="L34" s="22" t="s">
        <v>8327</v>
      </c>
      <c r="M34" s="22" t="s">
        <v>8328</v>
      </c>
      <c r="N34" s="22"/>
    </row>
    <row r="35" ht="15.75" customHeight="1">
      <c r="A35" s="20" t="s">
        <v>8329</v>
      </c>
      <c r="B35" s="20" t="s">
        <v>8330</v>
      </c>
      <c r="C35" s="20" t="s">
        <v>8165</v>
      </c>
      <c r="D35" s="20" t="s">
        <v>8331</v>
      </c>
      <c r="E35" s="20" t="s">
        <v>8167</v>
      </c>
      <c r="F35" s="20" t="s">
        <v>8168</v>
      </c>
      <c r="G35" s="20" t="s">
        <v>8169</v>
      </c>
      <c r="H35" s="20" t="s">
        <v>8169</v>
      </c>
      <c r="I35" s="20" t="s">
        <v>8067</v>
      </c>
      <c r="J35" s="20" t="s">
        <v>8332</v>
      </c>
      <c r="K35" s="20" t="s">
        <v>8038</v>
      </c>
      <c r="L35" s="21" t="s">
        <v>8171</v>
      </c>
      <c r="M35" s="21" t="s">
        <v>8172</v>
      </c>
      <c r="N35" s="21" t="s">
        <v>8173</v>
      </c>
    </row>
    <row r="36" ht="15.75" customHeight="1">
      <c r="A36" s="22" t="s">
        <v>8030</v>
      </c>
      <c r="B36" s="22" t="s">
        <v>8333</v>
      </c>
      <c r="C36" s="22" t="s">
        <v>8334</v>
      </c>
      <c r="D36" s="22" t="s">
        <v>8335</v>
      </c>
      <c r="E36" s="22" t="s">
        <v>8336</v>
      </c>
      <c r="F36" s="22"/>
      <c r="G36" s="22" t="s">
        <v>8036</v>
      </c>
      <c r="H36" s="22" t="s">
        <v>8036</v>
      </c>
      <c r="I36" s="22" t="s">
        <v>8036</v>
      </c>
      <c r="J36" s="22" t="s">
        <v>8337</v>
      </c>
      <c r="K36" s="22" t="s">
        <v>8038</v>
      </c>
      <c r="L36" s="22" t="s">
        <v>8091</v>
      </c>
      <c r="M36" s="22" t="s">
        <v>8338</v>
      </c>
      <c r="N36" s="22" t="s">
        <v>8339</v>
      </c>
    </row>
    <row r="37" ht="15.75" customHeight="1">
      <c r="A37" s="20" t="s">
        <v>8101</v>
      </c>
      <c r="B37" s="20" t="s">
        <v>8340</v>
      </c>
      <c r="C37" s="20" t="s">
        <v>8341</v>
      </c>
      <c r="D37" s="20" t="s">
        <v>8342</v>
      </c>
      <c r="E37" s="20" t="s">
        <v>1029</v>
      </c>
      <c r="F37" s="20" t="s">
        <v>8343</v>
      </c>
      <c r="G37" s="20" t="s">
        <v>8344</v>
      </c>
      <c r="H37" s="20" t="s">
        <v>8036</v>
      </c>
      <c r="I37" s="20" t="s">
        <v>8036</v>
      </c>
      <c r="J37" s="20" t="s">
        <v>8345</v>
      </c>
      <c r="K37" s="20" t="s">
        <v>8038</v>
      </c>
      <c r="L37" s="21" t="s">
        <v>8069</v>
      </c>
      <c r="M37" s="21" t="s">
        <v>8346</v>
      </c>
      <c r="N37" s="21" t="s">
        <v>8347</v>
      </c>
    </row>
    <row r="38" ht="15.75" customHeight="1">
      <c r="A38" s="22" t="s">
        <v>8348</v>
      </c>
      <c r="B38" s="22" t="s">
        <v>8349</v>
      </c>
      <c r="C38" s="22" t="s">
        <v>8350</v>
      </c>
      <c r="D38" s="22" t="s">
        <v>8351</v>
      </c>
      <c r="E38" s="22" t="s">
        <v>8352</v>
      </c>
      <c r="F38" s="22" t="s">
        <v>8353</v>
      </c>
      <c r="G38" s="22" t="s">
        <v>8354</v>
      </c>
      <c r="H38" s="22" t="s">
        <v>8354</v>
      </c>
      <c r="I38" s="22" t="s">
        <v>8056</v>
      </c>
      <c r="J38" s="22" t="s">
        <v>8355</v>
      </c>
      <c r="K38" s="22" t="s">
        <v>8038</v>
      </c>
      <c r="L38" s="22" t="s">
        <v>8069</v>
      </c>
      <c r="M38" s="22" t="s">
        <v>8356</v>
      </c>
      <c r="N38" s="22" t="s">
        <v>8357</v>
      </c>
    </row>
    <row r="39" ht="15.75" customHeight="1">
      <c r="A39" s="20" t="s">
        <v>8348</v>
      </c>
      <c r="B39" s="20" t="s">
        <v>8358</v>
      </c>
      <c r="C39" s="20" t="s">
        <v>8359</v>
      </c>
      <c r="D39" s="20" t="s">
        <v>8360</v>
      </c>
      <c r="E39" s="20" t="s">
        <v>8361</v>
      </c>
      <c r="F39" s="20" t="s">
        <v>8362</v>
      </c>
      <c r="G39" s="20" t="s">
        <v>8363</v>
      </c>
      <c r="H39" s="20" t="s">
        <v>8181</v>
      </c>
      <c r="I39" s="20" t="s">
        <v>8159</v>
      </c>
      <c r="J39" s="20" t="s">
        <v>8364</v>
      </c>
      <c r="K39" s="20" t="s">
        <v>8038</v>
      </c>
      <c r="L39" s="21" t="s">
        <v>8365</v>
      </c>
      <c r="M39" s="21" t="s">
        <v>8366</v>
      </c>
      <c r="N39" s="21"/>
    </row>
    <row r="40" ht="15.75" customHeight="1">
      <c r="A40" s="22" t="s">
        <v>8367</v>
      </c>
      <c r="B40" s="22" t="s">
        <v>8368</v>
      </c>
      <c r="C40" s="22" t="s">
        <v>8369</v>
      </c>
      <c r="D40" s="22" t="s">
        <v>8370</v>
      </c>
      <c r="E40" s="22" t="s">
        <v>8371</v>
      </c>
      <c r="F40" s="22" t="s">
        <v>8372</v>
      </c>
      <c r="G40" s="22" t="s">
        <v>8373</v>
      </c>
      <c r="H40" s="22" t="s">
        <v>8374</v>
      </c>
      <c r="I40" s="22" t="s">
        <v>8192</v>
      </c>
      <c r="J40" s="22" t="s">
        <v>8375</v>
      </c>
      <c r="K40" s="22" t="s">
        <v>8038</v>
      </c>
      <c r="L40" s="22" t="s">
        <v>8069</v>
      </c>
      <c r="M40" s="22" t="s">
        <v>8376</v>
      </c>
      <c r="N40" s="22"/>
    </row>
    <row r="41" ht="15.75" customHeight="1">
      <c r="A41" s="20" t="s">
        <v>8093</v>
      </c>
      <c r="B41" s="20" t="s">
        <v>8377</v>
      </c>
      <c r="C41" s="20" t="s">
        <v>8378</v>
      </c>
      <c r="D41" s="20" t="s">
        <v>8379</v>
      </c>
      <c r="E41" s="20" t="s">
        <v>8380</v>
      </c>
      <c r="F41" s="20" t="s">
        <v>8381</v>
      </c>
      <c r="G41" s="20" t="s">
        <v>8382</v>
      </c>
      <c r="H41" s="20" t="s">
        <v>8191</v>
      </c>
      <c r="I41" s="20" t="s">
        <v>8192</v>
      </c>
      <c r="J41" s="20" t="s">
        <v>8383</v>
      </c>
      <c r="K41" s="20" t="s">
        <v>8038</v>
      </c>
      <c r="L41" s="21" t="s">
        <v>8058</v>
      </c>
      <c r="M41" s="21" t="s">
        <v>8384</v>
      </c>
      <c r="N41" s="21" t="s">
        <v>8385</v>
      </c>
    </row>
    <row r="42" ht="15.75" customHeight="1">
      <c r="A42" s="22" t="s">
        <v>8386</v>
      </c>
      <c r="B42" s="22" t="s">
        <v>8387</v>
      </c>
      <c r="C42" s="22" t="s">
        <v>8388</v>
      </c>
      <c r="D42" s="22" t="s">
        <v>8389</v>
      </c>
      <c r="E42" s="22" t="s">
        <v>8390</v>
      </c>
      <c r="F42" s="22" t="s">
        <v>8391</v>
      </c>
      <c r="G42" s="22" t="s">
        <v>8066</v>
      </c>
      <c r="H42" s="22" t="s">
        <v>8066</v>
      </c>
      <c r="I42" s="22" t="s">
        <v>8067</v>
      </c>
      <c r="J42" s="22" t="s">
        <v>8392</v>
      </c>
      <c r="K42" s="22" t="s">
        <v>8038</v>
      </c>
      <c r="L42" s="22" t="s">
        <v>8393</v>
      </c>
      <c r="M42" s="22" t="s">
        <v>8394</v>
      </c>
      <c r="N42" s="22"/>
    </row>
    <row r="43" ht="15.75" customHeight="1">
      <c r="A43" s="20" t="s">
        <v>8395</v>
      </c>
      <c r="B43" s="20" t="s">
        <v>8396</v>
      </c>
      <c r="C43" s="20" t="s">
        <v>8397</v>
      </c>
      <c r="D43" s="20" t="s">
        <v>688</v>
      </c>
      <c r="E43" s="20" t="s">
        <v>8398</v>
      </c>
      <c r="F43" s="20" t="s">
        <v>8399</v>
      </c>
      <c r="G43" s="20" t="s">
        <v>8066</v>
      </c>
      <c r="H43" s="20" t="s">
        <v>8066</v>
      </c>
      <c r="I43" s="20" t="s">
        <v>8067</v>
      </c>
      <c r="J43" s="20" t="s">
        <v>8400</v>
      </c>
      <c r="K43" s="20" t="s">
        <v>8038</v>
      </c>
      <c r="L43" s="21" t="s">
        <v>8401</v>
      </c>
      <c r="M43" s="21" t="s">
        <v>8402</v>
      </c>
      <c r="N43" s="21"/>
    </row>
    <row r="44" ht="15.75" customHeight="1">
      <c r="A44" s="22" t="s">
        <v>8403</v>
      </c>
      <c r="B44" s="22" t="s">
        <v>8404</v>
      </c>
      <c r="C44" s="22" t="s">
        <v>8405</v>
      </c>
      <c r="D44" s="22" t="s">
        <v>8406</v>
      </c>
      <c r="E44" s="22" t="s">
        <v>8407</v>
      </c>
      <c r="F44" s="22" t="s">
        <v>8408</v>
      </c>
      <c r="G44" s="22" t="s">
        <v>8036</v>
      </c>
      <c r="H44" s="22" t="s">
        <v>8036</v>
      </c>
      <c r="I44" s="22" t="s">
        <v>8036</v>
      </c>
      <c r="J44" s="22"/>
      <c r="K44" s="22" t="s">
        <v>8038</v>
      </c>
      <c r="L44" s="22" t="s">
        <v>8039</v>
      </c>
      <c r="M44" s="22"/>
      <c r="N44" s="22"/>
    </row>
    <row r="45" ht="15.75" customHeight="1">
      <c r="A45" s="20" t="s">
        <v>8409</v>
      </c>
      <c r="B45" s="20" t="s">
        <v>8410</v>
      </c>
      <c r="C45" s="20" t="s">
        <v>8411</v>
      </c>
      <c r="D45" s="20" t="s">
        <v>8412</v>
      </c>
      <c r="E45" s="20" t="s">
        <v>8413</v>
      </c>
      <c r="F45" s="20" t="s">
        <v>8414</v>
      </c>
      <c r="G45" s="20" t="s">
        <v>8415</v>
      </c>
      <c r="H45" s="20" t="s">
        <v>8181</v>
      </c>
      <c r="I45" s="20" t="s">
        <v>8159</v>
      </c>
      <c r="J45" s="20" t="s">
        <v>8416</v>
      </c>
      <c r="K45" s="20" t="s">
        <v>8038</v>
      </c>
      <c r="L45" s="21" t="s">
        <v>8091</v>
      </c>
      <c r="M45" s="21" t="s">
        <v>8417</v>
      </c>
      <c r="N45" s="21"/>
    </row>
    <row r="46" ht="15.75" customHeight="1">
      <c r="A46" s="22" t="s">
        <v>8418</v>
      </c>
      <c r="B46" s="22" t="s">
        <v>8419</v>
      </c>
      <c r="C46" s="22" t="s">
        <v>8420</v>
      </c>
      <c r="D46" s="22" t="s">
        <v>8421</v>
      </c>
      <c r="E46" s="22" t="s">
        <v>8422</v>
      </c>
      <c r="F46" s="22" t="s">
        <v>8423</v>
      </c>
      <c r="G46" s="22" t="s">
        <v>8424</v>
      </c>
      <c r="H46" s="22" t="s">
        <v>8036</v>
      </c>
      <c r="I46" s="22" t="s">
        <v>8036</v>
      </c>
      <c r="J46" s="22" t="s">
        <v>8425</v>
      </c>
      <c r="K46" s="22" t="s">
        <v>8038</v>
      </c>
      <c r="L46" s="22" t="s">
        <v>8426</v>
      </c>
      <c r="M46" s="22" t="s">
        <v>8427</v>
      </c>
      <c r="N46" s="22"/>
    </row>
    <row r="47" ht="15.75" customHeight="1">
      <c r="A47" s="20" t="s">
        <v>8072</v>
      </c>
      <c r="B47" s="20" t="s">
        <v>8428</v>
      </c>
      <c r="C47" s="20" t="s">
        <v>8429</v>
      </c>
      <c r="D47" s="20" t="s">
        <v>1153</v>
      </c>
      <c r="E47" s="20" t="s">
        <v>1154</v>
      </c>
      <c r="F47" s="20" t="s">
        <v>8430</v>
      </c>
      <c r="G47" s="20" t="s">
        <v>8431</v>
      </c>
      <c r="H47" s="20" t="s">
        <v>8431</v>
      </c>
      <c r="I47" s="20" t="s">
        <v>8056</v>
      </c>
      <c r="J47" s="20" t="s">
        <v>8432</v>
      </c>
      <c r="K47" s="20" t="s">
        <v>8038</v>
      </c>
      <c r="L47" s="21" t="s">
        <v>8365</v>
      </c>
      <c r="M47" s="21" t="s">
        <v>8433</v>
      </c>
      <c r="N47" s="21"/>
    </row>
    <row r="48" ht="15.75" customHeight="1">
      <c r="A48" s="22" t="s">
        <v>8329</v>
      </c>
      <c r="B48" s="22" t="s">
        <v>8434</v>
      </c>
      <c r="C48" s="22" t="s">
        <v>8435</v>
      </c>
      <c r="D48" s="22" t="s">
        <v>8436</v>
      </c>
      <c r="E48" s="22" t="s">
        <v>8437</v>
      </c>
      <c r="F48" s="22" t="s">
        <v>8438</v>
      </c>
      <c r="G48" s="22" t="s">
        <v>8439</v>
      </c>
      <c r="H48" s="22" t="s">
        <v>8354</v>
      </c>
      <c r="I48" s="22" t="s">
        <v>8056</v>
      </c>
      <c r="J48" s="22" t="s">
        <v>8440</v>
      </c>
      <c r="K48" s="22" t="s">
        <v>8038</v>
      </c>
      <c r="L48" s="22" t="s">
        <v>8441</v>
      </c>
      <c r="M48" s="22" t="s">
        <v>8442</v>
      </c>
      <c r="N48" s="22" t="s">
        <v>8443</v>
      </c>
    </row>
    <row r="49" ht="15.75" customHeight="1">
      <c r="A49" s="20" t="s">
        <v>8329</v>
      </c>
      <c r="B49" s="20" t="s">
        <v>8434</v>
      </c>
      <c r="C49" s="20" t="s">
        <v>8444</v>
      </c>
      <c r="D49" s="20" t="s">
        <v>8445</v>
      </c>
      <c r="E49" s="20" t="s">
        <v>8446</v>
      </c>
      <c r="F49" s="20" t="s">
        <v>8447</v>
      </c>
      <c r="G49" s="20" t="s">
        <v>8439</v>
      </c>
      <c r="H49" s="20" t="s">
        <v>8354</v>
      </c>
      <c r="I49" s="20" t="s">
        <v>8056</v>
      </c>
      <c r="J49" s="20" t="s">
        <v>8448</v>
      </c>
      <c r="K49" s="20" t="s">
        <v>8038</v>
      </c>
      <c r="L49" s="21" t="s">
        <v>8091</v>
      </c>
      <c r="M49" s="21" t="s">
        <v>8442</v>
      </c>
      <c r="N49" s="21"/>
    </row>
    <row r="50" ht="15.75" customHeight="1">
      <c r="A50" s="22" t="s">
        <v>8449</v>
      </c>
      <c r="B50" s="22" t="s">
        <v>8450</v>
      </c>
      <c r="C50" s="22" t="s">
        <v>8451</v>
      </c>
      <c r="D50" s="22" t="s">
        <v>8452</v>
      </c>
      <c r="E50" s="22" t="s">
        <v>8453</v>
      </c>
      <c r="F50" s="22" t="s">
        <v>8454</v>
      </c>
      <c r="G50" s="22" t="s">
        <v>8455</v>
      </c>
      <c r="H50" s="22" t="s">
        <v>8456</v>
      </c>
      <c r="I50" s="22" t="s">
        <v>8457</v>
      </c>
      <c r="J50" s="22" t="s">
        <v>8458</v>
      </c>
      <c r="K50" s="22" t="s">
        <v>8038</v>
      </c>
      <c r="L50" s="22" t="s">
        <v>8459</v>
      </c>
      <c r="M50" s="22" t="s">
        <v>8460</v>
      </c>
      <c r="N50" s="22"/>
    </row>
    <row r="51" ht="15.75" customHeight="1">
      <c r="A51" s="20" t="s">
        <v>8203</v>
      </c>
      <c r="B51" s="20" t="s">
        <v>8461</v>
      </c>
      <c r="C51" s="20" t="s">
        <v>8462</v>
      </c>
      <c r="D51" s="20" t="s">
        <v>8463</v>
      </c>
      <c r="E51" s="20" t="s">
        <v>8464</v>
      </c>
      <c r="F51" s="20" t="s">
        <v>8465</v>
      </c>
      <c r="G51" s="20" t="s">
        <v>8466</v>
      </c>
      <c r="H51" s="20" t="s">
        <v>8467</v>
      </c>
      <c r="I51" s="20" t="s">
        <v>8467</v>
      </c>
      <c r="J51" s="20" t="s">
        <v>8468</v>
      </c>
      <c r="K51" s="20" t="s">
        <v>8038</v>
      </c>
      <c r="L51" s="21" t="s">
        <v>8058</v>
      </c>
      <c r="M51" s="21" t="s">
        <v>8469</v>
      </c>
      <c r="N51" s="21"/>
    </row>
    <row r="52" ht="15.75" customHeight="1">
      <c r="A52" s="22" t="s">
        <v>8470</v>
      </c>
      <c r="B52" s="22" t="s">
        <v>8471</v>
      </c>
      <c r="C52" s="22" t="s">
        <v>8472</v>
      </c>
      <c r="D52" s="22" t="s">
        <v>8473</v>
      </c>
      <c r="E52" s="22" t="s">
        <v>8474</v>
      </c>
      <c r="F52" s="22"/>
      <c r="G52" s="22" t="s">
        <v>8475</v>
      </c>
      <c r="H52" s="22" t="s">
        <v>8269</v>
      </c>
      <c r="I52" s="22" t="s">
        <v>8270</v>
      </c>
      <c r="J52" s="22" t="s">
        <v>8476</v>
      </c>
      <c r="K52" s="22" t="s">
        <v>8038</v>
      </c>
      <c r="L52" s="22" t="s">
        <v>8058</v>
      </c>
      <c r="M52" s="22" t="s">
        <v>8477</v>
      </c>
      <c r="N52" s="22" t="s">
        <v>8478</v>
      </c>
    </row>
    <row r="53" ht="15.75" customHeight="1">
      <c r="A53" s="20" t="s">
        <v>8479</v>
      </c>
      <c r="B53" s="20" t="s">
        <v>8480</v>
      </c>
      <c r="C53" s="20" t="s">
        <v>8481</v>
      </c>
      <c r="D53" s="20" t="s">
        <v>8482</v>
      </c>
      <c r="E53" s="20" t="s">
        <v>8483</v>
      </c>
      <c r="F53" s="20" t="s">
        <v>8484</v>
      </c>
      <c r="G53" s="20" t="s">
        <v>8485</v>
      </c>
      <c r="H53" s="20" t="s">
        <v>8486</v>
      </c>
      <c r="I53" s="20" t="s">
        <v>8056</v>
      </c>
      <c r="J53" s="20" t="s">
        <v>8487</v>
      </c>
      <c r="K53" s="20" t="s">
        <v>8038</v>
      </c>
      <c r="L53" s="21" t="s">
        <v>8488</v>
      </c>
      <c r="M53" s="21" t="s">
        <v>8489</v>
      </c>
      <c r="N53" s="21" t="s">
        <v>8490</v>
      </c>
    </row>
    <row r="54" ht="15.75" customHeight="1">
      <c r="A54" s="22" t="s">
        <v>8403</v>
      </c>
      <c r="B54" s="22" t="s">
        <v>8491</v>
      </c>
      <c r="C54" s="22" t="s">
        <v>8492</v>
      </c>
      <c r="D54" s="22" t="s">
        <v>8493</v>
      </c>
      <c r="E54" s="22" t="s">
        <v>8494</v>
      </c>
      <c r="F54" s="22" t="s">
        <v>8495</v>
      </c>
      <c r="G54" s="22" t="s">
        <v>8496</v>
      </c>
      <c r="H54" s="22" t="s">
        <v>8497</v>
      </c>
      <c r="I54" s="22" t="s">
        <v>8108</v>
      </c>
      <c r="J54" s="22" t="s">
        <v>8498</v>
      </c>
      <c r="K54" s="22" t="s">
        <v>8038</v>
      </c>
      <c r="L54" s="22" t="s">
        <v>8058</v>
      </c>
      <c r="M54" s="22" t="s">
        <v>8499</v>
      </c>
      <c r="N54" s="22" t="s">
        <v>8500</v>
      </c>
    </row>
    <row r="55" ht="15.75" customHeight="1">
      <c r="A55" s="20" t="s">
        <v>8072</v>
      </c>
      <c r="B55" s="20" t="s">
        <v>8501</v>
      </c>
      <c r="C55" s="20" t="s">
        <v>8502</v>
      </c>
      <c r="D55" s="20" t="s">
        <v>8503</v>
      </c>
      <c r="E55" s="20" t="s">
        <v>8504</v>
      </c>
      <c r="F55" s="20" t="s">
        <v>8505</v>
      </c>
      <c r="G55" s="20" t="s">
        <v>8506</v>
      </c>
      <c r="H55" s="20" t="s">
        <v>8036</v>
      </c>
      <c r="I55" s="20" t="s">
        <v>8036</v>
      </c>
      <c r="J55" s="20" t="s">
        <v>8507</v>
      </c>
      <c r="K55" s="20" t="s">
        <v>8038</v>
      </c>
      <c r="L55" s="21" t="s">
        <v>8091</v>
      </c>
      <c r="M55" s="21" t="s">
        <v>8508</v>
      </c>
      <c r="N55" s="21"/>
    </row>
    <row r="56" ht="15.75" customHeight="1">
      <c r="A56" s="22" t="s">
        <v>8509</v>
      </c>
      <c r="B56" s="22" t="s">
        <v>8510</v>
      </c>
      <c r="C56" s="22" t="s">
        <v>8511</v>
      </c>
      <c r="D56" s="22" t="s">
        <v>8512</v>
      </c>
      <c r="E56" s="22" t="s">
        <v>8513</v>
      </c>
      <c r="F56" s="22" t="s">
        <v>8505</v>
      </c>
      <c r="G56" s="22" t="s">
        <v>8506</v>
      </c>
      <c r="H56" s="22" t="s">
        <v>8036</v>
      </c>
      <c r="I56" s="22" t="s">
        <v>8036</v>
      </c>
      <c r="J56" s="22" t="s">
        <v>8514</v>
      </c>
      <c r="K56" s="22" t="s">
        <v>8038</v>
      </c>
      <c r="L56" s="22" t="s">
        <v>8091</v>
      </c>
      <c r="M56" s="22" t="s">
        <v>8508</v>
      </c>
      <c r="N56" s="22" t="s">
        <v>8515</v>
      </c>
    </row>
    <row r="57" ht="15.75" customHeight="1">
      <c r="A57" s="20" t="s">
        <v>8516</v>
      </c>
      <c r="B57" s="20" t="s">
        <v>8517</v>
      </c>
      <c r="C57" s="20" t="s">
        <v>8518</v>
      </c>
      <c r="D57" s="20" t="s">
        <v>8519</v>
      </c>
      <c r="E57" s="20" t="s">
        <v>8520</v>
      </c>
      <c r="F57" s="20" t="s">
        <v>8521</v>
      </c>
      <c r="G57" s="20" t="s">
        <v>8522</v>
      </c>
      <c r="H57" s="20" t="s">
        <v>8523</v>
      </c>
      <c r="I57" s="20" t="s">
        <v>8524</v>
      </c>
      <c r="J57" s="20" t="s">
        <v>8525</v>
      </c>
      <c r="K57" s="20" t="s">
        <v>8038</v>
      </c>
      <c r="L57" s="21" t="s">
        <v>8058</v>
      </c>
      <c r="M57" s="21" t="s">
        <v>8526</v>
      </c>
      <c r="N57" s="21"/>
    </row>
    <row r="58" ht="15.75" customHeight="1">
      <c r="A58" s="22" t="s">
        <v>8516</v>
      </c>
      <c r="B58" s="22" t="s">
        <v>8517</v>
      </c>
      <c r="C58" s="22" t="s">
        <v>8527</v>
      </c>
      <c r="D58" s="22" t="s">
        <v>8519</v>
      </c>
      <c r="E58" s="22" t="s">
        <v>8520</v>
      </c>
      <c r="F58" s="22" t="s">
        <v>8521</v>
      </c>
      <c r="G58" s="22" t="s">
        <v>8523</v>
      </c>
      <c r="H58" s="22" t="s">
        <v>8523</v>
      </c>
      <c r="I58" s="22" t="s">
        <v>8524</v>
      </c>
      <c r="J58" s="22" t="s">
        <v>8528</v>
      </c>
      <c r="K58" s="22" t="s">
        <v>8038</v>
      </c>
      <c r="L58" s="22" t="s">
        <v>8058</v>
      </c>
      <c r="M58" s="22" t="s">
        <v>8529</v>
      </c>
      <c r="N58" s="22"/>
    </row>
    <row r="59" ht="15.75" customHeight="1">
      <c r="A59" s="20" t="s">
        <v>8329</v>
      </c>
      <c r="B59" s="20" t="s">
        <v>8530</v>
      </c>
      <c r="C59" s="20" t="s">
        <v>8531</v>
      </c>
      <c r="D59" s="20" t="s">
        <v>8532</v>
      </c>
      <c r="E59" s="20" t="s">
        <v>8533</v>
      </c>
      <c r="F59" s="20"/>
      <c r="G59" s="20" t="s">
        <v>8534</v>
      </c>
      <c r="H59" s="20" t="s">
        <v>8534</v>
      </c>
      <c r="I59" s="20" t="s">
        <v>8056</v>
      </c>
      <c r="J59" s="20" t="s">
        <v>8535</v>
      </c>
      <c r="K59" s="20" t="s">
        <v>8038</v>
      </c>
      <c r="L59" s="21" t="s">
        <v>8058</v>
      </c>
      <c r="M59" s="21" t="s">
        <v>8536</v>
      </c>
      <c r="N59" s="21"/>
    </row>
    <row r="60" ht="15.75" customHeight="1">
      <c r="A60" s="22" t="s">
        <v>8537</v>
      </c>
      <c r="B60" s="22" t="s">
        <v>8538</v>
      </c>
      <c r="C60" s="22" t="s">
        <v>8539</v>
      </c>
      <c r="D60" s="22" t="s">
        <v>8540</v>
      </c>
      <c r="E60" s="22" t="s">
        <v>8541</v>
      </c>
      <c r="F60" s="22" t="s">
        <v>8542</v>
      </c>
      <c r="G60" s="22" t="s">
        <v>8543</v>
      </c>
      <c r="H60" s="22" t="s">
        <v>8543</v>
      </c>
      <c r="I60" s="22" t="s">
        <v>8544</v>
      </c>
      <c r="J60" s="22" t="s">
        <v>8545</v>
      </c>
      <c r="K60" s="22" t="s">
        <v>8038</v>
      </c>
      <c r="L60" s="22" t="s">
        <v>8365</v>
      </c>
      <c r="M60" s="22" t="s">
        <v>8546</v>
      </c>
      <c r="N60" s="22"/>
    </row>
    <row r="61" ht="15.75" customHeight="1">
      <c r="A61" s="20" t="s">
        <v>8547</v>
      </c>
      <c r="B61" s="20" t="s">
        <v>8548</v>
      </c>
      <c r="C61" s="20" t="s">
        <v>8549</v>
      </c>
      <c r="D61" s="20" t="s">
        <v>8550</v>
      </c>
      <c r="E61" s="20" t="s">
        <v>8551</v>
      </c>
      <c r="F61" s="20" t="s">
        <v>8552</v>
      </c>
      <c r="G61" s="20" t="s">
        <v>8218</v>
      </c>
      <c r="H61" s="20" t="s">
        <v>8218</v>
      </c>
      <c r="I61" s="20" t="s">
        <v>8219</v>
      </c>
      <c r="J61" s="20" t="s">
        <v>8553</v>
      </c>
      <c r="K61" s="20" t="s">
        <v>8038</v>
      </c>
      <c r="L61" s="21" t="s">
        <v>8091</v>
      </c>
      <c r="M61" s="21" t="s">
        <v>8554</v>
      </c>
      <c r="N61" s="21"/>
    </row>
    <row r="62" ht="15.75" customHeight="1">
      <c r="A62" s="22" t="s">
        <v>8142</v>
      </c>
      <c r="B62" s="22" t="s">
        <v>8555</v>
      </c>
      <c r="C62" s="22" t="s">
        <v>8556</v>
      </c>
      <c r="D62" s="22" t="s">
        <v>8557</v>
      </c>
      <c r="E62" s="22" t="s">
        <v>8558</v>
      </c>
      <c r="F62" s="22" t="s">
        <v>8559</v>
      </c>
      <c r="G62" s="22" t="s">
        <v>8560</v>
      </c>
      <c r="H62" s="22" t="s">
        <v>8560</v>
      </c>
      <c r="I62" s="22" t="s">
        <v>8108</v>
      </c>
      <c r="J62" s="22" t="s">
        <v>8561</v>
      </c>
      <c r="K62" s="22" t="s">
        <v>8038</v>
      </c>
      <c r="L62" s="22" t="s">
        <v>8365</v>
      </c>
      <c r="M62" s="22" t="s">
        <v>8562</v>
      </c>
      <c r="N62" s="22"/>
    </row>
    <row r="63" ht="15.75" customHeight="1">
      <c r="A63" s="20" t="s">
        <v>8142</v>
      </c>
      <c r="B63" s="20" t="s">
        <v>8555</v>
      </c>
      <c r="C63" s="20" t="s">
        <v>8563</v>
      </c>
      <c r="D63" s="20" t="s">
        <v>8564</v>
      </c>
      <c r="E63" s="20" t="s">
        <v>8565</v>
      </c>
      <c r="F63" s="20" t="s">
        <v>8566</v>
      </c>
      <c r="G63" s="20" t="s">
        <v>8560</v>
      </c>
      <c r="H63" s="20" t="s">
        <v>8560</v>
      </c>
      <c r="I63" s="20" t="s">
        <v>8108</v>
      </c>
      <c r="J63" s="20" t="s">
        <v>8567</v>
      </c>
      <c r="K63" s="20" t="s">
        <v>8038</v>
      </c>
      <c r="L63" s="21" t="s">
        <v>8365</v>
      </c>
      <c r="M63" s="21" t="s">
        <v>8568</v>
      </c>
      <c r="N63" s="21"/>
    </row>
    <row r="64" ht="15.75" customHeight="1">
      <c r="A64" s="22" t="s">
        <v>8569</v>
      </c>
      <c r="B64" s="22" t="s">
        <v>8570</v>
      </c>
      <c r="C64" s="22" t="s">
        <v>8571</v>
      </c>
      <c r="D64" s="22" t="s">
        <v>8572</v>
      </c>
      <c r="E64" s="22" t="s">
        <v>8573</v>
      </c>
      <c r="F64" s="22" t="s">
        <v>8574</v>
      </c>
      <c r="G64" s="22" t="s">
        <v>8269</v>
      </c>
      <c r="H64" s="22" t="s">
        <v>8269</v>
      </c>
      <c r="I64" s="22" t="s">
        <v>8270</v>
      </c>
      <c r="J64" s="22" t="s">
        <v>8575</v>
      </c>
      <c r="K64" s="22" t="s">
        <v>8038</v>
      </c>
      <c r="L64" s="22" t="s">
        <v>8576</v>
      </c>
      <c r="M64" s="22" t="s">
        <v>8577</v>
      </c>
      <c r="N64" s="22" t="s">
        <v>8578</v>
      </c>
    </row>
    <row r="65" ht="15.75" customHeight="1">
      <c r="A65" s="20" t="s">
        <v>8579</v>
      </c>
      <c r="B65" s="20" t="s">
        <v>8580</v>
      </c>
      <c r="C65" s="20" t="s">
        <v>8581</v>
      </c>
      <c r="D65" s="20" t="s">
        <v>8582</v>
      </c>
      <c r="E65" s="20" t="s">
        <v>8583</v>
      </c>
      <c r="F65" s="20" t="s">
        <v>8584</v>
      </c>
      <c r="G65" s="20" t="s">
        <v>8066</v>
      </c>
      <c r="H65" s="20" t="s">
        <v>8066</v>
      </c>
      <c r="I65" s="20" t="s">
        <v>8067</v>
      </c>
      <c r="J65" s="20" t="s">
        <v>8585</v>
      </c>
      <c r="K65" s="20" t="s">
        <v>8038</v>
      </c>
      <c r="L65" s="21" t="s">
        <v>8091</v>
      </c>
      <c r="M65" s="21" t="s">
        <v>8586</v>
      </c>
      <c r="N65" s="21"/>
    </row>
    <row r="66" ht="15.75" customHeight="1">
      <c r="A66" s="22" t="s">
        <v>8185</v>
      </c>
      <c r="B66" s="22" t="s">
        <v>8587</v>
      </c>
      <c r="C66" s="22" t="s">
        <v>8588</v>
      </c>
      <c r="D66" s="22" t="s">
        <v>8589</v>
      </c>
      <c r="E66" s="22" t="s">
        <v>8590</v>
      </c>
      <c r="F66" s="22" t="s">
        <v>8591</v>
      </c>
      <c r="G66" s="22" t="s">
        <v>8522</v>
      </c>
      <c r="H66" s="22" t="s">
        <v>8524</v>
      </c>
      <c r="I66" s="22" t="s">
        <v>8524</v>
      </c>
      <c r="J66" s="22" t="s">
        <v>8592</v>
      </c>
      <c r="K66" s="22" t="s">
        <v>8038</v>
      </c>
      <c r="L66" s="22" t="s">
        <v>8058</v>
      </c>
      <c r="M66" s="22" t="s">
        <v>8526</v>
      </c>
      <c r="N66" s="22" t="s">
        <v>8593</v>
      </c>
    </row>
    <row r="67" ht="15.75" customHeight="1">
      <c r="A67" s="20" t="s">
        <v>8594</v>
      </c>
      <c r="B67" s="20" t="s">
        <v>8595</v>
      </c>
      <c r="C67" s="20" t="s">
        <v>8596</v>
      </c>
      <c r="D67" s="20" t="s">
        <v>8597</v>
      </c>
      <c r="E67" s="20" t="s">
        <v>8598</v>
      </c>
      <c r="F67" s="20" t="s">
        <v>8599</v>
      </c>
      <c r="G67" s="20" t="s">
        <v>8036</v>
      </c>
      <c r="H67" s="20" t="s">
        <v>8036</v>
      </c>
      <c r="I67" s="20" t="s">
        <v>8036</v>
      </c>
      <c r="J67" s="20" t="s">
        <v>8600</v>
      </c>
      <c r="K67" s="20" t="s">
        <v>8038</v>
      </c>
      <c r="L67" s="21" t="s">
        <v>8091</v>
      </c>
      <c r="M67" s="21" t="s">
        <v>8601</v>
      </c>
      <c r="N67" s="21"/>
    </row>
    <row r="68" ht="15.75" customHeight="1">
      <c r="A68" s="22" t="s">
        <v>8602</v>
      </c>
      <c r="B68" s="22" t="s">
        <v>8603</v>
      </c>
      <c r="C68" s="22" t="s">
        <v>8604</v>
      </c>
      <c r="D68" s="22" t="s">
        <v>4440</v>
      </c>
      <c r="E68" s="22" t="s">
        <v>8605</v>
      </c>
      <c r="F68" s="22" t="s">
        <v>8606</v>
      </c>
      <c r="G68" s="22" t="s">
        <v>8523</v>
      </c>
      <c r="H68" s="22" t="s">
        <v>8523</v>
      </c>
      <c r="I68" s="22" t="s">
        <v>8524</v>
      </c>
      <c r="J68" s="22" t="s">
        <v>8607</v>
      </c>
      <c r="K68" s="22" t="s">
        <v>8038</v>
      </c>
      <c r="L68" s="22" t="s">
        <v>8058</v>
      </c>
      <c r="M68" s="22" t="s">
        <v>8608</v>
      </c>
      <c r="N68" s="22" t="s">
        <v>8609</v>
      </c>
    </row>
    <row r="69" ht="15.75" customHeight="1">
      <c r="A69" s="20" t="s">
        <v>8610</v>
      </c>
      <c r="B69" s="20" t="s">
        <v>8611</v>
      </c>
      <c r="C69" s="20" t="s">
        <v>8612</v>
      </c>
      <c r="D69" s="20" t="s">
        <v>8613</v>
      </c>
      <c r="E69" s="20" t="s">
        <v>8614</v>
      </c>
      <c r="F69" s="20" t="s">
        <v>8615</v>
      </c>
      <c r="G69" s="20" t="s">
        <v>8616</v>
      </c>
      <c r="H69" s="20" t="s">
        <v>8617</v>
      </c>
      <c r="I69" s="20" t="s">
        <v>8617</v>
      </c>
      <c r="J69" s="20" t="s">
        <v>8618</v>
      </c>
      <c r="K69" s="20" t="s">
        <v>8038</v>
      </c>
      <c r="L69" s="21" t="s">
        <v>8058</v>
      </c>
      <c r="M69" s="21" t="s">
        <v>8619</v>
      </c>
      <c r="N69" s="21"/>
    </row>
    <row r="70" ht="15.75" customHeight="1">
      <c r="A70" s="22" t="s">
        <v>8620</v>
      </c>
      <c r="B70" s="22" t="s">
        <v>8611</v>
      </c>
      <c r="C70" s="22" t="s">
        <v>8612</v>
      </c>
      <c r="D70" s="22" t="s">
        <v>8613</v>
      </c>
      <c r="E70" s="22" t="s">
        <v>8621</v>
      </c>
      <c r="F70" s="22" t="s">
        <v>8615</v>
      </c>
      <c r="G70" s="22" t="s">
        <v>8616</v>
      </c>
      <c r="H70" s="22" t="s">
        <v>8617</v>
      </c>
      <c r="I70" s="22" t="s">
        <v>8617</v>
      </c>
      <c r="J70" s="22" t="s">
        <v>8618</v>
      </c>
      <c r="K70" s="22" t="s">
        <v>8038</v>
      </c>
      <c r="L70" s="22" t="s">
        <v>8058</v>
      </c>
      <c r="M70" s="22" t="s">
        <v>8619</v>
      </c>
      <c r="N70" s="22" t="s">
        <v>8622</v>
      </c>
    </row>
    <row r="71" ht="15.75" customHeight="1">
      <c r="A71" s="20" t="s">
        <v>8569</v>
      </c>
      <c r="B71" s="20" t="s">
        <v>8623</v>
      </c>
      <c r="C71" s="20" t="s">
        <v>8624</v>
      </c>
      <c r="D71" s="20" t="s">
        <v>8625</v>
      </c>
      <c r="E71" s="20" t="s">
        <v>8626</v>
      </c>
      <c r="F71" s="20" t="s">
        <v>8627</v>
      </c>
      <c r="G71" s="20" t="s">
        <v>8036</v>
      </c>
      <c r="H71" s="20" t="s">
        <v>8036</v>
      </c>
      <c r="I71" s="20" t="s">
        <v>8036</v>
      </c>
      <c r="J71" s="20" t="s">
        <v>8628</v>
      </c>
      <c r="K71" s="20" t="s">
        <v>8038</v>
      </c>
      <c r="L71" s="21" t="s">
        <v>8058</v>
      </c>
      <c r="M71" s="21" t="s">
        <v>8629</v>
      </c>
      <c r="N71" s="21"/>
    </row>
    <row r="72" ht="15.75" customHeight="1">
      <c r="A72" s="22" t="s">
        <v>8630</v>
      </c>
      <c r="B72" s="22" t="s">
        <v>8631</v>
      </c>
      <c r="C72" s="22" t="s">
        <v>8632</v>
      </c>
      <c r="D72" s="22" t="s">
        <v>8633</v>
      </c>
      <c r="E72" s="22" t="s">
        <v>4415</v>
      </c>
      <c r="F72" s="22" t="s">
        <v>8634</v>
      </c>
      <c r="G72" s="22" t="s">
        <v>8036</v>
      </c>
      <c r="H72" s="22" t="s">
        <v>8036</v>
      </c>
      <c r="I72" s="22" t="s">
        <v>8036</v>
      </c>
      <c r="J72" s="22" t="s">
        <v>8635</v>
      </c>
      <c r="K72" s="22" t="s">
        <v>8038</v>
      </c>
      <c r="L72" s="22" t="s">
        <v>8636</v>
      </c>
      <c r="M72" s="22" t="s">
        <v>8637</v>
      </c>
      <c r="N72" s="22" t="s">
        <v>8638</v>
      </c>
    </row>
    <row r="73" ht="15.75" customHeight="1">
      <c r="A73" s="20" t="s">
        <v>8639</v>
      </c>
      <c r="B73" s="20" t="s">
        <v>8640</v>
      </c>
      <c r="C73" s="20" t="s">
        <v>8641</v>
      </c>
      <c r="D73" s="20" t="s">
        <v>8642</v>
      </c>
      <c r="E73" s="20" t="s">
        <v>8643</v>
      </c>
      <c r="F73" s="20" t="s">
        <v>8644</v>
      </c>
      <c r="G73" s="20" t="s">
        <v>8645</v>
      </c>
      <c r="H73" s="20" t="s">
        <v>8617</v>
      </c>
      <c r="I73" s="20" t="s">
        <v>8617</v>
      </c>
      <c r="J73" s="20" t="s">
        <v>8646</v>
      </c>
      <c r="K73" s="20" t="s">
        <v>8038</v>
      </c>
      <c r="L73" s="21" t="s">
        <v>8058</v>
      </c>
      <c r="M73" s="21" t="s">
        <v>8647</v>
      </c>
      <c r="N73" s="21"/>
    </row>
    <row r="74" ht="15.75" customHeight="1">
      <c r="A74" s="22" t="s">
        <v>8648</v>
      </c>
      <c r="B74" s="22" t="s">
        <v>8649</v>
      </c>
      <c r="C74" s="22" t="s">
        <v>8650</v>
      </c>
      <c r="D74" s="22" t="s">
        <v>8651</v>
      </c>
      <c r="E74" s="22" t="s">
        <v>8652</v>
      </c>
      <c r="F74" s="22"/>
      <c r="G74" s="22" t="s">
        <v>8036</v>
      </c>
      <c r="H74" s="22" t="s">
        <v>8036</v>
      </c>
      <c r="I74" s="22" t="s">
        <v>8036</v>
      </c>
      <c r="J74" s="22" t="s">
        <v>8653</v>
      </c>
      <c r="K74" s="22" t="s">
        <v>8038</v>
      </c>
      <c r="L74" s="22" t="s">
        <v>8393</v>
      </c>
      <c r="M74" s="22" t="s">
        <v>8338</v>
      </c>
      <c r="N74" s="22"/>
    </row>
    <row r="75" ht="15.75" customHeight="1">
      <c r="A75" s="20" t="s">
        <v>8449</v>
      </c>
      <c r="B75" s="20" t="s">
        <v>8654</v>
      </c>
      <c r="C75" s="20" t="s">
        <v>8655</v>
      </c>
      <c r="D75" s="20" t="s">
        <v>8656</v>
      </c>
      <c r="E75" s="20" t="s">
        <v>8657</v>
      </c>
      <c r="F75" s="20" t="s">
        <v>8658</v>
      </c>
      <c r="G75" s="20" t="s">
        <v>8431</v>
      </c>
      <c r="H75" s="20" t="s">
        <v>8431</v>
      </c>
      <c r="I75" s="20" t="s">
        <v>8056</v>
      </c>
      <c r="J75" s="20" t="s">
        <v>8659</v>
      </c>
      <c r="K75" s="20" t="s">
        <v>8038</v>
      </c>
      <c r="L75" s="21" t="s">
        <v>8091</v>
      </c>
      <c r="M75" s="21" t="s">
        <v>8433</v>
      </c>
      <c r="N75" s="21"/>
    </row>
    <row r="76" ht="15.75" customHeight="1">
      <c r="A76" s="22" t="s">
        <v>8072</v>
      </c>
      <c r="B76" s="22" t="s">
        <v>8660</v>
      </c>
      <c r="C76" s="22" t="s">
        <v>8661</v>
      </c>
      <c r="D76" s="22" t="s">
        <v>8662</v>
      </c>
      <c r="E76" s="22" t="s">
        <v>8663</v>
      </c>
      <c r="F76" s="22" t="s">
        <v>8664</v>
      </c>
      <c r="G76" s="22" t="s">
        <v>8543</v>
      </c>
      <c r="H76" s="22" t="s">
        <v>8543</v>
      </c>
      <c r="I76" s="22" t="s">
        <v>8544</v>
      </c>
      <c r="J76" s="22" t="s">
        <v>8665</v>
      </c>
      <c r="K76" s="22" t="s">
        <v>8038</v>
      </c>
      <c r="L76" s="22" t="s">
        <v>8058</v>
      </c>
      <c r="M76" s="22" t="s">
        <v>8546</v>
      </c>
      <c r="N76" s="22"/>
    </row>
    <row r="77" ht="15.75" customHeight="1">
      <c r="A77" s="20" t="s">
        <v>8594</v>
      </c>
      <c r="B77" s="20" t="s">
        <v>8666</v>
      </c>
      <c r="C77" s="20" t="s">
        <v>8667</v>
      </c>
      <c r="D77" s="20" t="s">
        <v>8668</v>
      </c>
      <c r="E77" s="20" t="s">
        <v>8669</v>
      </c>
      <c r="F77" s="20" t="s">
        <v>8670</v>
      </c>
      <c r="G77" s="20" t="s">
        <v>8671</v>
      </c>
      <c r="H77" s="20" t="s">
        <v>8036</v>
      </c>
      <c r="I77" s="20" t="s">
        <v>8036</v>
      </c>
      <c r="J77" s="20" t="s">
        <v>8672</v>
      </c>
      <c r="K77" s="20" t="s">
        <v>8038</v>
      </c>
      <c r="L77" s="21" t="s">
        <v>8058</v>
      </c>
      <c r="M77" s="21" t="s">
        <v>8673</v>
      </c>
      <c r="N77" s="21"/>
    </row>
    <row r="78" ht="15.75" customHeight="1">
      <c r="A78" s="22" t="s">
        <v>8674</v>
      </c>
      <c r="B78" s="22" t="s">
        <v>8675</v>
      </c>
      <c r="C78" s="22" t="s">
        <v>8676</v>
      </c>
      <c r="D78" s="22" t="s">
        <v>8677</v>
      </c>
      <c r="E78" s="22" t="s">
        <v>8678</v>
      </c>
      <c r="F78" s="22" t="s">
        <v>8679</v>
      </c>
      <c r="G78" s="22" t="s">
        <v>8036</v>
      </c>
      <c r="H78" s="22" t="s">
        <v>8036</v>
      </c>
      <c r="I78" s="22" t="s">
        <v>8036</v>
      </c>
      <c r="J78" s="22" t="s">
        <v>8680</v>
      </c>
      <c r="K78" s="22" t="s">
        <v>8038</v>
      </c>
      <c r="L78" s="22" t="s">
        <v>8365</v>
      </c>
      <c r="M78" s="22" t="s">
        <v>8681</v>
      </c>
      <c r="N78" s="22"/>
    </row>
    <row r="79" ht="15.75" customHeight="1">
      <c r="A79" s="20" t="s">
        <v>8403</v>
      </c>
      <c r="B79" s="20" t="s">
        <v>8682</v>
      </c>
      <c r="C79" s="20" t="s">
        <v>8683</v>
      </c>
      <c r="D79" s="20" t="s">
        <v>8684</v>
      </c>
      <c r="E79" s="20" t="s">
        <v>8685</v>
      </c>
      <c r="F79" s="20" t="s">
        <v>8686</v>
      </c>
      <c r="G79" s="20" t="s">
        <v>8036</v>
      </c>
      <c r="H79" s="20" t="s">
        <v>8036</v>
      </c>
      <c r="I79" s="20" t="s">
        <v>8036</v>
      </c>
      <c r="J79" s="20" t="s">
        <v>8687</v>
      </c>
      <c r="K79" s="20" t="s">
        <v>8038</v>
      </c>
      <c r="L79" s="21" t="s">
        <v>8091</v>
      </c>
      <c r="M79" s="21" t="s">
        <v>8688</v>
      </c>
      <c r="N79" s="21"/>
    </row>
    <row r="80" ht="15.75" customHeight="1">
      <c r="A80" s="22" t="s">
        <v>8689</v>
      </c>
      <c r="B80" s="22" t="s">
        <v>8690</v>
      </c>
      <c r="C80" s="22" t="s">
        <v>8691</v>
      </c>
      <c r="D80" s="22" t="s">
        <v>8692</v>
      </c>
      <c r="E80" s="22" t="s">
        <v>8693</v>
      </c>
      <c r="F80" s="22" t="s">
        <v>8694</v>
      </c>
      <c r="G80" s="22" t="s">
        <v>8036</v>
      </c>
      <c r="H80" s="22" t="s">
        <v>8036</v>
      </c>
      <c r="I80" s="22" t="s">
        <v>8036</v>
      </c>
      <c r="J80" s="22" t="s">
        <v>8695</v>
      </c>
      <c r="K80" s="22" t="s">
        <v>8038</v>
      </c>
      <c r="L80" s="22" t="s">
        <v>8091</v>
      </c>
      <c r="M80" s="22" t="s">
        <v>8202</v>
      </c>
      <c r="N80" s="22"/>
    </row>
    <row r="81" ht="15.75" customHeight="1">
      <c r="A81" s="20" t="s">
        <v>8630</v>
      </c>
      <c r="B81" s="20" t="s">
        <v>8696</v>
      </c>
      <c r="C81" s="20" t="s">
        <v>8697</v>
      </c>
      <c r="D81" s="20" t="s">
        <v>8698</v>
      </c>
      <c r="E81" s="20" t="s">
        <v>1888</v>
      </c>
      <c r="F81" s="20" t="s">
        <v>8699</v>
      </c>
      <c r="G81" s="20" t="s">
        <v>8700</v>
      </c>
      <c r="H81" s="20" t="s">
        <v>8700</v>
      </c>
      <c r="I81" s="20" t="s">
        <v>8056</v>
      </c>
      <c r="J81" s="20" t="s">
        <v>8701</v>
      </c>
      <c r="K81" s="20" t="s">
        <v>8038</v>
      </c>
      <c r="L81" s="21" t="s">
        <v>8069</v>
      </c>
      <c r="M81" s="21" t="s">
        <v>8702</v>
      </c>
      <c r="N81" s="21"/>
    </row>
    <row r="82" ht="15.75" customHeight="1">
      <c r="A82" s="22" t="s">
        <v>8703</v>
      </c>
      <c r="B82" s="22" t="s">
        <v>8704</v>
      </c>
      <c r="C82" s="22" t="s">
        <v>8705</v>
      </c>
      <c r="D82" s="22" t="s">
        <v>8706</v>
      </c>
      <c r="E82" s="22" t="s">
        <v>8707</v>
      </c>
      <c r="F82" s="22" t="s">
        <v>8708</v>
      </c>
      <c r="G82" s="22" t="s">
        <v>8431</v>
      </c>
      <c r="H82" s="22" t="s">
        <v>8431</v>
      </c>
      <c r="I82" s="22" t="s">
        <v>8056</v>
      </c>
      <c r="J82" s="22" t="s">
        <v>8709</v>
      </c>
      <c r="K82" s="22" t="s">
        <v>8038</v>
      </c>
      <c r="L82" s="22" t="s">
        <v>8069</v>
      </c>
      <c r="M82" s="22" t="s">
        <v>8710</v>
      </c>
      <c r="N82" s="22"/>
    </row>
    <row r="83" ht="15.75" customHeight="1">
      <c r="A83" s="20" t="s">
        <v>8711</v>
      </c>
      <c r="B83" s="20" t="s">
        <v>8712</v>
      </c>
      <c r="C83" s="20" t="s">
        <v>8713</v>
      </c>
      <c r="D83" s="20" t="s">
        <v>8714</v>
      </c>
      <c r="E83" s="20" t="s">
        <v>8715</v>
      </c>
      <c r="F83" s="20" t="s">
        <v>8716</v>
      </c>
      <c r="G83" s="20" t="s">
        <v>8717</v>
      </c>
      <c r="H83" s="20" t="s">
        <v>8066</v>
      </c>
      <c r="I83" s="20" t="s">
        <v>8067</v>
      </c>
      <c r="J83" s="20" t="s">
        <v>8718</v>
      </c>
      <c r="K83" s="20" t="s">
        <v>8038</v>
      </c>
      <c r="L83" s="21" t="s">
        <v>8091</v>
      </c>
      <c r="M83" s="21" t="s">
        <v>8719</v>
      </c>
      <c r="N83" s="21"/>
    </row>
    <row r="84" ht="15.75" customHeight="1">
      <c r="A84" s="22" t="s">
        <v>8720</v>
      </c>
      <c r="B84" s="22" t="s">
        <v>8721</v>
      </c>
      <c r="C84" s="22" t="s">
        <v>8722</v>
      </c>
      <c r="D84" s="22" t="s">
        <v>8723</v>
      </c>
      <c r="E84" s="22" t="s">
        <v>8724</v>
      </c>
      <c r="F84" s="22" t="s">
        <v>8725</v>
      </c>
      <c r="G84" s="22" t="s">
        <v>8726</v>
      </c>
      <c r="H84" s="22" t="s">
        <v>8727</v>
      </c>
      <c r="I84" s="22" t="s">
        <v>8056</v>
      </c>
      <c r="J84" s="22" t="s">
        <v>8728</v>
      </c>
      <c r="K84" s="22" t="s">
        <v>8038</v>
      </c>
      <c r="L84" s="22" t="s">
        <v>8058</v>
      </c>
      <c r="M84" s="22" t="s">
        <v>8729</v>
      </c>
      <c r="N84" s="22" t="s">
        <v>8730</v>
      </c>
    </row>
    <row r="85" ht="15.75" customHeight="1">
      <c r="A85" s="20" t="s">
        <v>8731</v>
      </c>
      <c r="B85" s="20" t="s">
        <v>8732</v>
      </c>
      <c r="C85" s="20" t="s">
        <v>8733</v>
      </c>
      <c r="D85" s="20" t="s">
        <v>8734</v>
      </c>
      <c r="E85" s="20" t="s">
        <v>8735</v>
      </c>
      <c r="F85" s="20" t="s">
        <v>8736</v>
      </c>
      <c r="G85" s="20" t="s">
        <v>8737</v>
      </c>
      <c r="H85" s="20" t="s">
        <v>8738</v>
      </c>
      <c r="I85" s="20" t="s">
        <v>8739</v>
      </c>
      <c r="J85" s="20" t="s">
        <v>8740</v>
      </c>
      <c r="K85" s="20" t="s">
        <v>8038</v>
      </c>
      <c r="L85" s="21" t="s">
        <v>8741</v>
      </c>
      <c r="M85" s="21" t="s">
        <v>8742</v>
      </c>
      <c r="N85" s="21"/>
    </row>
    <row r="86" ht="15.75" customHeight="1">
      <c r="A86" s="22" t="s">
        <v>8743</v>
      </c>
      <c r="B86" s="22" t="s">
        <v>8744</v>
      </c>
      <c r="C86" s="22" t="s">
        <v>8745</v>
      </c>
      <c r="D86" s="22" t="s">
        <v>8746</v>
      </c>
      <c r="E86" s="22" t="s">
        <v>8747</v>
      </c>
      <c r="F86" s="22" t="s">
        <v>8748</v>
      </c>
      <c r="G86" s="22" t="s">
        <v>8242</v>
      </c>
      <c r="H86" s="22" t="s">
        <v>8242</v>
      </c>
      <c r="I86" s="22" t="s">
        <v>8243</v>
      </c>
      <c r="J86" s="22" t="s">
        <v>8749</v>
      </c>
      <c r="K86" s="22" t="s">
        <v>8038</v>
      </c>
      <c r="L86" s="22" t="s">
        <v>8058</v>
      </c>
      <c r="M86" s="22" t="s">
        <v>8750</v>
      </c>
      <c r="N86" s="22" t="s">
        <v>8751</v>
      </c>
    </row>
    <row r="87" ht="15.75" customHeight="1">
      <c r="A87" s="20" t="s">
        <v>8602</v>
      </c>
      <c r="B87" s="20" t="s">
        <v>8752</v>
      </c>
      <c r="C87" s="20" t="s">
        <v>8753</v>
      </c>
      <c r="D87" s="20" t="s">
        <v>8754</v>
      </c>
      <c r="E87" s="20" t="s">
        <v>8755</v>
      </c>
      <c r="F87" s="20" t="s">
        <v>8756</v>
      </c>
      <c r="G87" s="20" t="s">
        <v>8036</v>
      </c>
      <c r="H87" s="20" t="s">
        <v>8036</v>
      </c>
      <c r="I87" s="20" t="s">
        <v>8036</v>
      </c>
      <c r="J87" s="20" t="s">
        <v>8757</v>
      </c>
      <c r="K87" s="20" t="s">
        <v>8038</v>
      </c>
      <c r="L87" s="21" t="s">
        <v>8091</v>
      </c>
      <c r="M87" s="21" t="s">
        <v>8758</v>
      </c>
      <c r="N87" s="21" t="s">
        <v>8759</v>
      </c>
    </row>
    <row r="88" ht="15.75" customHeight="1">
      <c r="A88" s="22" t="s">
        <v>8760</v>
      </c>
      <c r="B88" s="22" t="s">
        <v>8761</v>
      </c>
      <c r="C88" s="22" t="s">
        <v>8762</v>
      </c>
      <c r="D88" s="22" t="s">
        <v>1826</v>
      </c>
      <c r="E88" s="22" t="s">
        <v>8763</v>
      </c>
      <c r="F88" s="22" t="s">
        <v>8764</v>
      </c>
      <c r="G88" s="22" t="s">
        <v>8036</v>
      </c>
      <c r="H88" s="22" t="s">
        <v>8036</v>
      </c>
      <c r="I88" s="22" t="s">
        <v>8036</v>
      </c>
      <c r="J88" s="22" t="s">
        <v>8765</v>
      </c>
      <c r="K88" s="22" t="s">
        <v>8038</v>
      </c>
      <c r="L88" s="22" t="s">
        <v>8069</v>
      </c>
      <c r="M88" s="22" t="s">
        <v>8202</v>
      </c>
      <c r="N88" s="22" t="s">
        <v>8766</v>
      </c>
    </row>
    <row r="89" ht="15.75" customHeight="1">
      <c r="A89" s="20" t="s">
        <v>8093</v>
      </c>
      <c r="B89" s="20" t="s">
        <v>8767</v>
      </c>
      <c r="C89" s="20" t="s">
        <v>8768</v>
      </c>
      <c r="D89" s="20" t="s">
        <v>8769</v>
      </c>
      <c r="E89" s="20" t="s">
        <v>8770</v>
      </c>
      <c r="F89" s="20"/>
      <c r="G89" s="20" t="s">
        <v>8771</v>
      </c>
      <c r="H89" s="20" t="s">
        <v>8354</v>
      </c>
      <c r="I89" s="20" t="s">
        <v>8056</v>
      </c>
      <c r="J89" s="20" t="s">
        <v>8772</v>
      </c>
      <c r="K89" s="20" t="s">
        <v>8038</v>
      </c>
      <c r="L89" s="21" t="s">
        <v>8773</v>
      </c>
      <c r="M89" s="21" t="s">
        <v>8774</v>
      </c>
      <c r="N89" s="21"/>
    </row>
    <row r="90" ht="15.75" customHeight="1">
      <c r="A90" s="22" t="s">
        <v>8775</v>
      </c>
      <c r="B90" s="22" t="s">
        <v>8776</v>
      </c>
      <c r="C90" s="22" t="s">
        <v>8777</v>
      </c>
      <c r="D90" s="22" t="s">
        <v>8778</v>
      </c>
      <c r="E90" s="22" t="s">
        <v>8779</v>
      </c>
      <c r="F90" s="22" t="s">
        <v>8780</v>
      </c>
      <c r="G90" s="22" t="s">
        <v>8781</v>
      </c>
      <c r="H90" s="22" t="s">
        <v>8191</v>
      </c>
      <c r="I90" s="22" t="s">
        <v>8192</v>
      </c>
      <c r="J90" s="22" t="s">
        <v>8782</v>
      </c>
      <c r="K90" s="22" t="s">
        <v>8038</v>
      </c>
      <c r="L90" s="22" t="s">
        <v>8058</v>
      </c>
      <c r="M90" s="22" t="s">
        <v>8783</v>
      </c>
      <c r="N90" s="22" t="s">
        <v>8784</v>
      </c>
    </row>
    <row r="91" ht="15.75" customHeight="1">
      <c r="A91" s="20" t="s">
        <v>8785</v>
      </c>
      <c r="B91" s="20" t="s">
        <v>8776</v>
      </c>
      <c r="C91" s="20" t="s">
        <v>8786</v>
      </c>
      <c r="D91" s="20" t="s">
        <v>8787</v>
      </c>
      <c r="E91" s="20" t="s">
        <v>8788</v>
      </c>
      <c r="F91" s="20" t="s">
        <v>8789</v>
      </c>
      <c r="G91" s="20" t="s">
        <v>8790</v>
      </c>
      <c r="H91" s="20" t="s">
        <v>8791</v>
      </c>
      <c r="I91" s="20" t="s">
        <v>8544</v>
      </c>
      <c r="J91" s="20" t="s">
        <v>8792</v>
      </c>
      <c r="K91" s="20" t="s">
        <v>8038</v>
      </c>
      <c r="L91" s="21" t="s">
        <v>8058</v>
      </c>
      <c r="M91" s="21" t="s">
        <v>8793</v>
      </c>
      <c r="N91" s="21" t="s">
        <v>8794</v>
      </c>
    </row>
    <row r="92" ht="15.75" customHeight="1">
      <c r="A92" s="22" t="s">
        <v>8795</v>
      </c>
      <c r="B92" s="22" t="s">
        <v>8776</v>
      </c>
      <c r="C92" s="22" t="s">
        <v>8796</v>
      </c>
      <c r="D92" s="22" t="s">
        <v>8797</v>
      </c>
      <c r="E92" s="22" t="s">
        <v>8798</v>
      </c>
      <c r="F92" s="22"/>
      <c r="G92" s="22" t="s">
        <v>8036</v>
      </c>
      <c r="H92" s="22" t="s">
        <v>8036</v>
      </c>
      <c r="I92" s="22" t="s">
        <v>8036</v>
      </c>
      <c r="J92" s="22" t="s">
        <v>8799</v>
      </c>
      <c r="K92" s="22" t="s">
        <v>8038</v>
      </c>
      <c r="L92" s="22" t="s">
        <v>8800</v>
      </c>
      <c r="M92" s="22" t="s">
        <v>8801</v>
      </c>
      <c r="N92" s="22"/>
    </row>
    <row r="93" ht="15.75" customHeight="1">
      <c r="A93" s="20" t="s">
        <v>8703</v>
      </c>
      <c r="B93" s="20" t="s">
        <v>8802</v>
      </c>
      <c r="C93" s="20" t="s">
        <v>8803</v>
      </c>
      <c r="D93" s="20" t="s">
        <v>8804</v>
      </c>
      <c r="E93" s="20" t="s">
        <v>8805</v>
      </c>
      <c r="F93" s="20" t="s">
        <v>8806</v>
      </c>
      <c r="G93" s="20" t="s">
        <v>8036</v>
      </c>
      <c r="H93" s="20" t="s">
        <v>8036</v>
      </c>
      <c r="I93" s="20" t="s">
        <v>8036</v>
      </c>
      <c r="J93" s="20" t="s">
        <v>8807</v>
      </c>
      <c r="K93" s="20" t="s">
        <v>8038</v>
      </c>
      <c r="L93" s="21" t="s">
        <v>8058</v>
      </c>
      <c r="M93" s="21" t="s">
        <v>8338</v>
      </c>
      <c r="N93" s="21"/>
    </row>
    <row r="94" ht="15.75" customHeight="1">
      <c r="A94" s="22" t="s">
        <v>8223</v>
      </c>
      <c r="B94" s="22" t="s">
        <v>8808</v>
      </c>
      <c r="C94" s="22" t="s">
        <v>8809</v>
      </c>
      <c r="D94" s="22" t="s">
        <v>8810</v>
      </c>
      <c r="E94" s="22" t="s">
        <v>8811</v>
      </c>
      <c r="F94" s="22" t="s">
        <v>8812</v>
      </c>
      <c r="G94" s="22" t="s">
        <v>8036</v>
      </c>
      <c r="H94" s="22" t="s">
        <v>8036</v>
      </c>
      <c r="I94" s="22" t="s">
        <v>8036</v>
      </c>
      <c r="J94" s="22" t="s">
        <v>8813</v>
      </c>
      <c r="K94" s="22" t="s">
        <v>8038</v>
      </c>
      <c r="L94" s="22" t="s">
        <v>8814</v>
      </c>
      <c r="M94" s="22" t="s">
        <v>8815</v>
      </c>
      <c r="N94" s="22"/>
    </row>
    <row r="95" ht="15.75" customHeight="1">
      <c r="A95" s="20" t="s">
        <v>8101</v>
      </c>
      <c r="B95" s="20" t="s">
        <v>8816</v>
      </c>
      <c r="C95" s="20" t="s">
        <v>8817</v>
      </c>
      <c r="D95" s="20" t="s">
        <v>8818</v>
      </c>
      <c r="E95" s="20" t="s">
        <v>8819</v>
      </c>
      <c r="F95" s="20" t="s">
        <v>8820</v>
      </c>
      <c r="G95" s="20" t="s">
        <v>8218</v>
      </c>
      <c r="H95" s="20" t="s">
        <v>8218</v>
      </c>
      <c r="I95" s="20" t="s">
        <v>8219</v>
      </c>
      <c r="J95" s="20" t="s">
        <v>8821</v>
      </c>
      <c r="K95" s="20" t="s">
        <v>8038</v>
      </c>
      <c r="L95" s="21" t="s">
        <v>8231</v>
      </c>
      <c r="M95" s="21" t="s">
        <v>8822</v>
      </c>
      <c r="N95" s="21"/>
    </row>
    <row r="96" ht="15.75" customHeight="1">
      <c r="A96" s="22" t="s">
        <v>8823</v>
      </c>
      <c r="B96" s="22" t="s">
        <v>8824</v>
      </c>
      <c r="C96" s="22" t="s">
        <v>8825</v>
      </c>
      <c r="D96" s="22" t="s">
        <v>8826</v>
      </c>
      <c r="E96" s="22" t="s">
        <v>8827</v>
      </c>
      <c r="F96" s="22" t="s">
        <v>8828</v>
      </c>
      <c r="G96" s="22" t="s">
        <v>8829</v>
      </c>
      <c r="H96" s="22" t="s">
        <v>8036</v>
      </c>
      <c r="I96" s="22" t="s">
        <v>8036</v>
      </c>
      <c r="J96" s="22" t="s">
        <v>8830</v>
      </c>
      <c r="K96" s="22" t="s">
        <v>8038</v>
      </c>
      <c r="L96" s="22" t="s">
        <v>8039</v>
      </c>
      <c r="M96" s="22" t="s">
        <v>8831</v>
      </c>
      <c r="N96" s="22"/>
    </row>
    <row r="97" ht="15.75" customHeight="1">
      <c r="A97" s="20" t="s">
        <v>8832</v>
      </c>
      <c r="B97" s="20" t="s">
        <v>8833</v>
      </c>
      <c r="C97" s="20" t="s">
        <v>8834</v>
      </c>
      <c r="D97" s="20" t="s">
        <v>8835</v>
      </c>
      <c r="E97" s="20" t="s">
        <v>8836</v>
      </c>
      <c r="F97" s="20" t="s">
        <v>8837</v>
      </c>
      <c r="G97" s="20" t="s">
        <v>8838</v>
      </c>
      <c r="H97" s="20" t="s">
        <v>8066</v>
      </c>
      <c r="I97" s="20" t="s">
        <v>8067</v>
      </c>
      <c r="J97" s="20" t="s">
        <v>8839</v>
      </c>
      <c r="K97" s="20" t="s">
        <v>8038</v>
      </c>
      <c r="L97" s="21" t="s">
        <v>8840</v>
      </c>
      <c r="M97" s="21" t="s">
        <v>8841</v>
      </c>
      <c r="N97" s="21"/>
    </row>
    <row r="98" ht="15.75" customHeight="1">
      <c r="A98" s="22" t="s">
        <v>8403</v>
      </c>
      <c r="B98" s="22" t="s">
        <v>8842</v>
      </c>
      <c r="C98" s="22" t="s">
        <v>8843</v>
      </c>
      <c r="D98" s="22" t="s">
        <v>8844</v>
      </c>
      <c r="E98" s="22" t="s">
        <v>8845</v>
      </c>
      <c r="F98" s="22" t="s">
        <v>8846</v>
      </c>
      <c r="G98" s="22" t="s">
        <v>8036</v>
      </c>
      <c r="H98" s="22" t="s">
        <v>8036</v>
      </c>
      <c r="I98" s="22" t="s">
        <v>8036</v>
      </c>
      <c r="J98" s="22" t="s">
        <v>8847</v>
      </c>
      <c r="K98" s="22" t="s">
        <v>8038</v>
      </c>
      <c r="L98" s="22" t="s">
        <v>8848</v>
      </c>
      <c r="M98" s="22" t="s">
        <v>8629</v>
      </c>
      <c r="N98" s="22"/>
    </row>
    <row r="99" ht="15.75" customHeight="1">
      <c r="A99" s="20" t="s">
        <v>8849</v>
      </c>
      <c r="B99" s="20" t="s">
        <v>8850</v>
      </c>
      <c r="C99" s="20" t="s">
        <v>8153</v>
      </c>
      <c r="D99" s="20" t="s">
        <v>8851</v>
      </c>
      <c r="E99" s="20" t="s">
        <v>8852</v>
      </c>
      <c r="F99" s="20" t="s">
        <v>8156</v>
      </c>
      <c r="G99" s="20" t="s">
        <v>8036</v>
      </c>
      <c r="H99" s="20" t="s">
        <v>8036</v>
      </c>
      <c r="I99" s="20" t="s">
        <v>8036</v>
      </c>
      <c r="J99" s="20" t="s">
        <v>8853</v>
      </c>
      <c r="K99" s="20" t="s">
        <v>8038</v>
      </c>
      <c r="L99" s="21" t="s">
        <v>8069</v>
      </c>
      <c r="M99" s="21" t="s">
        <v>8854</v>
      </c>
      <c r="N99" s="21"/>
    </row>
    <row r="100" ht="15.75" customHeight="1">
      <c r="A100" s="22" t="s">
        <v>8348</v>
      </c>
      <c r="B100" s="22" t="s">
        <v>8855</v>
      </c>
      <c r="C100" s="22" t="s">
        <v>8856</v>
      </c>
      <c r="D100" s="22" t="s">
        <v>8857</v>
      </c>
      <c r="E100" s="22" t="s">
        <v>8858</v>
      </c>
      <c r="F100" s="22" t="s">
        <v>8859</v>
      </c>
      <c r="G100" s="22" t="s">
        <v>8860</v>
      </c>
      <c r="H100" s="22" t="s">
        <v>8036</v>
      </c>
      <c r="I100" s="22" t="s">
        <v>8036</v>
      </c>
      <c r="J100" s="22" t="s">
        <v>8861</v>
      </c>
      <c r="K100" s="22" t="s">
        <v>8038</v>
      </c>
      <c r="L100" s="22" t="s">
        <v>8862</v>
      </c>
      <c r="M100" s="22" t="s">
        <v>8863</v>
      </c>
      <c r="N100" s="22"/>
    </row>
    <row r="101" ht="15.75" customHeight="1">
      <c r="A101" s="20" t="s">
        <v>8864</v>
      </c>
      <c r="B101" s="20" t="s">
        <v>8865</v>
      </c>
      <c r="C101" s="20" t="s">
        <v>8866</v>
      </c>
      <c r="D101" s="20" t="s">
        <v>8867</v>
      </c>
      <c r="E101" s="20" t="s">
        <v>8868</v>
      </c>
      <c r="F101" s="20"/>
      <c r="G101" s="20" t="s">
        <v>8869</v>
      </c>
      <c r="H101" s="20" t="s">
        <v>8107</v>
      </c>
      <c r="I101" s="20" t="s">
        <v>8108</v>
      </c>
      <c r="J101" s="20" t="s">
        <v>8870</v>
      </c>
      <c r="K101" s="20" t="s">
        <v>8038</v>
      </c>
      <c r="L101" s="21" t="s">
        <v>8091</v>
      </c>
      <c r="M101" s="21" t="s">
        <v>8871</v>
      </c>
      <c r="N101" s="21"/>
    </row>
    <row r="102" ht="15.75" customHeight="1">
      <c r="A102" s="22" t="s">
        <v>8872</v>
      </c>
      <c r="B102" s="22" t="s">
        <v>8873</v>
      </c>
      <c r="C102" s="22" t="s">
        <v>8874</v>
      </c>
      <c r="D102" s="22" t="s">
        <v>8875</v>
      </c>
      <c r="E102" s="22" t="s">
        <v>8876</v>
      </c>
      <c r="F102" s="22" t="s">
        <v>8877</v>
      </c>
      <c r="G102" s="22" t="s">
        <v>8036</v>
      </c>
      <c r="H102" s="22" t="s">
        <v>8036</v>
      </c>
      <c r="I102" s="22" t="s">
        <v>8036</v>
      </c>
      <c r="J102" s="22" t="s">
        <v>8878</v>
      </c>
      <c r="K102" s="22" t="s">
        <v>8038</v>
      </c>
      <c r="L102" s="22" t="s">
        <v>8058</v>
      </c>
      <c r="M102" s="22" t="s">
        <v>8801</v>
      </c>
      <c r="N102" s="22"/>
    </row>
    <row r="103" ht="15.75" customHeight="1">
      <c r="A103" s="20" t="s">
        <v>8775</v>
      </c>
      <c r="B103" s="20" t="s">
        <v>8873</v>
      </c>
      <c r="C103" s="20" t="s">
        <v>8879</v>
      </c>
      <c r="D103" s="20" t="s">
        <v>8880</v>
      </c>
      <c r="E103" s="20" t="s">
        <v>8881</v>
      </c>
      <c r="F103" s="20"/>
      <c r="G103" s="20" t="s">
        <v>8882</v>
      </c>
      <c r="H103" s="20" t="s">
        <v>8036</v>
      </c>
      <c r="I103" s="20" t="s">
        <v>8036</v>
      </c>
      <c r="J103" s="20" t="s">
        <v>8883</v>
      </c>
      <c r="K103" s="20" t="s">
        <v>8038</v>
      </c>
      <c r="L103" s="21" t="s">
        <v>8091</v>
      </c>
      <c r="M103" s="21" t="s">
        <v>8884</v>
      </c>
      <c r="N103" s="21" t="s">
        <v>8885</v>
      </c>
    </row>
    <row r="104" ht="15.75" customHeight="1">
      <c r="A104" s="22" t="s">
        <v>8886</v>
      </c>
      <c r="B104" s="22" t="s">
        <v>8887</v>
      </c>
      <c r="C104" s="22" t="s">
        <v>8888</v>
      </c>
      <c r="D104" s="22" t="s">
        <v>8889</v>
      </c>
      <c r="E104" s="22" t="s">
        <v>8890</v>
      </c>
      <c r="F104" s="22" t="s">
        <v>8891</v>
      </c>
      <c r="G104" s="22" t="s">
        <v>8892</v>
      </c>
      <c r="H104" s="22" t="s">
        <v>8560</v>
      </c>
      <c r="I104" s="22" t="s">
        <v>8108</v>
      </c>
      <c r="J104" s="22" t="s">
        <v>8893</v>
      </c>
      <c r="K104" s="22" t="s">
        <v>8038</v>
      </c>
      <c r="L104" s="22" t="s">
        <v>8894</v>
      </c>
      <c r="M104" s="22" t="s">
        <v>8895</v>
      </c>
      <c r="N104" s="22"/>
    </row>
    <row r="105" ht="15.75" customHeight="1">
      <c r="A105" s="20" t="s">
        <v>8896</v>
      </c>
      <c r="B105" s="20" t="s">
        <v>8897</v>
      </c>
      <c r="C105" s="20" t="s">
        <v>8898</v>
      </c>
      <c r="D105" s="20" t="s">
        <v>8899</v>
      </c>
      <c r="E105" s="20" t="s">
        <v>8900</v>
      </c>
      <c r="F105" s="20" t="s">
        <v>8901</v>
      </c>
      <c r="G105" s="20" t="s">
        <v>8148</v>
      </c>
      <c r="H105" s="20" t="s">
        <v>8036</v>
      </c>
      <c r="I105" s="20" t="s">
        <v>8036</v>
      </c>
      <c r="J105" s="20"/>
      <c r="K105" s="20" t="s">
        <v>8038</v>
      </c>
      <c r="L105" s="21" t="s">
        <v>8091</v>
      </c>
      <c r="M105" s="21" t="s">
        <v>8150</v>
      </c>
      <c r="N105" s="21"/>
    </row>
    <row r="106" ht="15.75" customHeight="1">
      <c r="A106" s="22" t="s">
        <v>8902</v>
      </c>
      <c r="B106" s="22" t="s">
        <v>8903</v>
      </c>
      <c r="C106" s="22" t="s">
        <v>8904</v>
      </c>
      <c r="D106" s="22" t="s">
        <v>8905</v>
      </c>
      <c r="E106" s="22" t="s">
        <v>8906</v>
      </c>
      <c r="F106" s="22" t="s">
        <v>8907</v>
      </c>
      <c r="G106" s="22" t="s">
        <v>8107</v>
      </c>
      <c r="H106" s="22" t="s">
        <v>8107</v>
      </c>
      <c r="I106" s="22" t="s">
        <v>8108</v>
      </c>
      <c r="J106" s="22" t="s">
        <v>8908</v>
      </c>
      <c r="K106" s="22" t="s">
        <v>8038</v>
      </c>
      <c r="L106" s="22" t="s">
        <v>8058</v>
      </c>
      <c r="M106" s="22" t="s">
        <v>8909</v>
      </c>
      <c r="N106" s="22" t="s">
        <v>8910</v>
      </c>
    </row>
    <row r="107" ht="15.75" customHeight="1">
      <c r="A107" s="20" t="s">
        <v>8911</v>
      </c>
      <c r="B107" s="20" t="s">
        <v>8912</v>
      </c>
      <c r="C107" s="20" t="s">
        <v>8913</v>
      </c>
      <c r="D107" s="20" t="s">
        <v>8914</v>
      </c>
      <c r="E107" s="20" t="s">
        <v>8915</v>
      </c>
      <c r="F107" s="20"/>
      <c r="G107" s="20" t="s">
        <v>8916</v>
      </c>
      <c r="H107" s="20" t="s">
        <v>8916</v>
      </c>
      <c r="I107" s="20" t="s">
        <v>8544</v>
      </c>
      <c r="J107" s="20" t="s">
        <v>8917</v>
      </c>
      <c r="K107" s="20" t="s">
        <v>8038</v>
      </c>
      <c r="L107" s="21" t="s">
        <v>8058</v>
      </c>
      <c r="M107" s="21" t="s">
        <v>8918</v>
      </c>
      <c r="N107" s="21"/>
    </row>
    <row r="108" ht="15.75" customHeight="1">
      <c r="A108" s="22" t="s">
        <v>8610</v>
      </c>
      <c r="B108" s="22" t="s">
        <v>8919</v>
      </c>
      <c r="C108" s="22" t="s">
        <v>8920</v>
      </c>
      <c r="D108" s="22" t="s">
        <v>8921</v>
      </c>
      <c r="E108" s="22" t="s">
        <v>8922</v>
      </c>
      <c r="F108" s="22"/>
      <c r="G108" s="22" t="s">
        <v>8726</v>
      </c>
      <c r="H108" s="22" t="s">
        <v>8727</v>
      </c>
      <c r="I108" s="22" t="s">
        <v>8056</v>
      </c>
      <c r="J108" s="22" t="s">
        <v>8923</v>
      </c>
      <c r="K108" s="22" t="s">
        <v>8038</v>
      </c>
      <c r="L108" s="22" t="s">
        <v>8058</v>
      </c>
      <c r="M108" s="22" t="s">
        <v>8729</v>
      </c>
      <c r="N108" s="22" t="s">
        <v>8924</v>
      </c>
    </row>
    <row r="109" ht="15.75" customHeight="1">
      <c r="A109" s="20" t="s">
        <v>8594</v>
      </c>
      <c r="B109" s="20" t="s">
        <v>8925</v>
      </c>
      <c r="C109" s="20" t="s">
        <v>8926</v>
      </c>
      <c r="D109" s="20" t="s">
        <v>8927</v>
      </c>
      <c r="E109" s="20" t="s">
        <v>8928</v>
      </c>
      <c r="F109" s="20"/>
      <c r="G109" s="20" t="s">
        <v>8929</v>
      </c>
      <c r="H109" s="20" t="s">
        <v>8036</v>
      </c>
      <c r="I109" s="20" t="s">
        <v>8036</v>
      </c>
      <c r="J109" s="20" t="s">
        <v>8930</v>
      </c>
      <c r="K109" s="20" t="s">
        <v>8038</v>
      </c>
      <c r="L109" s="21" t="s">
        <v>8058</v>
      </c>
      <c r="M109" s="21" t="s">
        <v>8931</v>
      </c>
      <c r="N109" s="21"/>
    </row>
    <row r="110" ht="15.75" customHeight="1">
      <c r="A110" s="22" t="s">
        <v>8932</v>
      </c>
      <c r="B110" s="22" t="s">
        <v>8933</v>
      </c>
      <c r="C110" s="22" t="s">
        <v>8934</v>
      </c>
      <c r="D110" s="22" t="s">
        <v>8935</v>
      </c>
      <c r="E110" s="22" t="s">
        <v>8936</v>
      </c>
      <c r="F110" s="22" t="s">
        <v>8937</v>
      </c>
      <c r="G110" s="22" t="s">
        <v>8467</v>
      </c>
      <c r="H110" s="22" t="s">
        <v>8467</v>
      </c>
      <c r="I110" s="22" t="s">
        <v>8467</v>
      </c>
      <c r="J110" s="22" t="s">
        <v>8938</v>
      </c>
      <c r="K110" s="22" t="s">
        <v>8038</v>
      </c>
      <c r="L110" s="22" t="s">
        <v>8058</v>
      </c>
      <c r="M110" s="22" t="s">
        <v>8939</v>
      </c>
      <c r="N110" s="22"/>
    </row>
    <row r="111" ht="15.75" customHeight="1">
      <c r="A111" s="20" t="s">
        <v>8203</v>
      </c>
      <c r="B111" s="20" t="s">
        <v>8940</v>
      </c>
      <c r="C111" s="20" t="s">
        <v>8941</v>
      </c>
      <c r="D111" s="20" t="s">
        <v>8942</v>
      </c>
      <c r="E111" s="20" t="s">
        <v>8943</v>
      </c>
      <c r="F111" s="20" t="s">
        <v>8944</v>
      </c>
      <c r="G111" s="20" t="s">
        <v>8066</v>
      </c>
      <c r="H111" s="20" t="s">
        <v>8066</v>
      </c>
      <c r="I111" s="20" t="s">
        <v>8067</v>
      </c>
      <c r="J111" s="20" t="s">
        <v>8945</v>
      </c>
      <c r="K111" s="20" t="s">
        <v>8038</v>
      </c>
      <c r="L111" s="21" t="s">
        <v>8091</v>
      </c>
      <c r="M111" s="21" t="s">
        <v>8402</v>
      </c>
      <c r="N111" s="21"/>
    </row>
    <row r="112" ht="15.75" customHeight="1">
      <c r="A112" s="22" t="s">
        <v>8479</v>
      </c>
      <c r="B112" s="22" t="s">
        <v>8946</v>
      </c>
      <c r="C112" s="22" t="s">
        <v>8947</v>
      </c>
      <c r="D112" s="22" t="s">
        <v>8948</v>
      </c>
      <c r="E112" s="22" t="s">
        <v>8949</v>
      </c>
      <c r="F112" s="22" t="s">
        <v>8950</v>
      </c>
      <c r="G112" s="22" t="s">
        <v>8467</v>
      </c>
      <c r="H112" s="22" t="s">
        <v>8467</v>
      </c>
      <c r="I112" s="22" t="s">
        <v>8467</v>
      </c>
      <c r="J112" s="22" t="s">
        <v>8951</v>
      </c>
      <c r="K112" s="22" t="s">
        <v>8038</v>
      </c>
      <c r="L112" s="22" t="s">
        <v>8365</v>
      </c>
      <c r="M112" s="22" t="s">
        <v>8939</v>
      </c>
      <c r="N112" s="22"/>
    </row>
    <row r="113" ht="15.75" customHeight="1">
      <c r="A113" s="20" t="s">
        <v>8952</v>
      </c>
      <c r="B113" s="20" t="s">
        <v>8953</v>
      </c>
      <c r="C113" s="20" t="s">
        <v>8954</v>
      </c>
      <c r="D113" s="20" t="s">
        <v>8955</v>
      </c>
      <c r="E113" s="20" t="s">
        <v>8956</v>
      </c>
      <c r="F113" s="20" t="s">
        <v>8957</v>
      </c>
      <c r="G113" s="20" t="s">
        <v>8958</v>
      </c>
      <c r="H113" s="20" t="s">
        <v>8959</v>
      </c>
      <c r="I113" s="20" t="s">
        <v>8056</v>
      </c>
      <c r="J113" s="20" t="s">
        <v>8960</v>
      </c>
      <c r="K113" s="20" t="s">
        <v>8038</v>
      </c>
      <c r="L113" s="21" t="s">
        <v>8091</v>
      </c>
      <c r="M113" s="21" t="s">
        <v>8961</v>
      </c>
      <c r="N113" s="21"/>
    </row>
    <row r="114" ht="15.75" customHeight="1">
      <c r="A114" s="22" t="s">
        <v>8962</v>
      </c>
      <c r="B114" s="22" t="s">
        <v>8963</v>
      </c>
      <c r="C114" s="22" t="s">
        <v>8964</v>
      </c>
      <c r="D114" s="22" t="s">
        <v>8965</v>
      </c>
      <c r="E114" s="22" t="s">
        <v>8966</v>
      </c>
      <c r="F114" s="22"/>
      <c r="G114" s="22" t="s">
        <v>8967</v>
      </c>
      <c r="H114" s="22" t="s">
        <v>8617</v>
      </c>
      <c r="I114" s="22" t="s">
        <v>8617</v>
      </c>
      <c r="J114" s="22" t="s">
        <v>8968</v>
      </c>
      <c r="K114" s="22" t="s">
        <v>8038</v>
      </c>
      <c r="L114" s="22" t="s">
        <v>8091</v>
      </c>
      <c r="M114" s="22" t="s">
        <v>8969</v>
      </c>
      <c r="N114" s="22"/>
    </row>
    <row r="115" ht="15.75" customHeight="1">
      <c r="A115" s="20" t="s">
        <v>8093</v>
      </c>
      <c r="B115" s="20" t="s">
        <v>8970</v>
      </c>
      <c r="C115" s="20" t="s">
        <v>8971</v>
      </c>
      <c r="D115" s="20" t="s">
        <v>8972</v>
      </c>
      <c r="E115" s="20" t="s">
        <v>8973</v>
      </c>
      <c r="F115" s="20" t="s">
        <v>8974</v>
      </c>
      <c r="G115" s="20" t="s">
        <v>8975</v>
      </c>
      <c r="H115" s="20" t="s">
        <v>8975</v>
      </c>
      <c r="I115" s="20" t="s">
        <v>8192</v>
      </c>
      <c r="J115" s="20" t="s">
        <v>8976</v>
      </c>
      <c r="K115" s="20" t="s">
        <v>8038</v>
      </c>
      <c r="L115" s="21" t="s">
        <v>8058</v>
      </c>
      <c r="M115" s="21" t="s">
        <v>8977</v>
      </c>
      <c r="N115" s="21" t="s">
        <v>8978</v>
      </c>
    </row>
    <row r="116" ht="15.75" customHeight="1">
      <c r="A116" s="22" t="s">
        <v>8979</v>
      </c>
      <c r="B116" s="22" t="s">
        <v>8980</v>
      </c>
      <c r="C116" s="22" t="s">
        <v>8563</v>
      </c>
      <c r="D116" s="22" t="s">
        <v>8981</v>
      </c>
      <c r="E116" s="22" t="s">
        <v>8982</v>
      </c>
      <c r="F116" s="22" t="s">
        <v>8983</v>
      </c>
      <c r="G116" s="22" t="s">
        <v>8984</v>
      </c>
      <c r="H116" s="22" t="s">
        <v>8560</v>
      </c>
      <c r="I116" s="22" t="s">
        <v>8108</v>
      </c>
      <c r="J116" s="22" t="s">
        <v>8985</v>
      </c>
      <c r="K116" s="22" t="s">
        <v>8038</v>
      </c>
      <c r="L116" s="22" t="s">
        <v>8365</v>
      </c>
      <c r="M116" s="22" t="s">
        <v>8568</v>
      </c>
      <c r="N116" s="22"/>
    </row>
    <row r="117" ht="15.75" customHeight="1">
      <c r="A117" s="20" t="s">
        <v>8986</v>
      </c>
      <c r="B117" s="20" t="s">
        <v>8987</v>
      </c>
      <c r="C117" s="20" t="s">
        <v>8988</v>
      </c>
      <c r="D117" s="20" t="s">
        <v>8989</v>
      </c>
      <c r="E117" s="20" t="s">
        <v>8990</v>
      </c>
      <c r="F117" s="20" t="s">
        <v>8991</v>
      </c>
      <c r="G117" s="20" t="s">
        <v>8992</v>
      </c>
      <c r="H117" s="20" t="s">
        <v>8543</v>
      </c>
      <c r="I117" s="20" t="s">
        <v>8544</v>
      </c>
      <c r="J117" s="20" t="s">
        <v>8993</v>
      </c>
      <c r="K117" s="20" t="s">
        <v>8038</v>
      </c>
      <c r="L117" s="21" t="s">
        <v>8058</v>
      </c>
      <c r="M117" s="21" t="s">
        <v>8994</v>
      </c>
      <c r="N117" s="21"/>
    </row>
    <row r="118" ht="15.75" customHeight="1">
      <c r="A118" s="22" t="s">
        <v>8703</v>
      </c>
      <c r="B118" s="22" t="s">
        <v>8995</v>
      </c>
      <c r="C118" s="22" t="s">
        <v>8996</v>
      </c>
      <c r="D118" s="22" t="s">
        <v>8997</v>
      </c>
      <c r="E118" s="22" t="s">
        <v>323</v>
      </c>
      <c r="F118" s="22" t="s">
        <v>8998</v>
      </c>
      <c r="G118" s="22" t="s">
        <v>8431</v>
      </c>
      <c r="H118" s="22" t="s">
        <v>8431</v>
      </c>
      <c r="I118" s="22" t="s">
        <v>8056</v>
      </c>
      <c r="J118" s="22" t="s">
        <v>8999</v>
      </c>
      <c r="K118" s="22" t="s">
        <v>8038</v>
      </c>
      <c r="L118" s="22" t="s">
        <v>8091</v>
      </c>
      <c r="M118" s="22" t="s">
        <v>8433</v>
      </c>
      <c r="N118" s="22"/>
    </row>
    <row r="119" ht="15.75" customHeight="1">
      <c r="A119" s="20" t="s">
        <v>8203</v>
      </c>
      <c r="B119" s="20" t="s">
        <v>9000</v>
      </c>
      <c r="C119" s="20" t="s">
        <v>9001</v>
      </c>
      <c r="D119" s="20" t="s">
        <v>9002</v>
      </c>
      <c r="E119" s="20" t="s">
        <v>9003</v>
      </c>
      <c r="F119" s="20" t="s">
        <v>9004</v>
      </c>
      <c r="G119" s="20" t="s">
        <v>9005</v>
      </c>
      <c r="H119" s="20" t="s">
        <v>8431</v>
      </c>
      <c r="I119" s="20" t="s">
        <v>8056</v>
      </c>
      <c r="J119" s="20" t="s">
        <v>9006</v>
      </c>
      <c r="K119" s="20" t="s">
        <v>8038</v>
      </c>
      <c r="L119" s="21" t="s">
        <v>9007</v>
      </c>
      <c r="M119" s="21" t="s">
        <v>9008</v>
      </c>
      <c r="N119" s="21"/>
    </row>
    <row r="120" ht="15.75" customHeight="1">
      <c r="A120" s="22" t="s">
        <v>8409</v>
      </c>
      <c r="B120" s="22" t="s">
        <v>9009</v>
      </c>
      <c r="C120" s="22" t="s">
        <v>9010</v>
      </c>
      <c r="D120" s="22" t="s">
        <v>9011</v>
      </c>
      <c r="E120" s="22" t="s">
        <v>9012</v>
      </c>
      <c r="F120" s="22" t="s">
        <v>9013</v>
      </c>
      <c r="G120" s="22" t="s">
        <v>9014</v>
      </c>
      <c r="H120" s="22" t="s">
        <v>8456</v>
      </c>
      <c r="I120" s="22" t="s">
        <v>8457</v>
      </c>
      <c r="J120" s="22" t="s">
        <v>9015</v>
      </c>
      <c r="K120" s="22" t="s">
        <v>8038</v>
      </c>
      <c r="L120" s="22" t="s">
        <v>9016</v>
      </c>
      <c r="M120" s="22" t="s">
        <v>9017</v>
      </c>
      <c r="N120" s="22"/>
    </row>
    <row r="121" ht="15.75" customHeight="1">
      <c r="A121" s="20" t="s">
        <v>9018</v>
      </c>
      <c r="B121" s="20" t="s">
        <v>9019</v>
      </c>
      <c r="C121" s="20" t="s">
        <v>9020</v>
      </c>
      <c r="D121" s="20" t="s">
        <v>9021</v>
      </c>
      <c r="E121" s="20" t="s">
        <v>9022</v>
      </c>
      <c r="F121" s="20" t="s">
        <v>9023</v>
      </c>
      <c r="G121" s="20" t="s">
        <v>8036</v>
      </c>
      <c r="H121" s="20" t="s">
        <v>8036</v>
      </c>
      <c r="I121" s="20" t="s">
        <v>8036</v>
      </c>
      <c r="J121" s="20" t="s">
        <v>9024</v>
      </c>
      <c r="K121" s="20" t="s">
        <v>8038</v>
      </c>
      <c r="L121" s="21" t="s">
        <v>9025</v>
      </c>
      <c r="M121" s="21" t="s">
        <v>8210</v>
      </c>
      <c r="N121" s="21"/>
    </row>
    <row r="122" ht="15.75" customHeight="1">
      <c r="A122" s="22" t="s">
        <v>9026</v>
      </c>
      <c r="B122" s="22" t="s">
        <v>9027</v>
      </c>
      <c r="C122" s="22" t="s">
        <v>9028</v>
      </c>
      <c r="D122" s="22" t="s">
        <v>9029</v>
      </c>
      <c r="E122" s="22" t="s">
        <v>9030</v>
      </c>
      <c r="F122" s="22"/>
      <c r="G122" s="22" t="s">
        <v>8036</v>
      </c>
      <c r="H122" s="22" t="s">
        <v>8036</v>
      </c>
      <c r="I122" s="22" t="s">
        <v>8036</v>
      </c>
      <c r="J122" s="22" t="s">
        <v>9031</v>
      </c>
      <c r="K122" s="22" t="s">
        <v>8038</v>
      </c>
      <c r="L122" s="22" t="s">
        <v>8091</v>
      </c>
      <c r="M122" s="22" t="s">
        <v>8304</v>
      </c>
      <c r="N122" s="22" t="s">
        <v>9030</v>
      </c>
    </row>
    <row r="123" ht="15.75" customHeight="1">
      <c r="A123" s="20" t="s">
        <v>9032</v>
      </c>
      <c r="B123" s="20" t="s">
        <v>9033</v>
      </c>
      <c r="C123" s="20" t="s">
        <v>9034</v>
      </c>
      <c r="D123" s="20" t="s">
        <v>1055</v>
      </c>
      <c r="E123" s="20" t="s">
        <v>1056</v>
      </c>
      <c r="F123" s="20" t="s">
        <v>9035</v>
      </c>
      <c r="G123" s="20" t="s">
        <v>8066</v>
      </c>
      <c r="H123" s="20" t="s">
        <v>8066</v>
      </c>
      <c r="I123" s="20" t="s">
        <v>8067</v>
      </c>
      <c r="J123" s="20" t="s">
        <v>9036</v>
      </c>
      <c r="K123" s="20" t="s">
        <v>8038</v>
      </c>
      <c r="L123" s="21" t="s">
        <v>9037</v>
      </c>
      <c r="M123" s="21" t="s">
        <v>9038</v>
      </c>
      <c r="N123" s="21"/>
    </row>
    <row r="124" ht="15.75" customHeight="1">
      <c r="A124" s="22" t="s">
        <v>9039</v>
      </c>
      <c r="B124" s="22" t="s">
        <v>9040</v>
      </c>
      <c r="C124" s="22" t="s">
        <v>9041</v>
      </c>
      <c r="D124" s="22" t="s">
        <v>9042</v>
      </c>
      <c r="E124" s="22" t="s">
        <v>9043</v>
      </c>
      <c r="F124" s="22"/>
      <c r="G124" s="22" t="s">
        <v>8036</v>
      </c>
      <c r="H124" s="22" t="s">
        <v>8036</v>
      </c>
      <c r="I124" s="22" t="s">
        <v>8036</v>
      </c>
      <c r="J124" s="22" t="s">
        <v>9044</v>
      </c>
      <c r="K124" s="22" t="s">
        <v>8038</v>
      </c>
      <c r="L124" s="22" t="s">
        <v>8091</v>
      </c>
      <c r="M124" s="22" t="s">
        <v>9045</v>
      </c>
      <c r="N124" s="22"/>
    </row>
    <row r="125" ht="15.75" customHeight="1">
      <c r="A125" s="20" t="s">
        <v>9046</v>
      </c>
      <c r="B125" s="20" t="s">
        <v>9047</v>
      </c>
      <c r="C125" s="20" t="s">
        <v>9048</v>
      </c>
      <c r="D125" s="20" t="s">
        <v>9049</v>
      </c>
      <c r="E125" s="20" t="s">
        <v>2632</v>
      </c>
      <c r="F125" s="20" t="s">
        <v>9050</v>
      </c>
      <c r="G125" s="20" t="s">
        <v>8107</v>
      </c>
      <c r="H125" s="20" t="s">
        <v>8107</v>
      </c>
      <c r="I125" s="20" t="s">
        <v>8108</v>
      </c>
      <c r="J125" s="20" t="s">
        <v>9051</v>
      </c>
      <c r="K125" s="20" t="s">
        <v>8038</v>
      </c>
      <c r="L125" s="21" t="s">
        <v>9052</v>
      </c>
      <c r="M125" s="21" t="s">
        <v>9053</v>
      </c>
      <c r="N125" s="21"/>
    </row>
    <row r="126" ht="15.75" customHeight="1">
      <c r="A126" s="22" t="s">
        <v>8630</v>
      </c>
      <c r="B126" s="22" t="s">
        <v>9047</v>
      </c>
      <c r="C126" s="22" t="s">
        <v>9054</v>
      </c>
      <c r="D126" s="22" t="s">
        <v>9055</v>
      </c>
      <c r="E126" s="22"/>
      <c r="F126" s="22" t="s">
        <v>9056</v>
      </c>
      <c r="G126" s="22" t="s">
        <v>8107</v>
      </c>
      <c r="H126" s="22" t="s">
        <v>8107</v>
      </c>
      <c r="I126" s="22" t="s">
        <v>8108</v>
      </c>
      <c r="J126" s="22" t="s">
        <v>9057</v>
      </c>
      <c r="K126" s="22" t="s">
        <v>8038</v>
      </c>
      <c r="L126" s="22" t="s">
        <v>9058</v>
      </c>
      <c r="M126" s="22" t="s">
        <v>9059</v>
      </c>
      <c r="N126" s="22"/>
    </row>
    <row r="127" ht="15.75" customHeight="1">
      <c r="A127" s="20" t="s">
        <v>8093</v>
      </c>
      <c r="B127" s="20" t="s">
        <v>9060</v>
      </c>
      <c r="C127" s="20" t="s">
        <v>9061</v>
      </c>
      <c r="D127" s="20" t="s">
        <v>9062</v>
      </c>
      <c r="E127" s="20" t="s">
        <v>9063</v>
      </c>
      <c r="F127" s="20" t="s">
        <v>9064</v>
      </c>
      <c r="G127" s="20" t="s">
        <v>8424</v>
      </c>
      <c r="H127" s="20" t="s">
        <v>8036</v>
      </c>
      <c r="I127" s="20" t="s">
        <v>8036</v>
      </c>
      <c r="J127" s="20" t="s">
        <v>9065</v>
      </c>
      <c r="K127" s="20" t="s">
        <v>8038</v>
      </c>
      <c r="L127" s="21" t="s">
        <v>9052</v>
      </c>
      <c r="M127" s="21" t="s">
        <v>8427</v>
      </c>
      <c r="N127" s="21"/>
    </row>
    <row r="128" ht="15.75" customHeight="1">
      <c r="A128" s="22" t="s">
        <v>8093</v>
      </c>
      <c r="B128" s="22" t="s">
        <v>9066</v>
      </c>
      <c r="C128" s="22" t="s">
        <v>9067</v>
      </c>
      <c r="D128" s="22" t="s">
        <v>9068</v>
      </c>
      <c r="E128" s="22" t="s">
        <v>9069</v>
      </c>
      <c r="F128" s="22" t="s">
        <v>9070</v>
      </c>
      <c r="G128" s="22" t="s">
        <v>8523</v>
      </c>
      <c r="H128" s="22" t="s">
        <v>8523</v>
      </c>
      <c r="I128" s="22" t="s">
        <v>8524</v>
      </c>
      <c r="J128" s="22" t="s">
        <v>9071</v>
      </c>
      <c r="K128" s="22" t="s">
        <v>8038</v>
      </c>
      <c r="L128" s="22" t="s">
        <v>8441</v>
      </c>
      <c r="M128" s="22" t="s">
        <v>9072</v>
      </c>
      <c r="N128" s="22" t="s">
        <v>9073</v>
      </c>
    </row>
    <row r="129" ht="15.75" customHeight="1">
      <c r="A129" s="20" t="s">
        <v>9074</v>
      </c>
      <c r="B129" s="20" t="s">
        <v>9075</v>
      </c>
      <c r="C129" s="20" t="s">
        <v>9076</v>
      </c>
      <c r="D129" s="20" t="s">
        <v>9077</v>
      </c>
      <c r="E129" s="20"/>
      <c r="F129" s="20" t="s">
        <v>9078</v>
      </c>
      <c r="G129" s="20" t="s">
        <v>9079</v>
      </c>
      <c r="H129" s="20" t="s">
        <v>8374</v>
      </c>
      <c r="I129" s="20" t="s">
        <v>8192</v>
      </c>
      <c r="J129" s="20" t="s">
        <v>9080</v>
      </c>
      <c r="K129" s="20" t="s">
        <v>8038</v>
      </c>
      <c r="L129" s="21" t="s">
        <v>9081</v>
      </c>
      <c r="M129" s="21" t="s">
        <v>9082</v>
      </c>
      <c r="N129" s="21"/>
    </row>
    <row r="130" ht="15.75" customHeight="1">
      <c r="A130" s="22" t="s">
        <v>9074</v>
      </c>
      <c r="B130" s="22" t="s">
        <v>9075</v>
      </c>
      <c r="C130" s="22" t="s">
        <v>9076</v>
      </c>
      <c r="D130" s="22" t="s">
        <v>9077</v>
      </c>
      <c r="E130" s="22" t="s">
        <v>9083</v>
      </c>
      <c r="F130" s="22" t="s">
        <v>9078</v>
      </c>
      <c r="G130" s="22" t="s">
        <v>9084</v>
      </c>
      <c r="H130" s="22" t="s">
        <v>8036</v>
      </c>
      <c r="I130" s="22" t="s">
        <v>8036</v>
      </c>
      <c r="J130" s="22" t="s">
        <v>9085</v>
      </c>
      <c r="K130" s="22" t="s">
        <v>8038</v>
      </c>
      <c r="L130" s="22" t="s">
        <v>9081</v>
      </c>
      <c r="M130" s="22" t="s">
        <v>9086</v>
      </c>
      <c r="N130" s="22" t="s">
        <v>9087</v>
      </c>
    </row>
    <row r="131" ht="15.75" customHeight="1">
      <c r="A131" s="20" t="s">
        <v>9088</v>
      </c>
      <c r="B131" s="20" t="s">
        <v>9089</v>
      </c>
      <c r="C131" s="20" t="s">
        <v>9076</v>
      </c>
      <c r="D131" s="20" t="s">
        <v>9090</v>
      </c>
      <c r="E131" s="20" t="s">
        <v>9083</v>
      </c>
      <c r="F131" s="20" t="s">
        <v>9078</v>
      </c>
      <c r="G131" s="20" t="s">
        <v>9084</v>
      </c>
      <c r="H131" s="20" t="s">
        <v>8036</v>
      </c>
      <c r="I131" s="20" t="s">
        <v>8036</v>
      </c>
      <c r="J131" s="20" t="s">
        <v>9085</v>
      </c>
      <c r="K131" s="20" t="s">
        <v>8038</v>
      </c>
      <c r="L131" s="21" t="s">
        <v>8069</v>
      </c>
      <c r="M131" s="21" t="s">
        <v>9086</v>
      </c>
      <c r="N131" s="21" t="s">
        <v>9087</v>
      </c>
    </row>
    <row r="132" ht="15.75" customHeight="1">
      <c r="A132" s="22" t="s">
        <v>8832</v>
      </c>
      <c r="B132" s="22" t="s">
        <v>9091</v>
      </c>
      <c r="C132" s="22" t="s">
        <v>9092</v>
      </c>
      <c r="D132" s="22" t="s">
        <v>9093</v>
      </c>
      <c r="E132" s="22" t="s">
        <v>9094</v>
      </c>
      <c r="F132" s="22" t="s">
        <v>9095</v>
      </c>
      <c r="G132" s="22" t="s">
        <v>9096</v>
      </c>
      <c r="H132" s="22" t="s">
        <v>9096</v>
      </c>
      <c r="I132" s="22" t="s">
        <v>8192</v>
      </c>
      <c r="J132" s="22" t="s">
        <v>9097</v>
      </c>
      <c r="K132" s="22" t="s">
        <v>8038</v>
      </c>
      <c r="L132" s="22" t="s">
        <v>9098</v>
      </c>
      <c r="M132" s="22" t="s">
        <v>9099</v>
      </c>
      <c r="N132" s="22"/>
    </row>
    <row r="133" ht="15.75" customHeight="1">
      <c r="A133" s="20" t="s">
        <v>8610</v>
      </c>
      <c r="B133" s="20" t="s">
        <v>9100</v>
      </c>
      <c r="C133" s="20" t="s">
        <v>9101</v>
      </c>
      <c r="D133" s="20" t="s">
        <v>9102</v>
      </c>
      <c r="E133" s="20" t="s">
        <v>9103</v>
      </c>
      <c r="F133" s="20" t="s">
        <v>9104</v>
      </c>
      <c r="G133" s="20" t="s">
        <v>9105</v>
      </c>
      <c r="H133" s="20" t="s">
        <v>8036</v>
      </c>
      <c r="I133" s="20" t="s">
        <v>8036</v>
      </c>
      <c r="J133" s="20" t="s">
        <v>9106</v>
      </c>
      <c r="K133" s="20" t="s">
        <v>8038</v>
      </c>
      <c r="L133" s="21" t="s">
        <v>9107</v>
      </c>
      <c r="M133" s="21" t="s">
        <v>9108</v>
      </c>
      <c r="N133" s="21"/>
    </row>
    <row r="134" ht="15.75" customHeight="1">
      <c r="A134" s="22" t="s">
        <v>8594</v>
      </c>
      <c r="B134" s="22" t="s">
        <v>9109</v>
      </c>
      <c r="C134" s="22" t="s">
        <v>9110</v>
      </c>
      <c r="D134" s="22" t="s">
        <v>9111</v>
      </c>
      <c r="E134" s="22" t="s">
        <v>9112</v>
      </c>
      <c r="F134" s="22" t="s">
        <v>9113</v>
      </c>
      <c r="G134" s="22" t="s">
        <v>8036</v>
      </c>
      <c r="H134" s="22" t="s">
        <v>8036</v>
      </c>
      <c r="I134" s="22" t="s">
        <v>8036</v>
      </c>
      <c r="J134" s="22" t="s">
        <v>9114</v>
      </c>
      <c r="K134" s="22" t="s">
        <v>8038</v>
      </c>
      <c r="L134" s="22" t="s">
        <v>8082</v>
      </c>
      <c r="M134" s="22" t="s">
        <v>9115</v>
      </c>
      <c r="N134" s="22"/>
    </row>
    <row r="135" ht="15.75" customHeight="1">
      <c r="A135" s="20" t="s">
        <v>9116</v>
      </c>
      <c r="B135" s="20" t="s">
        <v>9117</v>
      </c>
      <c r="C135" s="20" t="s">
        <v>9118</v>
      </c>
      <c r="D135" s="20" t="s">
        <v>1442</v>
      </c>
      <c r="E135" s="20" t="s">
        <v>9119</v>
      </c>
      <c r="F135" s="20" t="s">
        <v>9120</v>
      </c>
      <c r="G135" s="20" t="s">
        <v>9121</v>
      </c>
      <c r="H135" s="20" t="s">
        <v>8218</v>
      </c>
      <c r="I135" s="20" t="s">
        <v>8219</v>
      </c>
      <c r="J135" s="20" t="s">
        <v>9122</v>
      </c>
      <c r="K135" s="20" t="s">
        <v>8038</v>
      </c>
      <c r="L135" s="21" t="s">
        <v>8058</v>
      </c>
      <c r="M135" s="21" t="s">
        <v>9123</v>
      </c>
      <c r="N135" s="21" t="s">
        <v>9124</v>
      </c>
    </row>
    <row r="136" ht="15.75" customHeight="1">
      <c r="A136" s="22" t="s">
        <v>9125</v>
      </c>
      <c r="B136" s="22" t="s">
        <v>9126</v>
      </c>
      <c r="C136" s="22" t="s">
        <v>9127</v>
      </c>
      <c r="D136" s="22" t="s">
        <v>9128</v>
      </c>
      <c r="E136" s="22" t="s">
        <v>9129</v>
      </c>
      <c r="F136" s="22" t="s">
        <v>9130</v>
      </c>
      <c r="G136" s="22" t="s">
        <v>8036</v>
      </c>
      <c r="H136" s="22" t="s">
        <v>8036</v>
      </c>
      <c r="I136" s="22" t="s">
        <v>8036</v>
      </c>
      <c r="J136" s="22" t="s">
        <v>9131</v>
      </c>
      <c r="K136" s="22" t="s">
        <v>8038</v>
      </c>
      <c r="L136" s="22" t="s">
        <v>9132</v>
      </c>
      <c r="M136" s="22" t="s">
        <v>8048</v>
      </c>
      <c r="N136" s="22"/>
    </row>
    <row r="137" ht="15.75" customHeight="1">
      <c r="A137" s="20" t="s">
        <v>9133</v>
      </c>
      <c r="B137" s="20" t="s">
        <v>9134</v>
      </c>
      <c r="C137" s="20" t="s">
        <v>9135</v>
      </c>
      <c r="D137" s="20" t="s">
        <v>9136</v>
      </c>
      <c r="E137" s="20"/>
      <c r="F137" s="20" t="s">
        <v>8200</v>
      </c>
      <c r="G137" s="20" t="s">
        <v>8036</v>
      </c>
      <c r="H137" s="20" t="s">
        <v>8036</v>
      </c>
      <c r="I137" s="20" t="s">
        <v>8036</v>
      </c>
      <c r="J137" s="20" t="s">
        <v>8201</v>
      </c>
      <c r="K137" s="20" t="s">
        <v>8038</v>
      </c>
      <c r="L137" s="21" t="s">
        <v>8091</v>
      </c>
      <c r="M137" s="21" t="s">
        <v>8202</v>
      </c>
      <c r="N137" s="21"/>
    </row>
    <row r="138" ht="15.75" customHeight="1">
      <c r="A138" s="22" t="s">
        <v>9137</v>
      </c>
      <c r="B138" s="22" t="s">
        <v>9138</v>
      </c>
      <c r="C138" s="22" t="s">
        <v>9139</v>
      </c>
      <c r="D138" s="22" t="s">
        <v>9140</v>
      </c>
      <c r="E138" s="22" t="s">
        <v>9141</v>
      </c>
      <c r="F138" s="22" t="s">
        <v>8200</v>
      </c>
      <c r="G138" s="22" t="s">
        <v>8036</v>
      </c>
      <c r="H138" s="22" t="s">
        <v>8036</v>
      </c>
      <c r="I138" s="22" t="s">
        <v>8036</v>
      </c>
      <c r="J138" s="22" t="s">
        <v>9142</v>
      </c>
      <c r="K138" s="22" t="s">
        <v>8038</v>
      </c>
      <c r="L138" s="22" t="s">
        <v>8426</v>
      </c>
      <c r="M138" s="22" t="s">
        <v>8040</v>
      </c>
      <c r="N138" s="22"/>
    </row>
    <row r="139" ht="15.75" customHeight="1">
      <c r="A139" s="20" t="s">
        <v>9143</v>
      </c>
      <c r="B139" s="20" t="s">
        <v>9144</v>
      </c>
      <c r="C139" s="20" t="s">
        <v>9145</v>
      </c>
      <c r="D139" s="20" t="s">
        <v>9146</v>
      </c>
      <c r="E139" s="20" t="s">
        <v>9147</v>
      </c>
      <c r="F139" s="20" t="s">
        <v>9148</v>
      </c>
      <c r="G139" s="20" t="s">
        <v>9149</v>
      </c>
      <c r="H139" s="20" t="s">
        <v>9150</v>
      </c>
      <c r="I139" s="20" t="s">
        <v>8080</v>
      </c>
      <c r="J139" s="20" t="s">
        <v>9151</v>
      </c>
      <c r="K139" s="20" t="s">
        <v>8038</v>
      </c>
      <c r="L139" s="21" t="s">
        <v>8082</v>
      </c>
      <c r="M139" s="21" t="s">
        <v>9152</v>
      </c>
      <c r="N139" s="21"/>
    </row>
    <row r="140" ht="15.75" customHeight="1">
      <c r="A140" s="22" t="s">
        <v>8203</v>
      </c>
      <c r="B140" s="22" t="s">
        <v>9153</v>
      </c>
      <c r="C140" s="22" t="s">
        <v>9154</v>
      </c>
      <c r="D140" s="22" t="s">
        <v>9155</v>
      </c>
      <c r="E140" s="22" t="s">
        <v>9156</v>
      </c>
      <c r="F140" s="22" t="s">
        <v>9157</v>
      </c>
      <c r="G140" s="22" t="s">
        <v>8269</v>
      </c>
      <c r="H140" s="22" t="s">
        <v>8269</v>
      </c>
      <c r="I140" s="22" t="s">
        <v>8270</v>
      </c>
      <c r="J140" s="22" t="s">
        <v>9158</v>
      </c>
      <c r="K140" s="22" t="s">
        <v>8038</v>
      </c>
      <c r="L140" s="22" t="s">
        <v>8039</v>
      </c>
      <c r="M140" s="22" t="s">
        <v>8577</v>
      </c>
      <c r="N140" s="22"/>
    </row>
    <row r="141" ht="15.75" customHeight="1">
      <c r="A141" s="20" t="s">
        <v>8703</v>
      </c>
      <c r="B141" s="20" t="s">
        <v>9159</v>
      </c>
      <c r="C141" s="20" t="s">
        <v>9160</v>
      </c>
      <c r="D141" s="20" t="s">
        <v>9161</v>
      </c>
      <c r="E141" s="20" t="s">
        <v>9162</v>
      </c>
      <c r="F141" s="20" t="s">
        <v>9163</v>
      </c>
      <c r="G141" s="20" t="s">
        <v>8036</v>
      </c>
      <c r="H141" s="20" t="s">
        <v>8036</v>
      </c>
      <c r="I141" s="20" t="s">
        <v>8036</v>
      </c>
      <c r="J141" s="20" t="s">
        <v>9164</v>
      </c>
      <c r="K141" s="20" t="s">
        <v>8038</v>
      </c>
      <c r="L141" s="21" t="s">
        <v>8091</v>
      </c>
      <c r="M141" s="21" t="s">
        <v>9115</v>
      </c>
      <c r="N141" s="21"/>
    </row>
    <row r="142" ht="15.75" customHeight="1">
      <c r="A142" s="22" t="s">
        <v>9165</v>
      </c>
      <c r="B142" s="22" t="s">
        <v>9166</v>
      </c>
      <c r="C142" s="22" t="s">
        <v>9167</v>
      </c>
      <c r="D142" s="22" t="s">
        <v>9168</v>
      </c>
      <c r="E142" s="22" t="s">
        <v>9169</v>
      </c>
      <c r="F142" s="22" t="s">
        <v>9170</v>
      </c>
      <c r="G142" s="22" t="s">
        <v>8036</v>
      </c>
      <c r="H142" s="22" t="s">
        <v>8036</v>
      </c>
      <c r="I142" s="22" t="s">
        <v>8036</v>
      </c>
      <c r="J142" s="22" t="s">
        <v>9171</v>
      </c>
      <c r="K142" s="22" t="s">
        <v>8038</v>
      </c>
      <c r="L142" s="22" t="s">
        <v>9172</v>
      </c>
      <c r="M142" s="22" t="s">
        <v>8210</v>
      </c>
      <c r="N142" s="22"/>
    </row>
    <row r="143" ht="15.75" customHeight="1">
      <c r="A143" s="20" t="s">
        <v>8610</v>
      </c>
      <c r="B143" s="20" t="s">
        <v>9173</v>
      </c>
      <c r="C143" s="20" t="s">
        <v>9174</v>
      </c>
      <c r="D143" s="20" t="s">
        <v>9175</v>
      </c>
      <c r="E143" s="20" t="s">
        <v>9176</v>
      </c>
      <c r="F143" s="20" t="s">
        <v>9177</v>
      </c>
      <c r="G143" s="20" t="s">
        <v>9178</v>
      </c>
      <c r="H143" s="20" t="s">
        <v>8975</v>
      </c>
      <c r="I143" s="20" t="s">
        <v>8192</v>
      </c>
      <c r="J143" s="20" t="s">
        <v>9179</v>
      </c>
      <c r="K143" s="20" t="s">
        <v>8038</v>
      </c>
      <c r="L143" s="21" t="s">
        <v>8058</v>
      </c>
      <c r="M143" s="21" t="s">
        <v>9180</v>
      </c>
      <c r="N143" s="21" t="s">
        <v>605</v>
      </c>
    </row>
    <row r="144" ht="15.75" customHeight="1">
      <c r="A144" s="22" t="s">
        <v>9181</v>
      </c>
      <c r="B144" s="22" t="s">
        <v>9182</v>
      </c>
      <c r="C144" s="22" t="s">
        <v>9183</v>
      </c>
      <c r="D144" s="22" t="s">
        <v>9184</v>
      </c>
      <c r="E144" s="22" t="s">
        <v>9185</v>
      </c>
      <c r="F144" s="22" t="s">
        <v>9186</v>
      </c>
      <c r="G144" s="22" t="s">
        <v>8036</v>
      </c>
      <c r="H144" s="22" t="s">
        <v>8036</v>
      </c>
      <c r="I144" s="22" t="s">
        <v>8036</v>
      </c>
      <c r="J144" s="22" t="s">
        <v>9187</v>
      </c>
      <c r="K144" s="22" t="s">
        <v>8038</v>
      </c>
      <c r="L144" s="22" t="s">
        <v>8091</v>
      </c>
      <c r="M144" s="22" t="s">
        <v>8338</v>
      </c>
      <c r="N144" s="22"/>
    </row>
    <row r="145" ht="15.75" customHeight="1">
      <c r="A145" s="20" t="s">
        <v>9188</v>
      </c>
      <c r="B145" s="20" t="s">
        <v>9189</v>
      </c>
      <c r="C145" s="20" t="s">
        <v>9190</v>
      </c>
      <c r="D145" s="20" t="s">
        <v>9191</v>
      </c>
      <c r="E145" s="20" t="s">
        <v>9192</v>
      </c>
      <c r="F145" s="20" t="s">
        <v>9193</v>
      </c>
      <c r="G145" s="20" t="s">
        <v>9194</v>
      </c>
      <c r="H145" s="20" t="s">
        <v>8524</v>
      </c>
      <c r="I145" s="20" t="s">
        <v>8524</v>
      </c>
      <c r="J145" s="20" t="s">
        <v>9195</v>
      </c>
      <c r="K145" s="20" t="s">
        <v>8038</v>
      </c>
      <c r="L145" s="21" t="s">
        <v>8058</v>
      </c>
      <c r="M145" s="21" t="s">
        <v>9196</v>
      </c>
      <c r="N145" s="21" t="s">
        <v>9197</v>
      </c>
    </row>
    <row r="146" ht="15.75" customHeight="1">
      <c r="A146" s="22" t="s">
        <v>9198</v>
      </c>
      <c r="B146" s="22" t="s">
        <v>9199</v>
      </c>
      <c r="C146" s="22" t="s">
        <v>9200</v>
      </c>
      <c r="D146" s="22" t="s">
        <v>9201</v>
      </c>
      <c r="E146" s="22" t="s">
        <v>570</v>
      </c>
      <c r="F146" s="22" t="s">
        <v>9202</v>
      </c>
      <c r="G146" s="22" t="s">
        <v>9203</v>
      </c>
      <c r="H146" s="22" t="s">
        <v>8036</v>
      </c>
      <c r="I146" s="22" t="s">
        <v>8036</v>
      </c>
      <c r="J146" s="22" t="s">
        <v>9204</v>
      </c>
      <c r="K146" s="22" t="s">
        <v>8038</v>
      </c>
      <c r="L146" s="22" t="s">
        <v>8058</v>
      </c>
      <c r="M146" s="22" t="s">
        <v>9205</v>
      </c>
      <c r="N146" s="22" t="s">
        <v>3255</v>
      </c>
    </row>
    <row r="147" ht="15.75" customHeight="1">
      <c r="A147" s="20" t="s">
        <v>8610</v>
      </c>
      <c r="B147" s="20" t="s">
        <v>9206</v>
      </c>
      <c r="C147" s="20" t="s">
        <v>9207</v>
      </c>
      <c r="D147" s="20" t="s">
        <v>9208</v>
      </c>
      <c r="E147" s="20" t="s">
        <v>9209</v>
      </c>
      <c r="F147" s="20" t="s">
        <v>9210</v>
      </c>
      <c r="G147" s="20" t="s">
        <v>9211</v>
      </c>
      <c r="H147" s="20" t="s">
        <v>8036</v>
      </c>
      <c r="I147" s="20" t="s">
        <v>8036</v>
      </c>
      <c r="J147" s="20" t="s">
        <v>9212</v>
      </c>
      <c r="K147" s="20" t="s">
        <v>8038</v>
      </c>
      <c r="L147" s="21" t="s">
        <v>8091</v>
      </c>
      <c r="M147" s="21" t="s">
        <v>9213</v>
      </c>
      <c r="N147" s="21" t="s">
        <v>9214</v>
      </c>
    </row>
    <row r="148" ht="15.75" customHeight="1">
      <c r="A148" s="22" t="s">
        <v>9215</v>
      </c>
      <c r="B148" s="22" t="s">
        <v>9216</v>
      </c>
      <c r="C148" s="22" t="s">
        <v>9217</v>
      </c>
      <c r="D148" s="22" t="s">
        <v>9218</v>
      </c>
      <c r="E148" s="22" t="s">
        <v>9219</v>
      </c>
      <c r="F148" s="22" t="s">
        <v>9220</v>
      </c>
      <c r="G148" s="22" t="s">
        <v>8975</v>
      </c>
      <c r="H148" s="22" t="s">
        <v>8975</v>
      </c>
      <c r="I148" s="22" t="s">
        <v>8192</v>
      </c>
      <c r="J148" s="22" t="s">
        <v>9221</v>
      </c>
      <c r="K148" s="22" t="s">
        <v>8038</v>
      </c>
      <c r="L148" s="22" t="s">
        <v>8082</v>
      </c>
      <c r="M148" s="22" t="s">
        <v>8977</v>
      </c>
      <c r="N148" s="22"/>
    </row>
    <row r="149" ht="15.75" customHeight="1">
      <c r="A149" s="20" t="s">
        <v>9222</v>
      </c>
      <c r="B149" s="20" t="s">
        <v>9223</v>
      </c>
      <c r="C149" s="20" t="s">
        <v>9224</v>
      </c>
      <c r="D149" s="20" t="s">
        <v>9225</v>
      </c>
      <c r="E149" s="20" t="s">
        <v>9226</v>
      </c>
      <c r="F149" s="20"/>
      <c r="G149" s="20" t="s">
        <v>9227</v>
      </c>
      <c r="H149" s="20" t="s">
        <v>8700</v>
      </c>
      <c r="I149" s="20" t="s">
        <v>8056</v>
      </c>
      <c r="J149" s="20" t="s">
        <v>9228</v>
      </c>
      <c r="K149" s="20" t="s">
        <v>8038</v>
      </c>
      <c r="L149" s="21" t="s">
        <v>9229</v>
      </c>
      <c r="M149" s="21" t="s">
        <v>9230</v>
      </c>
      <c r="N149" s="21" t="s">
        <v>9231</v>
      </c>
    </row>
    <row r="150" ht="15.75" customHeight="1">
      <c r="A150" s="22" t="s">
        <v>9232</v>
      </c>
      <c r="B150" s="22" t="s">
        <v>9233</v>
      </c>
      <c r="C150" s="22" t="s">
        <v>9234</v>
      </c>
      <c r="D150" s="22" t="s">
        <v>9235</v>
      </c>
      <c r="E150" s="22" t="s">
        <v>9236</v>
      </c>
      <c r="F150" s="22" t="s">
        <v>9237</v>
      </c>
      <c r="G150" s="22" t="s">
        <v>8497</v>
      </c>
      <c r="H150" s="22" t="s">
        <v>8497</v>
      </c>
      <c r="I150" s="22" t="s">
        <v>8108</v>
      </c>
      <c r="J150" s="22" t="s">
        <v>9238</v>
      </c>
      <c r="K150" s="22" t="s">
        <v>8038</v>
      </c>
      <c r="L150" s="22" t="s">
        <v>8401</v>
      </c>
      <c r="M150" s="22" t="s">
        <v>9239</v>
      </c>
      <c r="N150" s="22" t="s">
        <v>9240</v>
      </c>
    </row>
    <row r="151" ht="15.75" customHeight="1">
      <c r="A151" s="20" t="s">
        <v>9241</v>
      </c>
      <c r="B151" s="20" t="s">
        <v>9242</v>
      </c>
      <c r="C151" s="20" t="s">
        <v>9243</v>
      </c>
      <c r="D151" s="20" t="s">
        <v>9244</v>
      </c>
      <c r="E151" s="20" t="s">
        <v>9245</v>
      </c>
      <c r="F151" s="20" t="s">
        <v>9246</v>
      </c>
      <c r="G151" s="20" t="s">
        <v>8036</v>
      </c>
      <c r="H151" s="20" t="s">
        <v>8036</v>
      </c>
      <c r="I151" s="20" t="s">
        <v>8036</v>
      </c>
      <c r="J151" s="20" t="s">
        <v>9247</v>
      </c>
      <c r="K151" s="20" t="s">
        <v>8038</v>
      </c>
      <c r="L151" s="21" t="s">
        <v>8848</v>
      </c>
      <c r="M151" s="21" t="s">
        <v>9248</v>
      </c>
      <c r="N151" s="21"/>
    </row>
    <row r="152" ht="15.75" customHeight="1">
      <c r="A152" s="22" t="s">
        <v>9074</v>
      </c>
      <c r="B152" s="22" t="s">
        <v>9249</v>
      </c>
      <c r="C152" s="22" t="s">
        <v>9250</v>
      </c>
      <c r="D152" s="22" t="s">
        <v>9251</v>
      </c>
      <c r="E152" s="22" t="s">
        <v>9252</v>
      </c>
      <c r="F152" s="22" t="s">
        <v>9253</v>
      </c>
      <c r="G152" s="22" t="s">
        <v>8373</v>
      </c>
      <c r="H152" s="22" t="s">
        <v>8374</v>
      </c>
      <c r="I152" s="22" t="s">
        <v>8192</v>
      </c>
      <c r="J152" s="22" t="s">
        <v>9254</v>
      </c>
      <c r="K152" s="22" t="s">
        <v>8038</v>
      </c>
      <c r="L152" s="22" t="s">
        <v>8058</v>
      </c>
      <c r="M152" s="22" t="s">
        <v>8376</v>
      </c>
      <c r="N152" s="22" t="s">
        <v>9255</v>
      </c>
    </row>
    <row r="153" ht="15.75" customHeight="1">
      <c r="A153" s="20" t="s">
        <v>9256</v>
      </c>
      <c r="B153" s="20" t="s">
        <v>9257</v>
      </c>
      <c r="C153" s="20" t="s">
        <v>9258</v>
      </c>
      <c r="D153" s="20" t="s">
        <v>9259</v>
      </c>
      <c r="E153" s="20" t="s">
        <v>9260</v>
      </c>
      <c r="F153" s="20" t="s">
        <v>9261</v>
      </c>
      <c r="G153" s="20" t="s">
        <v>8107</v>
      </c>
      <c r="H153" s="20" t="s">
        <v>8107</v>
      </c>
      <c r="I153" s="20" t="s">
        <v>8108</v>
      </c>
      <c r="J153" s="20" t="s">
        <v>9262</v>
      </c>
      <c r="K153" s="20" t="s">
        <v>8038</v>
      </c>
      <c r="L153" s="21" t="s">
        <v>8091</v>
      </c>
      <c r="M153" s="21" t="s">
        <v>9263</v>
      </c>
      <c r="N153" s="21" t="s">
        <v>9264</v>
      </c>
    </row>
    <row r="154" ht="15.75" customHeight="1">
      <c r="A154" s="22" t="s">
        <v>9265</v>
      </c>
      <c r="B154" s="22" t="s">
        <v>9266</v>
      </c>
      <c r="C154" s="22" t="s">
        <v>9267</v>
      </c>
      <c r="D154" s="22" t="s">
        <v>9268</v>
      </c>
      <c r="E154" s="22" t="s">
        <v>9269</v>
      </c>
      <c r="F154" s="22" t="s">
        <v>9270</v>
      </c>
      <c r="G154" s="22" t="s">
        <v>9271</v>
      </c>
      <c r="H154" s="22" t="s">
        <v>8486</v>
      </c>
      <c r="I154" s="22" t="s">
        <v>8056</v>
      </c>
      <c r="J154" s="22" t="s">
        <v>9272</v>
      </c>
      <c r="K154" s="22" t="s">
        <v>8038</v>
      </c>
      <c r="L154" s="22" t="s">
        <v>9273</v>
      </c>
      <c r="M154" s="22" t="s">
        <v>9274</v>
      </c>
      <c r="N154" s="22"/>
    </row>
    <row r="155" ht="15.75" customHeight="1">
      <c r="A155" s="20" t="s">
        <v>9074</v>
      </c>
      <c r="B155" s="20" t="s">
        <v>9275</v>
      </c>
      <c r="C155" s="20" t="s">
        <v>9276</v>
      </c>
      <c r="D155" s="20" t="s">
        <v>2868</v>
      </c>
      <c r="E155" s="20" t="s">
        <v>9277</v>
      </c>
      <c r="F155" s="20" t="s">
        <v>9278</v>
      </c>
      <c r="G155" s="20" t="s">
        <v>8791</v>
      </c>
      <c r="H155" s="20" t="s">
        <v>8791</v>
      </c>
      <c r="I155" s="20" t="s">
        <v>8544</v>
      </c>
      <c r="J155" s="20" t="s">
        <v>9279</v>
      </c>
      <c r="K155" s="20" t="s">
        <v>8038</v>
      </c>
      <c r="L155" s="21" t="s">
        <v>8058</v>
      </c>
      <c r="M155" s="21" t="s">
        <v>9280</v>
      </c>
      <c r="N155" s="21" t="s">
        <v>9281</v>
      </c>
    </row>
    <row r="156" ht="15.75" customHeight="1">
      <c r="A156" s="22" t="s">
        <v>8509</v>
      </c>
      <c r="B156" s="22" t="s">
        <v>9282</v>
      </c>
      <c r="C156" s="22" t="s">
        <v>9283</v>
      </c>
      <c r="D156" s="22" t="s">
        <v>9284</v>
      </c>
      <c r="E156" s="22" t="s">
        <v>9285</v>
      </c>
      <c r="F156" s="22" t="s">
        <v>9286</v>
      </c>
      <c r="G156" s="22" t="s">
        <v>8700</v>
      </c>
      <c r="H156" s="22" t="s">
        <v>8700</v>
      </c>
      <c r="I156" s="22" t="s">
        <v>8056</v>
      </c>
      <c r="J156" s="22" t="s">
        <v>9287</v>
      </c>
      <c r="K156" s="22" t="s">
        <v>8038</v>
      </c>
      <c r="L156" s="22" t="s">
        <v>8069</v>
      </c>
      <c r="M156" s="22" t="s">
        <v>9288</v>
      </c>
      <c r="N156" s="22"/>
    </row>
    <row r="157" ht="15.75" customHeight="1">
      <c r="A157" s="20" t="s">
        <v>8403</v>
      </c>
      <c r="B157" s="20" t="s">
        <v>9289</v>
      </c>
      <c r="C157" s="20" t="s">
        <v>9290</v>
      </c>
      <c r="D157" s="20" t="s">
        <v>9291</v>
      </c>
      <c r="E157" s="20" t="s">
        <v>9292</v>
      </c>
      <c r="F157" s="20" t="s">
        <v>9293</v>
      </c>
      <c r="G157" s="20" t="s">
        <v>8036</v>
      </c>
      <c r="H157" s="20" t="s">
        <v>8036</v>
      </c>
      <c r="I157" s="20" t="s">
        <v>8036</v>
      </c>
      <c r="J157" s="20" t="s">
        <v>9294</v>
      </c>
      <c r="K157" s="20" t="s">
        <v>8038</v>
      </c>
      <c r="L157" s="21" t="s">
        <v>9295</v>
      </c>
      <c r="M157" s="21" t="s">
        <v>8202</v>
      </c>
      <c r="N157" s="21" t="s">
        <v>9296</v>
      </c>
    </row>
    <row r="158" ht="15.75" customHeight="1">
      <c r="A158" s="22" t="s">
        <v>8703</v>
      </c>
      <c r="B158" s="22" t="s">
        <v>9297</v>
      </c>
      <c r="C158" s="22" t="s">
        <v>9298</v>
      </c>
      <c r="D158" s="22" t="s">
        <v>9299</v>
      </c>
      <c r="E158" s="22" t="s">
        <v>9300</v>
      </c>
      <c r="F158" s="22" t="s">
        <v>9301</v>
      </c>
      <c r="G158" s="22" t="s">
        <v>8036</v>
      </c>
      <c r="H158" s="22" t="s">
        <v>8036</v>
      </c>
      <c r="I158" s="22" t="s">
        <v>8036</v>
      </c>
      <c r="J158" s="22" t="s">
        <v>9302</v>
      </c>
      <c r="K158" s="22" t="s">
        <v>8038</v>
      </c>
      <c r="L158" s="22" t="s">
        <v>8069</v>
      </c>
      <c r="M158" s="22" t="s">
        <v>8210</v>
      </c>
      <c r="N158" s="22"/>
    </row>
    <row r="159" ht="15.75" customHeight="1">
      <c r="A159" s="20" t="s">
        <v>9032</v>
      </c>
      <c r="B159" s="20" t="s">
        <v>9303</v>
      </c>
      <c r="C159" s="20" t="s">
        <v>9304</v>
      </c>
      <c r="D159" s="20" t="s">
        <v>9305</v>
      </c>
      <c r="E159" s="20" t="s">
        <v>9306</v>
      </c>
      <c r="F159" s="20" t="s">
        <v>9307</v>
      </c>
      <c r="G159" s="20" t="s">
        <v>8107</v>
      </c>
      <c r="H159" s="20" t="s">
        <v>8107</v>
      </c>
      <c r="I159" s="20" t="s">
        <v>8108</v>
      </c>
      <c r="J159" s="20" t="s">
        <v>9308</v>
      </c>
      <c r="K159" s="20" t="s">
        <v>8038</v>
      </c>
      <c r="L159" s="21" t="s">
        <v>9309</v>
      </c>
      <c r="M159" s="21" t="s">
        <v>8110</v>
      </c>
      <c r="N159" s="21"/>
    </row>
    <row r="160" ht="15.75" customHeight="1">
      <c r="A160" s="22" t="s">
        <v>9026</v>
      </c>
      <c r="B160" s="22" t="s">
        <v>9310</v>
      </c>
      <c r="C160" s="22" t="s">
        <v>9311</v>
      </c>
      <c r="D160" s="22" t="s">
        <v>9312</v>
      </c>
      <c r="E160" s="22" t="s">
        <v>9313</v>
      </c>
      <c r="F160" s="22"/>
      <c r="G160" s="22" t="s">
        <v>8984</v>
      </c>
      <c r="H160" s="22" t="s">
        <v>8560</v>
      </c>
      <c r="I160" s="22" t="s">
        <v>8107</v>
      </c>
      <c r="J160" s="22" t="s">
        <v>9314</v>
      </c>
      <c r="K160" s="22" t="s">
        <v>8038</v>
      </c>
      <c r="L160" s="22" t="s">
        <v>9315</v>
      </c>
      <c r="M160" s="22" t="s">
        <v>9316</v>
      </c>
      <c r="N160" s="22"/>
    </row>
    <row r="161" ht="15.75" customHeight="1">
      <c r="A161" s="20" t="s">
        <v>9317</v>
      </c>
      <c r="B161" s="20" t="s">
        <v>9318</v>
      </c>
      <c r="C161" s="20" t="s">
        <v>9319</v>
      </c>
      <c r="D161" s="20" t="s">
        <v>9320</v>
      </c>
      <c r="E161" s="20" t="s">
        <v>9321</v>
      </c>
      <c r="F161" s="20" t="s">
        <v>9322</v>
      </c>
      <c r="G161" s="20" t="s">
        <v>8191</v>
      </c>
      <c r="H161" s="20" t="s">
        <v>8191</v>
      </c>
      <c r="I161" s="20" t="s">
        <v>8192</v>
      </c>
      <c r="J161" s="20" t="s">
        <v>9323</v>
      </c>
      <c r="K161" s="20" t="s">
        <v>8038</v>
      </c>
      <c r="L161" s="21" t="s">
        <v>8039</v>
      </c>
      <c r="M161" s="21" t="s">
        <v>9324</v>
      </c>
      <c r="N161" s="21"/>
    </row>
    <row r="162" ht="15.75" customHeight="1">
      <c r="A162" s="22" t="s">
        <v>9317</v>
      </c>
      <c r="B162" s="22" t="s">
        <v>9318</v>
      </c>
      <c r="C162" s="22" t="s">
        <v>9325</v>
      </c>
      <c r="D162" s="22" t="s">
        <v>9326</v>
      </c>
      <c r="E162" s="22" t="s">
        <v>9327</v>
      </c>
      <c r="F162" s="22" t="s">
        <v>9328</v>
      </c>
      <c r="G162" s="22" t="s">
        <v>8036</v>
      </c>
      <c r="H162" s="22" t="s">
        <v>8036</v>
      </c>
      <c r="I162" s="22" t="s">
        <v>8036</v>
      </c>
      <c r="J162" s="22" t="s">
        <v>9329</v>
      </c>
      <c r="K162" s="22" t="s">
        <v>8038</v>
      </c>
      <c r="L162" s="22" t="s">
        <v>8365</v>
      </c>
      <c r="M162" s="22" t="s">
        <v>8048</v>
      </c>
      <c r="N162" s="22"/>
    </row>
    <row r="163" ht="15.75" customHeight="1">
      <c r="A163" s="20" t="s">
        <v>9222</v>
      </c>
      <c r="B163" s="20" t="s">
        <v>9330</v>
      </c>
      <c r="C163" s="20" t="s">
        <v>9331</v>
      </c>
      <c r="D163" s="20" t="s">
        <v>9332</v>
      </c>
      <c r="E163" s="20" t="s">
        <v>9333</v>
      </c>
      <c r="F163" s="20"/>
      <c r="G163" s="20" t="s">
        <v>8036</v>
      </c>
      <c r="H163" s="20" t="s">
        <v>8036</v>
      </c>
      <c r="I163" s="20" t="s">
        <v>8036</v>
      </c>
      <c r="J163" s="20" t="s">
        <v>9334</v>
      </c>
      <c r="K163" s="20" t="s">
        <v>8038</v>
      </c>
      <c r="L163" s="21" t="s">
        <v>9335</v>
      </c>
      <c r="M163" s="21" t="s">
        <v>9336</v>
      </c>
      <c r="N163" s="21"/>
    </row>
    <row r="164" ht="15.75" customHeight="1">
      <c r="A164" s="22" t="s">
        <v>9337</v>
      </c>
      <c r="B164" s="22" t="s">
        <v>9338</v>
      </c>
      <c r="C164" s="22" t="s">
        <v>9339</v>
      </c>
      <c r="D164" s="22" t="s">
        <v>632</v>
      </c>
      <c r="E164" s="22" t="s">
        <v>650</v>
      </c>
      <c r="F164" s="22" t="s">
        <v>9340</v>
      </c>
      <c r="G164" s="22" t="s">
        <v>8066</v>
      </c>
      <c r="H164" s="22" t="s">
        <v>8066</v>
      </c>
      <c r="I164" s="22" t="s">
        <v>8067</v>
      </c>
      <c r="J164" s="22" t="s">
        <v>9341</v>
      </c>
      <c r="K164" s="22" t="s">
        <v>8038</v>
      </c>
      <c r="L164" s="22" t="s">
        <v>8047</v>
      </c>
      <c r="M164" s="22" t="s">
        <v>9342</v>
      </c>
      <c r="N164" s="22"/>
    </row>
    <row r="165" ht="15.75" customHeight="1">
      <c r="A165" s="20" t="s">
        <v>9343</v>
      </c>
      <c r="B165" s="20" t="s">
        <v>9344</v>
      </c>
      <c r="C165" s="20" t="s">
        <v>9345</v>
      </c>
      <c r="D165" s="20" t="s">
        <v>9346</v>
      </c>
      <c r="E165" s="20" t="s">
        <v>9347</v>
      </c>
      <c r="F165" s="20" t="s">
        <v>9348</v>
      </c>
      <c r="G165" s="20" t="s">
        <v>9349</v>
      </c>
      <c r="H165" s="20" t="s">
        <v>9150</v>
      </c>
      <c r="I165" s="20" t="s">
        <v>8080</v>
      </c>
      <c r="J165" s="20" t="s">
        <v>9350</v>
      </c>
      <c r="K165" s="20" t="s">
        <v>8038</v>
      </c>
      <c r="L165" s="21" t="s">
        <v>9081</v>
      </c>
      <c r="M165" s="21" t="s">
        <v>9351</v>
      </c>
      <c r="N165" s="21" t="s">
        <v>4222</v>
      </c>
    </row>
    <row r="166" ht="15.75" customHeight="1">
      <c r="A166" s="22" t="s">
        <v>9352</v>
      </c>
      <c r="B166" s="22" t="s">
        <v>9353</v>
      </c>
      <c r="C166" s="22" t="s">
        <v>9354</v>
      </c>
      <c r="D166" s="22" t="s">
        <v>9355</v>
      </c>
      <c r="E166" s="22" t="s">
        <v>9356</v>
      </c>
      <c r="F166" s="22" t="s">
        <v>9357</v>
      </c>
      <c r="G166" s="22" t="s">
        <v>8975</v>
      </c>
      <c r="H166" s="22" t="s">
        <v>8975</v>
      </c>
      <c r="I166" s="22" t="s">
        <v>8192</v>
      </c>
      <c r="J166" s="22" t="s">
        <v>9358</v>
      </c>
      <c r="K166" s="22" t="s">
        <v>8038</v>
      </c>
      <c r="L166" s="22" t="s">
        <v>8058</v>
      </c>
      <c r="M166" s="22" t="s">
        <v>9359</v>
      </c>
      <c r="N166" s="22"/>
    </row>
    <row r="167" ht="15.75" customHeight="1">
      <c r="A167" s="20" t="s">
        <v>8151</v>
      </c>
      <c r="B167" s="20" t="s">
        <v>9360</v>
      </c>
      <c r="C167" s="20" t="s">
        <v>9361</v>
      </c>
      <c r="D167" s="20" t="s">
        <v>9362</v>
      </c>
      <c r="E167" s="20" t="s">
        <v>9363</v>
      </c>
      <c r="F167" s="20" t="s">
        <v>9364</v>
      </c>
      <c r="G167" s="20" t="s">
        <v>8036</v>
      </c>
      <c r="H167" s="20" t="s">
        <v>8036</v>
      </c>
      <c r="I167" s="20" t="s">
        <v>8036</v>
      </c>
      <c r="J167" s="20" t="s">
        <v>9365</v>
      </c>
      <c r="K167" s="20" t="s">
        <v>8038</v>
      </c>
      <c r="L167" s="21" t="s">
        <v>9366</v>
      </c>
      <c r="M167" s="21" t="s">
        <v>9336</v>
      </c>
      <c r="N167" s="21"/>
    </row>
    <row r="168" ht="15.75" customHeight="1">
      <c r="A168" s="22" t="s">
        <v>9352</v>
      </c>
      <c r="B168" s="22" t="s">
        <v>9367</v>
      </c>
      <c r="C168" s="22" t="s">
        <v>9368</v>
      </c>
      <c r="D168" s="22" t="s">
        <v>9369</v>
      </c>
      <c r="E168" s="22" t="s">
        <v>9370</v>
      </c>
      <c r="F168" s="22" t="s">
        <v>9371</v>
      </c>
      <c r="G168" s="22" t="s">
        <v>9372</v>
      </c>
      <c r="H168" s="22" t="s">
        <v>8191</v>
      </c>
      <c r="I168" s="22" t="s">
        <v>8192</v>
      </c>
      <c r="J168" s="22" t="s">
        <v>9373</v>
      </c>
      <c r="K168" s="22" t="s">
        <v>8038</v>
      </c>
      <c r="L168" s="22" t="s">
        <v>8091</v>
      </c>
      <c r="M168" s="22" t="s">
        <v>9374</v>
      </c>
      <c r="N168" s="22"/>
    </row>
    <row r="169" ht="15.75" customHeight="1">
      <c r="A169" s="20" t="s">
        <v>8594</v>
      </c>
      <c r="B169" s="20" t="s">
        <v>9375</v>
      </c>
      <c r="C169" s="20" t="s">
        <v>9376</v>
      </c>
      <c r="D169" s="20" t="s">
        <v>9377</v>
      </c>
      <c r="E169" s="20" t="s">
        <v>9378</v>
      </c>
      <c r="F169" s="20" t="s">
        <v>9379</v>
      </c>
      <c r="G169" s="20" t="s">
        <v>8036</v>
      </c>
      <c r="H169" s="20" t="s">
        <v>8036</v>
      </c>
      <c r="I169" s="20" t="s">
        <v>8036</v>
      </c>
      <c r="J169" s="20" t="s">
        <v>9380</v>
      </c>
      <c r="K169" s="20" t="s">
        <v>8038</v>
      </c>
      <c r="L169" s="21" t="s">
        <v>9381</v>
      </c>
      <c r="M169" s="21" t="s">
        <v>9382</v>
      </c>
      <c r="N169" s="21" t="s">
        <v>9383</v>
      </c>
    </row>
    <row r="170" ht="15.75" customHeight="1">
      <c r="A170" s="22" t="s">
        <v>9384</v>
      </c>
      <c r="B170" s="22" t="s">
        <v>9385</v>
      </c>
      <c r="C170" s="22" t="s">
        <v>9386</v>
      </c>
      <c r="D170" s="22" t="s">
        <v>9387</v>
      </c>
      <c r="E170" s="22" t="s">
        <v>9388</v>
      </c>
      <c r="F170" s="22" t="s">
        <v>9389</v>
      </c>
      <c r="G170" s="22" t="s">
        <v>9390</v>
      </c>
      <c r="H170" s="22" t="s">
        <v>8959</v>
      </c>
      <c r="I170" s="22" t="s">
        <v>8056</v>
      </c>
      <c r="J170" s="22" t="s">
        <v>9391</v>
      </c>
      <c r="K170" s="22" t="s">
        <v>8038</v>
      </c>
      <c r="L170" s="22" t="s">
        <v>9392</v>
      </c>
      <c r="M170" s="22" t="s">
        <v>9393</v>
      </c>
      <c r="N170" s="22"/>
    </row>
    <row r="171" ht="15.75" customHeight="1">
      <c r="A171" s="20" t="s">
        <v>9394</v>
      </c>
      <c r="B171" s="20" t="s">
        <v>9395</v>
      </c>
      <c r="C171" s="20" t="s">
        <v>9396</v>
      </c>
      <c r="D171" s="20" t="s">
        <v>9397</v>
      </c>
      <c r="E171" s="20" t="s">
        <v>9398</v>
      </c>
      <c r="F171" s="20" t="s">
        <v>9399</v>
      </c>
      <c r="G171" s="20" t="s">
        <v>8036</v>
      </c>
      <c r="H171" s="20" t="s">
        <v>8036</v>
      </c>
      <c r="I171" s="20" t="s">
        <v>8036</v>
      </c>
      <c r="J171" s="20" t="s">
        <v>9400</v>
      </c>
      <c r="K171" s="20" t="s">
        <v>8038</v>
      </c>
      <c r="L171" s="21" t="s">
        <v>9401</v>
      </c>
      <c r="M171" s="21" t="s">
        <v>9402</v>
      </c>
      <c r="N171" s="21"/>
    </row>
    <row r="172" ht="15.75" customHeight="1">
      <c r="A172" s="22" t="s">
        <v>9403</v>
      </c>
      <c r="B172" s="22" t="s">
        <v>9404</v>
      </c>
      <c r="C172" s="22" t="s">
        <v>9405</v>
      </c>
      <c r="D172" s="22" t="s">
        <v>9406</v>
      </c>
      <c r="E172" s="22" t="s">
        <v>9407</v>
      </c>
      <c r="F172" s="22" t="s">
        <v>9408</v>
      </c>
      <c r="G172" s="22" t="s">
        <v>8036</v>
      </c>
      <c r="H172" s="22" t="s">
        <v>8036</v>
      </c>
      <c r="I172" s="22" t="s">
        <v>8036</v>
      </c>
      <c r="J172" s="22" t="s">
        <v>9409</v>
      </c>
      <c r="K172" s="22" t="s">
        <v>8038</v>
      </c>
      <c r="L172" s="22" t="s">
        <v>8091</v>
      </c>
      <c r="M172" s="22" t="s">
        <v>8801</v>
      </c>
      <c r="N172" s="22"/>
    </row>
    <row r="173" ht="15.75" customHeight="1">
      <c r="A173" s="20" t="s">
        <v>9403</v>
      </c>
      <c r="B173" s="20" t="s">
        <v>9404</v>
      </c>
      <c r="C173" s="20" t="s">
        <v>9410</v>
      </c>
      <c r="D173" s="20" t="s">
        <v>9411</v>
      </c>
      <c r="E173" s="20" t="s">
        <v>9407</v>
      </c>
      <c r="F173" s="20" t="s">
        <v>9412</v>
      </c>
      <c r="G173" s="20" t="s">
        <v>8036</v>
      </c>
      <c r="H173" s="20" t="s">
        <v>8036</v>
      </c>
      <c r="I173" s="20" t="s">
        <v>8036</v>
      </c>
      <c r="J173" s="20" t="s">
        <v>9409</v>
      </c>
      <c r="K173" s="20" t="s">
        <v>8038</v>
      </c>
      <c r="L173" s="21" t="s">
        <v>9098</v>
      </c>
      <c r="M173" s="21" t="s">
        <v>8801</v>
      </c>
      <c r="N173" s="21"/>
    </row>
    <row r="174" ht="15.75" customHeight="1">
      <c r="A174" s="22" t="s">
        <v>9413</v>
      </c>
      <c r="B174" s="22" t="s">
        <v>9414</v>
      </c>
      <c r="C174" s="22" t="s">
        <v>9415</v>
      </c>
      <c r="D174" s="22" t="s">
        <v>9416</v>
      </c>
      <c r="E174" s="22" t="s">
        <v>9417</v>
      </c>
      <c r="F174" s="22" t="s">
        <v>9418</v>
      </c>
      <c r="G174" s="22" t="s">
        <v>9419</v>
      </c>
      <c r="H174" s="22" t="s">
        <v>9420</v>
      </c>
      <c r="I174" s="22" t="s">
        <v>8056</v>
      </c>
      <c r="J174" s="22" t="s">
        <v>9421</v>
      </c>
      <c r="K174" s="22" t="s">
        <v>8038</v>
      </c>
      <c r="L174" s="22" t="s">
        <v>9422</v>
      </c>
      <c r="M174" s="22" t="s">
        <v>9423</v>
      </c>
      <c r="N174" s="22"/>
    </row>
    <row r="175" ht="15.75" customHeight="1">
      <c r="A175" s="20" t="s">
        <v>8743</v>
      </c>
      <c r="B175" s="20" t="s">
        <v>9424</v>
      </c>
      <c r="C175" s="20" t="s">
        <v>9425</v>
      </c>
      <c r="D175" s="20" t="s">
        <v>9426</v>
      </c>
      <c r="E175" s="20" t="s">
        <v>9427</v>
      </c>
      <c r="F175" s="20" t="s">
        <v>9428</v>
      </c>
      <c r="G175" s="20" t="s">
        <v>9429</v>
      </c>
      <c r="H175" s="20" t="s">
        <v>9096</v>
      </c>
      <c r="I175" s="20" t="s">
        <v>8192</v>
      </c>
      <c r="J175" s="20" t="s">
        <v>9430</v>
      </c>
      <c r="K175" s="20" t="s">
        <v>8038</v>
      </c>
      <c r="L175" s="21" t="s">
        <v>8441</v>
      </c>
      <c r="M175" s="21" t="s">
        <v>9431</v>
      </c>
      <c r="N175" s="21"/>
    </row>
    <row r="176" ht="15.75" customHeight="1">
      <c r="A176" s="22" t="s">
        <v>9432</v>
      </c>
      <c r="B176" s="22" t="s">
        <v>9433</v>
      </c>
      <c r="C176" s="22" t="s">
        <v>9434</v>
      </c>
      <c r="D176" s="22" t="s">
        <v>9435</v>
      </c>
      <c r="E176" s="22" t="s">
        <v>9436</v>
      </c>
      <c r="F176" s="22" t="s">
        <v>9437</v>
      </c>
      <c r="G176" s="22" t="s">
        <v>8036</v>
      </c>
      <c r="H176" s="22" t="s">
        <v>8036</v>
      </c>
      <c r="I176" s="22" t="s">
        <v>8036</v>
      </c>
      <c r="J176" s="22" t="s">
        <v>9438</v>
      </c>
      <c r="K176" s="22" t="s">
        <v>8038</v>
      </c>
      <c r="L176" s="22" t="s">
        <v>8091</v>
      </c>
      <c r="M176" s="22" t="s">
        <v>9439</v>
      </c>
      <c r="N176" s="22" t="s">
        <v>9440</v>
      </c>
    </row>
    <row r="177" ht="15.75" customHeight="1">
      <c r="A177" s="20" t="s">
        <v>9441</v>
      </c>
      <c r="B177" s="20" t="s">
        <v>9442</v>
      </c>
      <c r="C177" s="20" t="s">
        <v>9443</v>
      </c>
      <c r="D177" s="20" t="s">
        <v>9444</v>
      </c>
      <c r="E177" s="20" t="s">
        <v>9445</v>
      </c>
      <c r="F177" s="20" t="s">
        <v>9446</v>
      </c>
      <c r="G177" s="20" t="s">
        <v>8036</v>
      </c>
      <c r="H177" s="20" t="s">
        <v>8036</v>
      </c>
      <c r="I177" s="20" t="s">
        <v>8036</v>
      </c>
      <c r="J177" s="20"/>
      <c r="K177" s="20" t="s">
        <v>8038</v>
      </c>
      <c r="L177" s="21" t="s">
        <v>8365</v>
      </c>
      <c r="M177" s="21"/>
      <c r="N177" s="21"/>
    </row>
    <row r="178" ht="15.75" customHeight="1">
      <c r="A178" s="22" t="s">
        <v>9447</v>
      </c>
      <c r="B178" s="22" t="s">
        <v>9448</v>
      </c>
      <c r="C178" s="22" t="s">
        <v>9449</v>
      </c>
      <c r="D178" s="22" t="s">
        <v>9450</v>
      </c>
      <c r="E178" s="22" t="s">
        <v>9451</v>
      </c>
      <c r="F178" s="22" t="s">
        <v>9452</v>
      </c>
      <c r="G178" s="22" t="s">
        <v>8036</v>
      </c>
      <c r="H178" s="22" t="s">
        <v>8036</v>
      </c>
      <c r="I178" s="22" t="s">
        <v>8036</v>
      </c>
      <c r="J178" s="22" t="s">
        <v>9453</v>
      </c>
      <c r="K178" s="22" t="s">
        <v>8038</v>
      </c>
      <c r="L178" s="22" t="s">
        <v>8069</v>
      </c>
      <c r="M178" s="22" t="s">
        <v>8202</v>
      </c>
      <c r="N178" s="22"/>
    </row>
    <row r="179" ht="15.75" customHeight="1">
      <c r="A179" s="20" t="s">
        <v>9454</v>
      </c>
      <c r="B179" s="20" t="s">
        <v>9455</v>
      </c>
      <c r="C179" s="20" t="s">
        <v>9456</v>
      </c>
      <c r="D179" s="20" t="s">
        <v>9457</v>
      </c>
      <c r="E179" s="20" t="s">
        <v>9458</v>
      </c>
      <c r="F179" s="20" t="s">
        <v>9459</v>
      </c>
      <c r="G179" s="20" t="s">
        <v>9460</v>
      </c>
      <c r="H179" s="20" t="s">
        <v>8727</v>
      </c>
      <c r="I179" s="20" t="s">
        <v>8056</v>
      </c>
      <c r="J179" s="20" t="s">
        <v>9461</v>
      </c>
      <c r="K179" s="20" t="s">
        <v>8038</v>
      </c>
      <c r="L179" s="21" t="s">
        <v>9462</v>
      </c>
      <c r="M179" s="21" t="s">
        <v>9463</v>
      </c>
      <c r="N179" s="21"/>
    </row>
    <row r="180" ht="15.75" customHeight="1">
      <c r="A180" s="22" t="s">
        <v>8630</v>
      </c>
      <c r="B180" s="22" t="s">
        <v>9464</v>
      </c>
      <c r="C180" s="22" t="s">
        <v>9465</v>
      </c>
      <c r="D180" s="22" t="s">
        <v>9466</v>
      </c>
      <c r="E180" s="22" t="s">
        <v>9467</v>
      </c>
      <c r="F180" s="22" t="s">
        <v>9468</v>
      </c>
      <c r="G180" s="22" t="s">
        <v>8036</v>
      </c>
      <c r="H180" s="22" t="s">
        <v>8036</v>
      </c>
      <c r="I180" s="22" t="s">
        <v>8036</v>
      </c>
      <c r="J180" s="22" t="s">
        <v>9469</v>
      </c>
      <c r="K180" s="22" t="s">
        <v>8038</v>
      </c>
      <c r="L180" s="22" t="s">
        <v>8058</v>
      </c>
      <c r="M180" s="22" t="s">
        <v>9045</v>
      </c>
      <c r="N180" s="22"/>
    </row>
    <row r="181" ht="15.75" customHeight="1">
      <c r="A181" s="20" t="s">
        <v>9470</v>
      </c>
      <c r="B181" s="20" t="s">
        <v>9471</v>
      </c>
      <c r="C181" s="20" t="s">
        <v>9472</v>
      </c>
      <c r="D181" s="20" t="s">
        <v>9473</v>
      </c>
      <c r="E181" s="20" t="s">
        <v>9474</v>
      </c>
      <c r="F181" s="20" t="s">
        <v>9475</v>
      </c>
      <c r="G181" s="20" t="s">
        <v>8700</v>
      </c>
      <c r="H181" s="20" t="s">
        <v>8700</v>
      </c>
      <c r="I181" s="20" t="s">
        <v>8056</v>
      </c>
      <c r="J181" s="20" t="s">
        <v>9476</v>
      </c>
      <c r="K181" s="20" t="s">
        <v>8038</v>
      </c>
      <c r="L181" s="21" t="s">
        <v>8058</v>
      </c>
      <c r="M181" s="21" t="s">
        <v>9477</v>
      </c>
      <c r="N181" s="21" t="s">
        <v>9478</v>
      </c>
    </row>
    <row r="182" ht="15.75" customHeight="1">
      <c r="A182" s="22" t="s">
        <v>9470</v>
      </c>
      <c r="B182" s="22" t="s">
        <v>9471</v>
      </c>
      <c r="C182" s="22" t="s">
        <v>9479</v>
      </c>
      <c r="D182" s="22" t="s">
        <v>9480</v>
      </c>
      <c r="E182" s="22" t="s">
        <v>9474</v>
      </c>
      <c r="F182" s="22" t="s">
        <v>9481</v>
      </c>
      <c r="G182" s="22" t="s">
        <v>9482</v>
      </c>
      <c r="H182" s="22" t="s">
        <v>8431</v>
      </c>
      <c r="I182" s="22" t="s">
        <v>8056</v>
      </c>
      <c r="J182" s="22" t="s">
        <v>9483</v>
      </c>
      <c r="K182" s="22" t="s">
        <v>8038</v>
      </c>
      <c r="L182" s="22" t="s">
        <v>8393</v>
      </c>
      <c r="M182" s="22" t="s">
        <v>9484</v>
      </c>
      <c r="N182" s="22"/>
    </row>
    <row r="183" ht="15.75" customHeight="1">
      <c r="A183" s="20" t="s">
        <v>9485</v>
      </c>
      <c r="B183" s="20" t="s">
        <v>9471</v>
      </c>
      <c r="C183" s="20" t="s">
        <v>9486</v>
      </c>
      <c r="D183" s="20" t="s">
        <v>9473</v>
      </c>
      <c r="E183" s="20" t="s">
        <v>9487</v>
      </c>
      <c r="F183" s="20" t="s">
        <v>9488</v>
      </c>
      <c r="G183" s="20" t="s">
        <v>8700</v>
      </c>
      <c r="H183" s="20" t="s">
        <v>8700</v>
      </c>
      <c r="I183" s="20" t="s">
        <v>8056</v>
      </c>
      <c r="J183" s="20" t="s">
        <v>9489</v>
      </c>
      <c r="K183" s="20" t="s">
        <v>8038</v>
      </c>
      <c r="L183" s="21" t="s">
        <v>8058</v>
      </c>
      <c r="M183" s="21" t="s">
        <v>9477</v>
      </c>
      <c r="N183" s="21" t="s">
        <v>9478</v>
      </c>
    </row>
    <row r="184" ht="15.75" customHeight="1">
      <c r="A184" s="22" t="s">
        <v>9490</v>
      </c>
      <c r="B184" s="22" t="s">
        <v>9491</v>
      </c>
      <c r="C184" s="22" t="s">
        <v>9492</v>
      </c>
      <c r="D184" s="22" t="s">
        <v>9493</v>
      </c>
      <c r="E184" s="22" t="s">
        <v>9494</v>
      </c>
      <c r="F184" s="22"/>
      <c r="G184" s="22" t="s">
        <v>8036</v>
      </c>
      <c r="H184" s="22" t="s">
        <v>8036</v>
      </c>
      <c r="I184" s="22" t="s">
        <v>8036</v>
      </c>
      <c r="J184" s="22" t="s">
        <v>9495</v>
      </c>
      <c r="K184" s="22" t="s">
        <v>8038</v>
      </c>
      <c r="L184" s="22" t="s">
        <v>8091</v>
      </c>
      <c r="M184" s="22" t="s">
        <v>8681</v>
      </c>
      <c r="N184" s="22" t="s">
        <v>9496</v>
      </c>
    </row>
    <row r="185" ht="15.75" customHeight="1">
      <c r="A185" s="20" t="s">
        <v>9497</v>
      </c>
      <c r="B185" s="20" t="s">
        <v>9498</v>
      </c>
      <c r="C185" s="20" t="s">
        <v>9499</v>
      </c>
      <c r="D185" s="20" t="s">
        <v>9500</v>
      </c>
      <c r="E185" s="20" t="s">
        <v>9501</v>
      </c>
      <c r="F185" s="20" t="s">
        <v>9502</v>
      </c>
      <c r="G185" s="20" t="s">
        <v>8036</v>
      </c>
      <c r="H185" s="20" t="s">
        <v>8036</v>
      </c>
      <c r="I185" s="20" t="s">
        <v>8036</v>
      </c>
      <c r="J185" s="20" t="s">
        <v>9503</v>
      </c>
      <c r="K185" s="20" t="s">
        <v>8038</v>
      </c>
      <c r="L185" s="21" t="s">
        <v>8091</v>
      </c>
      <c r="M185" s="21" t="s">
        <v>8854</v>
      </c>
      <c r="N185" s="21"/>
    </row>
    <row r="186" ht="15.75" customHeight="1">
      <c r="A186" s="22" t="s">
        <v>9504</v>
      </c>
      <c r="B186" s="22" t="s">
        <v>9505</v>
      </c>
      <c r="C186" s="22" t="s">
        <v>9506</v>
      </c>
      <c r="D186" s="22" t="s">
        <v>9507</v>
      </c>
      <c r="E186" s="22" t="s">
        <v>9508</v>
      </c>
      <c r="F186" s="22" t="s">
        <v>9509</v>
      </c>
      <c r="G186" s="22" t="s">
        <v>8467</v>
      </c>
      <c r="H186" s="22" t="s">
        <v>8467</v>
      </c>
      <c r="I186" s="22" t="s">
        <v>8467</v>
      </c>
      <c r="J186" s="22" t="s">
        <v>9510</v>
      </c>
      <c r="K186" s="22" t="s">
        <v>8038</v>
      </c>
      <c r="L186" s="22" t="s">
        <v>8039</v>
      </c>
      <c r="M186" s="22" t="s">
        <v>9511</v>
      </c>
      <c r="N186" s="22"/>
    </row>
    <row r="187" ht="15.75" customHeight="1">
      <c r="A187" s="20" t="s">
        <v>8403</v>
      </c>
      <c r="B187" s="20" t="s">
        <v>9512</v>
      </c>
      <c r="C187" s="20" t="s">
        <v>9513</v>
      </c>
      <c r="D187" s="20" t="s">
        <v>9514</v>
      </c>
      <c r="E187" s="20" t="s">
        <v>9515</v>
      </c>
      <c r="F187" s="20" t="s">
        <v>9516</v>
      </c>
      <c r="G187" s="20" t="s">
        <v>8313</v>
      </c>
      <c r="H187" s="20" t="s">
        <v>8313</v>
      </c>
      <c r="I187" s="20" t="s">
        <v>8314</v>
      </c>
      <c r="J187" s="20" t="s">
        <v>9517</v>
      </c>
      <c r="K187" s="20" t="s">
        <v>8038</v>
      </c>
      <c r="L187" s="21" t="s">
        <v>9025</v>
      </c>
      <c r="M187" s="21" t="s">
        <v>9518</v>
      </c>
      <c r="N187" s="21"/>
    </row>
    <row r="188" ht="15.75" customHeight="1">
      <c r="A188" s="22" t="s">
        <v>8329</v>
      </c>
      <c r="B188" s="22" t="s">
        <v>9519</v>
      </c>
      <c r="C188" s="22" t="s">
        <v>9520</v>
      </c>
      <c r="D188" s="22" t="s">
        <v>9521</v>
      </c>
      <c r="E188" s="22" t="s">
        <v>9522</v>
      </c>
      <c r="F188" s="22" t="s">
        <v>9523</v>
      </c>
      <c r="G188" s="22" t="s">
        <v>9524</v>
      </c>
      <c r="H188" s="22" t="s">
        <v>8467</v>
      </c>
      <c r="I188" s="22" t="s">
        <v>8467</v>
      </c>
      <c r="J188" s="22" t="s">
        <v>9525</v>
      </c>
      <c r="K188" s="22" t="s">
        <v>8038</v>
      </c>
      <c r="L188" s="22" t="s">
        <v>8069</v>
      </c>
      <c r="M188" s="22" t="s">
        <v>9526</v>
      </c>
      <c r="N188" s="22"/>
    </row>
    <row r="189" ht="15.75" customHeight="1">
      <c r="A189" s="20" t="s">
        <v>9527</v>
      </c>
      <c r="B189" s="20" t="s">
        <v>9528</v>
      </c>
      <c r="C189" s="20" t="s">
        <v>9529</v>
      </c>
      <c r="D189" s="20" t="s">
        <v>9530</v>
      </c>
      <c r="E189" s="20" t="s">
        <v>9531</v>
      </c>
      <c r="F189" s="20" t="s">
        <v>9532</v>
      </c>
      <c r="G189" s="20" t="s">
        <v>9533</v>
      </c>
      <c r="H189" s="20" t="s">
        <v>9533</v>
      </c>
      <c r="I189" s="20" t="s">
        <v>8314</v>
      </c>
      <c r="J189" s="20" t="s">
        <v>9534</v>
      </c>
      <c r="K189" s="20" t="s">
        <v>8038</v>
      </c>
      <c r="L189" s="21" t="s">
        <v>9392</v>
      </c>
      <c r="M189" s="21" t="s">
        <v>9535</v>
      </c>
      <c r="N189" s="21"/>
    </row>
    <row r="190" ht="15.75" customHeight="1">
      <c r="A190" s="22" t="s">
        <v>8223</v>
      </c>
      <c r="B190" s="22" t="s">
        <v>9536</v>
      </c>
      <c r="C190" s="22" t="s">
        <v>9537</v>
      </c>
      <c r="D190" s="22" t="s">
        <v>9538</v>
      </c>
      <c r="E190" s="22" t="s">
        <v>9539</v>
      </c>
      <c r="F190" s="22" t="s">
        <v>9540</v>
      </c>
      <c r="G190" s="22" t="s">
        <v>8269</v>
      </c>
      <c r="H190" s="22" t="s">
        <v>8269</v>
      </c>
      <c r="I190" s="22" t="s">
        <v>8270</v>
      </c>
      <c r="J190" s="22" t="s">
        <v>9541</v>
      </c>
      <c r="K190" s="22" t="s">
        <v>8038</v>
      </c>
      <c r="L190" s="22" t="s">
        <v>8058</v>
      </c>
      <c r="M190" s="22" t="s">
        <v>9542</v>
      </c>
      <c r="N190" s="22" t="s">
        <v>9543</v>
      </c>
    </row>
    <row r="191" ht="15.75" customHeight="1">
      <c r="A191" s="20" t="s">
        <v>9544</v>
      </c>
      <c r="B191" s="20" t="s">
        <v>9545</v>
      </c>
      <c r="C191" s="20" t="s">
        <v>9546</v>
      </c>
      <c r="D191" s="20" t="s">
        <v>9547</v>
      </c>
      <c r="E191" s="20" t="s">
        <v>9548</v>
      </c>
      <c r="F191" s="20" t="s">
        <v>9549</v>
      </c>
      <c r="G191" s="20" t="s">
        <v>9550</v>
      </c>
      <c r="H191" s="20" t="s">
        <v>8036</v>
      </c>
      <c r="I191" s="20" t="s">
        <v>8036</v>
      </c>
      <c r="J191" s="20" t="s">
        <v>9551</v>
      </c>
      <c r="K191" s="20" t="s">
        <v>8038</v>
      </c>
      <c r="L191" s="21" t="s">
        <v>9552</v>
      </c>
      <c r="M191" s="21" t="s">
        <v>9553</v>
      </c>
      <c r="N191" s="21"/>
    </row>
    <row r="192" ht="15.75" customHeight="1">
      <c r="A192" s="22" t="s">
        <v>8409</v>
      </c>
      <c r="B192" s="22" t="s">
        <v>9554</v>
      </c>
      <c r="C192" s="22" t="s">
        <v>9555</v>
      </c>
      <c r="D192" s="22" t="s">
        <v>9556</v>
      </c>
      <c r="E192" s="22" t="s">
        <v>9557</v>
      </c>
      <c r="F192" s="22" t="s">
        <v>9558</v>
      </c>
      <c r="G192" s="22" t="s">
        <v>9014</v>
      </c>
      <c r="H192" s="22" t="s">
        <v>8456</v>
      </c>
      <c r="I192" s="22" t="s">
        <v>8457</v>
      </c>
      <c r="J192" s="22" t="s">
        <v>9559</v>
      </c>
      <c r="K192" s="22" t="s">
        <v>8038</v>
      </c>
      <c r="L192" s="22" t="s">
        <v>8091</v>
      </c>
      <c r="M192" s="22" t="s">
        <v>9017</v>
      </c>
      <c r="N192" s="22"/>
    </row>
    <row r="193" ht="15.75" customHeight="1">
      <c r="A193" s="20" t="s">
        <v>8030</v>
      </c>
      <c r="B193" s="20" t="s">
        <v>9560</v>
      </c>
      <c r="C193" s="20" t="s">
        <v>9561</v>
      </c>
      <c r="D193" s="20" t="s">
        <v>9562</v>
      </c>
      <c r="E193" s="20" t="s">
        <v>9563</v>
      </c>
      <c r="F193" s="20"/>
      <c r="G193" s="20" t="s">
        <v>9564</v>
      </c>
      <c r="H193" s="20" t="s">
        <v>9420</v>
      </c>
      <c r="I193" s="20" t="s">
        <v>8056</v>
      </c>
      <c r="J193" s="20" t="s">
        <v>9565</v>
      </c>
      <c r="K193" s="20" t="s">
        <v>8038</v>
      </c>
      <c r="L193" s="21" t="s">
        <v>9566</v>
      </c>
      <c r="M193" s="21" t="s">
        <v>9567</v>
      </c>
      <c r="N193" s="21"/>
    </row>
    <row r="194" ht="15.75" customHeight="1">
      <c r="A194" s="22" t="s">
        <v>8329</v>
      </c>
      <c r="B194" s="22" t="s">
        <v>9568</v>
      </c>
      <c r="C194" s="22" t="s">
        <v>9569</v>
      </c>
      <c r="D194" s="22" t="s">
        <v>9570</v>
      </c>
      <c r="E194" s="22" t="s">
        <v>9571</v>
      </c>
      <c r="F194" s="22" t="s">
        <v>9572</v>
      </c>
      <c r="G194" s="22" t="s">
        <v>8036</v>
      </c>
      <c r="H194" s="22" t="s">
        <v>8036</v>
      </c>
      <c r="I194" s="22" t="s">
        <v>8036</v>
      </c>
      <c r="J194" s="22" t="s">
        <v>9573</v>
      </c>
      <c r="K194" s="22" t="s">
        <v>8038</v>
      </c>
      <c r="L194" s="22" t="s">
        <v>8091</v>
      </c>
      <c r="M194" s="22" t="s">
        <v>8117</v>
      </c>
      <c r="N194" s="22"/>
    </row>
    <row r="195" ht="15.75" customHeight="1">
      <c r="A195" s="20" t="s">
        <v>9574</v>
      </c>
      <c r="B195" s="20" t="s">
        <v>9575</v>
      </c>
      <c r="C195" s="20" t="s">
        <v>9576</v>
      </c>
      <c r="D195" s="20" t="s">
        <v>9577</v>
      </c>
      <c r="E195" s="20" t="s">
        <v>9578</v>
      </c>
      <c r="F195" s="20" t="s">
        <v>9579</v>
      </c>
      <c r="G195" s="20" t="s">
        <v>9580</v>
      </c>
      <c r="H195" s="20" t="s">
        <v>8431</v>
      </c>
      <c r="I195" s="20" t="s">
        <v>8056</v>
      </c>
      <c r="J195" s="20" t="s">
        <v>9581</v>
      </c>
      <c r="K195" s="20" t="s">
        <v>8038</v>
      </c>
      <c r="L195" s="21" t="s">
        <v>8091</v>
      </c>
      <c r="M195" s="21" t="s">
        <v>9582</v>
      </c>
      <c r="N195" s="21" t="s">
        <v>9583</v>
      </c>
    </row>
    <row r="196" ht="15.75" customHeight="1">
      <c r="A196" s="22" t="s">
        <v>9584</v>
      </c>
      <c r="B196" s="22" t="s">
        <v>9585</v>
      </c>
      <c r="C196" s="22" t="s">
        <v>9586</v>
      </c>
      <c r="D196" s="22" t="s">
        <v>9587</v>
      </c>
      <c r="E196" s="22" t="s">
        <v>2921</v>
      </c>
      <c r="F196" s="22" t="s">
        <v>9588</v>
      </c>
      <c r="G196" s="22" t="s">
        <v>8066</v>
      </c>
      <c r="H196" s="22" t="s">
        <v>8066</v>
      </c>
      <c r="I196" s="22" t="s">
        <v>8067</v>
      </c>
      <c r="J196" s="22" t="s">
        <v>9589</v>
      </c>
      <c r="K196" s="22" t="s">
        <v>8038</v>
      </c>
      <c r="L196" s="22" t="s">
        <v>8047</v>
      </c>
      <c r="M196" s="22" t="s">
        <v>9590</v>
      </c>
      <c r="N196" s="22"/>
    </row>
    <row r="197" ht="15.75" customHeight="1">
      <c r="A197" s="20" t="s">
        <v>9591</v>
      </c>
      <c r="B197" s="20" t="s">
        <v>9592</v>
      </c>
      <c r="C197" s="20" t="s">
        <v>9593</v>
      </c>
      <c r="D197" s="20" t="s">
        <v>9594</v>
      </c>
      <c r="E197" s="20" t="s">
        <v>9595</v>
      </c>
      <c r="F197" s="20" t="s">
        <v>9596</v>
      </c>
      <c r="G197" s="20" t="s">
        <v>9597</v>
      </c>
      <c r="H197" s="20" t="s">
        <v>9598</v>
      </c>
      <c r="I197" s="20" t="s">
        <v>8270</v>
      </c>
      <c r="J197" s="20" t="s">
        <v>9599</v>
      </c>
      <c r="K197" s="20" t="s">
        <v>8038</v>
      </c>
      <c r="L197" s="21" t="s">
        <v>9600</v>
      </c>
      <c r="M197" s="21" t="s">
        <v>9601</v>
      </c>
      <c r="N197" s="21"/>
    </row>
    <row r="198" ht="15.75" customHeight="1">
      <c r="A198" s="22" t="s">
        <v>9602</v>
      </c>
      <c r="B198" s="22" t="s">
        <v>9603</v>
      </c>
      <c r="C198" s="22" t="s">
        <v>9604</v>
      </c>
      <c r="D198" s="22" t="s">
        <v>9605</v>
      </c>
      <c r="E198" s="22" t="s">
        <v>9606</v>
      </c>
      <c r="F198" s="22"/>
      <c r="G198" s="22" t="s">
        <v>8036</v>
      </c>
      <c r="H198" s="22" t="s">
        <v>8036</v>
      </c>
      <c r="I198" s="22" t="s">
        <v>8036</v>
      </c>
      <c r="J198" s="22" t="s">
        <v>9607</v>
      </c>
      <c r="K198" s="22" t="s">
        <v>8038</v>
      </c>
      <c r="L198" s="22" t="s">
        <v>8365</v>
      </c>
      <c r="M198" s="22" t="s">
        <v>8338</v>
      </c>
      <c r="N198" s="22"/>
    </row>
    <row r="199" ht="15.75" customHeight="1">
      <c r="A199" s="20" t="s">
        <v>9608</v>
      </c>
      <c r="B199" s="20" t="s">
        <v>9609</v>
      </c>
      <c r="C199" s="20" t="s">
        <v>9610</v>
      </c>
      <c r="D199" s="20" t="s">
        <v>9611</v>
      </c>
      <c r="E199" s="20" t="s">
        <v>9612</v>
      </c>
      <c r="F199" s="20"/>
      <c r="G199" s="20" t="s">
        <v>8036</v>
      </c>
      <c r="H199" s="20" t="s">
        <v>8036</v>
      </c>
      <c r="I199" s="20" t="s">
        <v>8036</v>
      </c>
      <c r="J199" s="20" t="s">
        <v>9613</v>
      </c>
      <c r="K199" s="20" t="s">
        <v>8038</v>
      </c>
      <c r="L199" s="21" t="s">
        <v>8069</v>
      </c>
      <c r="M199" s="21" t="s">
        <v>9382</v>
      </c>
      <c r="N199" s="21"/>
    </row>
    <row r="200" ht="15.75" customHeight="1">
      <c r="A200" s="22" t="s">
        <v>9614</v>
      </c>
      <c r="B200" s="22" t="s">
        <v>9615</v>
      </c>
      <c r="C200" s="22" t="s">
        <v>9616</v>
      </c>
      <c r="D200" s="22" t="s">
        <v>9617</v>
      </c>
      <c r="E200" s="22" t="s">
        <v>9618</v>
      </c>
      <c r="F200" s="22"/>
      <c r="G200" s="22" t="s">
        <v>9619</v>
      </c>
      <c r="H200" s="22" t="s">
        <v>9150</v>
      </c>
      <c r="I200" s="22" t="s">
        <v>8080</v>
      </c>
      <c r="J200" s="22" t="s">
        <v>9620</v>
      </c>
      <c r="K200" s="22" t="s">
        <v>8038</v>
      </c>
      <c r="L200" s="22" t="s">
        <v>8091</v>
      </c>
      <c r="M200" s="22" t="s">
        <v>9621</v>
      </c>
      <c r="N200" s="22"/>
    </row>
    <row r="201" ht="15.75" customHeight="1">
      <c r="A201" s="20" t="s">
        <v>9622</v>
      </c>
      <c r="B201" s="20" t="s">
        <v>9623</v>
      </c>
      <c r="C201" s="20" t="s">
        <v>9624</v>
      </c>
      <c r="D201" s="20" t="s">
        <v>9625</v>
      </c>
      <c r="E201" s="20" t="s">
        <v>9626</v>
      </c>
      <c r="F201" s="20" t="s">
        <v>9627</v>
      </c>
      <c r="G201" s="20" t="s">
        <v>9550</v>
      </c>
      <c r="H201" s="20" t="s">
        <v>9628</v>
      </c>
      <c r="I201" s="20" t="s">
        <v>8036</v>
      </c>
      <c r="J201" s="20" t="s">
        <v>9629</v>
      </c>
      <c r="K201" s="20" t="s">
        <v>8038</v>
      </c>
      <c r="L201" s="21" t="s">
        <v>8058</v>
      </c>
      <c r="M201" s="21" t="s">
        <v>9630</v>
      </c>
      <c r="N201" s="21"/>
    </row>
    <row r="202" ht="15.75" customHeight="1">
      <c r="A202" s="22" t="s">
        <v>8579</v>
      </c>
      <c r="B202" s="22" t="s">
        <v>9631</v>
      </c>
      <c r="C202" s="22" t="s">
        <v>9632</v>
      </c>
      <c r="D202" s="22" t="s">
        <v>9633</v>
      </c>
      <c r="E202" s="22" t="s">
        <v>9634</v>
      </c>
      <c r="F202" s="22" t="s">
        <v>9635</v>
      </c>
      <c r="G202" s="22" t="s">
        <v>8497</v>
      </c>
      <c r="H202" s="22" t="s">
        <v>8497</v>
      </c>
      <c r="I202" s="22" t="s">
        <v>8108</v>
      </c>
      <c r="J202" s="22" t="s">
        <v>9636</v>
      </c>
      <c r="K202" s="22" t="s">
        <v>8038</v>
      </c>
      <c r="L202" s="22" t="s">
        <v>9637</v>
      </c>
      <c r="M202" s="22" t="s">
        <v>9638</v>
      </c>
      <c r="N202" s="22"/>
    </row>
    <row r="203" ht="15.75" customHeight="1">
      <c r="A203" s="20" t="s">
        <v>8703</v>
      </c>
      <c r="B203" s="20" t="s">
        <v>9639</v>
      </c>
      <c r="C203" s="20" t="s">
        <v>9640</v>
      </c>
      <c r="D203" s="20" t="s">
        <v>9641</v>
      </c>
      <c r="E203" s="20" t="s">
        <v>9642</v>
      </c>
      <c r="F203" s="20"/>
      <c r="G203" s="20" t="s">
        <v>8975</v>
      </c>
      <c r="H203" s="20" t="s">
        <v>8975</v>
      </c>
      <c r="I203" s="20" t="s">
        <v>8192</v>
      </c>
      <c r="J203" s="20" t="s">
        <v>9643</v>
      </c>
      <c r="K203" s="20" t="s">
        <v>8038</v>
      </c>
      <c r="L203" s="21" t="s">
        <v>8058</v>
      </c>
      <c r="M203" s="21" t="s">
        <v>9359</v>
      </c>
      <c r="N203" s="21"/>
    </row>
    <row r="204" ht="15.75" customHeight="1">
      <c r="A204" s="22" t="s">
        <v>9644</v>
      </c>
      <c r="B204" s="22" t="s">
        <v>9645</v>
      </c>
      <c r="C204" s="22" t="s">
        <v>9646</v>
      </c>
      <c r="D204" s="22" t="s">
        <v>9647</v>
      </c>
      <c r="E204" s="22" t="s">
        <v>9648</v>
      </c>
      <c r="F204" s="22" t="s">
        <v>9649</v>
      </c>
      <c r="G204" s="22" t="s">
        <v>8066</v>
      </c>
      <c r="H204" s="22" t="s">
        <v>8066</v>
      </c>
      <c r="I204" s="22" t="s">
        <v>8067</v>
      </c>
      <c r="J204" s="22" t="s">
        <v>9650</v>
      </c>
      <c r="K204" s="22" t="s">
        <v>8038</v>
      </c>
      <c r="L204" s="22" t="s">
        <v>8426</v>
      </c>
      <c r="M204" s="22" t="s">
        <v>9651</v>
      </c>
      <c r="N204" s="22"/>
    </row>
    <row r="205" ht="15.75" customHeight="1">
      <c r="A205" s="20" t="s">
        <v>8093</v>
      </c>
      <c r="B205" s="20" t="s">
        <v>9652</v>
      </c>
      <c r="C205" s="20" t="s">
        <v>9653</v>
      </c>
      <c r="D205" s="20" t="s">
        <v>9654</v>
      </c>
      <c r="E205" s="20" t="s">
        <v>9655</v>
      </c>
      <c r="F205" s="20" t="s">
        <v>9656</v>
      </c>
      <c r="G205" s="20" t="s">
        <v>8726</v>
      </c>
      <c r="H205" s="20" t="s">
        <v>8727</v>
      </c>
      <c r="I205" s="20" t="s">
        <v>8056</v>
      </c>
      <c r="J205" s="20" t="s">
        <v>9657</v>
      </c>
      <c r="K205" s="20" t="s">
        <v>8038</v>
      </c>
      <c r="L205" s="21" t="s">
        <v>8058</v>
      </c>
      <c r="M205" s="21" t="s">
        <v>8729</v>
      </c>
      <c r="N205" s="21" t="s">
        <v>9658</v>
      </c>
    </row>
    <row r="206" ht="15.75" customHeight="1">
      <c r="A206" s="22" t="s">
        <v>9222</v>
      </c>
      <c r="B206" s="22" t="s">
        <v>9659</v>
      </c>
      <c r="C206" s="22" t="s">
        <v>9660</v>
      </c>
      <c r="D206" s="22" t="s">
        <v>9661</v>
      </c>
      <c r="E206" s="22" t="s">
        <v>9662</v>
      </c>
      <c r="F206" s="22" t="s">
        <v>9663</v>
      </c>
      <c r="G206" s="22" t="s">
        <v>8269</v>
      </c>
      <c r="H206" s="22" t="s">
        <v>8269</v>
      </c>
      <c r="I206" s="22" t="s">
        <v>8270</v>
      </c>
      <c r="J206" s="22" t="s">
        <v>9664</v>
      </c>
      <c r="K206" s="22" t="s">
        <v>8038</v>
      </c>
      <c r="L206" s="22" t="s">
        <v>8091</v>
      </c>
      <c r="M206" s="22" t="s">
        <v>9665</v>
      </c>
      <c r="N206" s="22"/>
    </row>
    <row r="207" ht="15.75" customHeight="1">
      <c r="A207" s="20" t="s">
        <v>9222</v>
      </c>
      <c r="B207" s="20" t="s">
        <v>9659</v>
      </c>
      <c r="C207" s="20" t="s">
        <v>9666</v>
      </c>
      <c r="D207" s="20" t="s">
        <v>9667</v>
      </c>
      <c r="E207" s="20" t="s">
        <v>9668</v>
      </c>
      <c r="F207" s="20" t="s">
        <v>9669</v>
      </c>
      <c r="G207" s="20" t="s">
        <v>8269</v>
      </c>
      <c r="H207" s="20" t="s">
        <v>8269</v>
      </c>
      <c r="I207" s="20" t="s">
        <v>8270</v>
      </c>
      <c r="J207" s="20" t="s">
        <v>9670</v>
      </c>
      <c r="K207" s="20" t="s">
        <v>8038</v>
      </c>
      <c r="L207" s="21" t="s">
        <v>8091</v>
      </c>
      <c r="M207" s="21" t="s">
        <v>9542</v>
      </c>
      <c r="N207" s="21"/>
    </row>
    <row r="208" ht="15.75" customHeight="1">
      <c r="A208" s="22" t="s">
        <v>9671</v>
      </c>
      <c r="B208" s="22" t="s">
        <v>9672</v>
      </c>
      <c r="C208" s="22" t="s">
        <v>9673</v>
      </c>
      <c r="D208" s="22" t="s">
        <v>9674</v>
      </c>
      <c r="E208" s="22" t="s">
        <v>9675</v>
      </c>
      <c r="F208" s="22" t="s">
        <v>9676</v>
      </c>
      <c r="G208" s="22" t="s">
        <v>8036</v>
      </c>
      <c r="H208" s="22" t="s">
        <v>8036</v>
      </c>
      <c r="I208" s="22" t="s">
        <v>8036</v>
      </c>
      <c r="J208" s="22" t="s">
        <v>9677</v>
      </c>
      <c r="K208" s="22" t="s">
        <v>8038</v>
      </c>
      <c r="L208" s="22" t="s">
        <v>8426</v>
      </c>
      <c r="M208" s="22" t="s">
        <v>9678</v>
      </c>
      <c r="N208" s="22"/>
    </row>
    <row r="209" ht="15.75" customHeight="1">
      <c r="A209" s="20" t="s">
        <v>9679</v>
      </c>
      <c r="B209" s="20" t="s">
        <v>9680</v>
      </c>
      <c r="C209" s="20" t="s">
        <v>9681</v>
      </c>
      <c r="D209" s="20" t="s">
        <v>9682</v>
      </c>
      <c r="E209" s="20" t="s">
        <v>9683</v>
      </c>
      <c r="F209" s="20" t="s">
        <v>9684</v>
      </c>
      <c r="G209" s="20" t="s">
        <v>8036</v>
      </c>
      <c r="H209" s="20" t="s">
        <v>8036</v>
      </c>
      <c r="I209" s="20" t="s">
        <v>8036</v>
      </c>
      <c r="J209" s="20" t="s">
        <v>9685</v>
      </c>
      <c r="K209" s="20" t="s">
        <v>8038</v>
      </c>
      <c r="L209" s="21" t="s">
        <v>8091</v>
      </c>
      <c r="M209" s="21" t="s">
        <v>8141</v>
      </c>
      <c r="N209" s="21"/>
    </row>
    <row r="210" ht="15.75" customHeight="1">
      <c r="A210" s="22" t="s">
        <v>9686</v>
      </c>
      <c r="B210" s="22" t="s">
        <v>9687</v>
      </c>
      <c r="C210" s="22" t="s">
        <v>8032</v>
      </c>
      <c r="D210" s="22" t="s">
        <v>9688</v>
      </c>
      <c r="E210" s="22" t="s">
        <v>9689</v>
      </c>
      <c r="F210" s="22" t="s">
        <v>9690</v>
      </c>
      <c r="G210" s="22" t="s">
        <v>8036</v>
      </c>
      <c r="H210" s="22" t="s">
        <v>8036</v>
      </c>
      <c r="I210" s="22" t="s">
        <v>8036</v>
      </c>
      <c r="J210" s="22" t="s">
        <v>8037</v>
      </c>
      <c r="K210" s="22" t="s">
        <v>8038</v>
      </c>
      <c r="L210" s="22" t="s">
        <v>9691</v>
      </c>
      <c r="M210" s="22" t="s">
        <v>8040</v>
      </c>
      <c r="N210" s="22"/>
    </row>
    <row r="211" ht="15.75" customHeight="1">
      <c r="A211" s="20" t="s">
        <v>8849</v>
      </c>
      <c r="B211" s="20" t="s">
        <v>9692</v>
      </c>
      <c r="C211" s="20" t="s">
        <v>9693</v>
      </c>
      <c r="D211" s="20" t="s">
        <v>9694</v>
      </c>
      <c r="E211" s="20" t="s">
        <v>9695</v>
      </c>
      <c r="F211" s="20" t="s">
        <v>9696</v>
      </c>
      <c r="G211" s="20" t="s">
        <v>9697</v>
      </c>
      <c r="H211" s="20" t="s">
        <v>9698</v>
      </c>
      <c r="I211" s="20" t="s">
        <v>8544</v>
      </c>
      <c r="J211" s="20" t="s">
        <v>9699</v>
      </c>
      <c r="K211" s="20" t="s">
        <v>8038</v>
      </c>
      <c r="L211" s="21" t="s">
        <v>9700</v>
      </c>
      <c r="M211" s="21" t="s">
        <v>9701</v>
      </c>
      <c r="N211" s="21"/>
    </row>
    <row r="212" ht="15.75" customHeight="1">
      <c r="A212" s="22" t="s">
        <v>9702</v>
      </c>
      <c r="B212" s="22" t="s">
        <v>9703</v>
      </c>
      <c r="C212" s="22" t="s">
        <v>9704</v>
      </c>
      <c r="D212" s="22" t="s">
        <v>9705</v>
      </c>
      <c r="E212" s="22" t="s">
        <v>9706</v>
      </c>
      <c r="F212" s="22" t="s">
        <v>9707</v>
      </c>
      <c r="G212" s="22" t="s">
        <v>8036</v>
      </c>
      <c r="H212" s="22" t="s">
        <v>8036</v>
      </c>
      <c r="I212" s="22" t="s">
        <v>8036</v>
      </c>
      <c r="J212" s="22" t="s">
        <v>9708</v>
      </c>
      <c r="K212" s="22" t="s">
        <v>8038</v>
      </c>
      <c r="L212" s="22" t="s">
        <v>8091</v>
      </c>
      <c r="M212" s="22" t="s">
        <v>9709</v>
      </c>
      <c r="N212" s="22"/>
    </row>
    <row r="213" ht="15.75" customHeight="1">
      <c r="A213" s="20" t="s">
        <v>9710</v>
      </c>
      <c r="B213" s="20" t="s">
        <v>9711</v>
      </c>
      <c r="C213" s="20" t="s">
        <v>9712</v>
      </c>
      <c r="D213" s="20" t="s">
        <v>9713</v>
      </c>
      <c r="E213" s="20" t="s">
        <v>9714</v>
      </c>
      <c r="F213" s="20"/>
      <c r="G213" s="20" t="s">
        <v>8036</v>
      </c>
      <c r="H213" s="20" t="s">
        <v>8036</v>
      </c>
      <c r="I213" s="20" t="s">
        <v>8036</v>
      </c>
      <c r="J213" s="20" t="s">
        <v>9715</v>
      </c>
      <c r="K213" s="20" t="s">
        <v>8038</v>
      </c>
      <c r="L213" s="21" t="s">
        <v>8091</v>
      </c>
      <c r="M213" s="21" t="s">
        <v>8681</v>
      </c>
      <c r="N213" s="21"/>
    </row>
    <row r="214" ht="15.75" customHeight="1">
      <c r="A214" s="22" t="s">
        <v>9716</v>
      </c>
      <c r="B214" s="22" t="s">
        <v>9717</v>
      </c>
      <c r="C214" s="22" t="s">
        <v>9718</v>
      </c>
      <c r="D214" s="22" t="s">
        <v>9719</v>
      </c>
      <c r="E214" s="22" t="s">
        <v>9720</v>
      </c>
      <c r="F214" s="22" t="s">
        <v>9721</v>
      </c>
      <c r="G214" s="22" t="s">
        <v>8363</v>
      </c>
      <c r="H214" s="22" t="s">
        <v>8181</v>
      </c>
      <c r="I214" s="22" t="s">
        <v>8159</v>
      </c>
      <c r="J214" s="22" t="s">
        <v>9722</v>
      </c>
      <c r="K214" s="22" t="s">
        <v>8038</v>
      </c>
      <c r="L214" s="22" t="s">
        <v>9723</v>
      </c>
      <c r="M214" s="22" t="s">
        <v>9724</v>
      </c>
      <c r="N214" s="22"/>
    </row>
    <row r="215" ht="15.75" customHeight="1">
      <c r="A215" s="20" t="s">
        <v>9716</v>
      </c>
      <c r="B215" s="20" t="s">
        <v>9717</v>
      </c>
      <c r="C215" s="20" t="s">
        <v>9725</v>
      </c>
      <c r="D215" s="20" t="s">
        <v>9726</v>
      </c>
      <c r="E215" s="20" t="s">
        <v>9720</v>
      </c>
      <c r="F215" s="20" t="s">
        <v>9727</v>
      </c>
      <c r="G215" s="20" t="s">
        <v>8066</v>
      </c>
      <c r="H215" s="20" t="s">
        <v>8066</v>
      </c>
      <c r="I215" s="20" t="s">
        <v>8067</v>
      </c>
      <c r="J215" s="20" t="s">
        <v>9728</v>
      </c>
      <c r="K215" s="20" t="s">
        <v>8038</v>
      </c>
      <c r="L215" s="21" t="s">
        <v>8082</v>
      </c>
      <c r="M215" s="21" t="s">
        <v>9729</v>
      </c>
      <c r="N215" s="21"/>
    </row>
    <row r="216" ht="15.75" customHeight="1">
      <c r="A216" s="22" t="s">
        <v>9716</v>
      </c>
      <c r="B216" s="22" t="s">
        <v>9717</v>
      </c>
      <c r="C216" s="22" t="s">
        <v>9725</v>
      </c>
      <c r="D216" s="22" t="s">
        <v>9726</v>
      </c>
      <c r="E216" s="22" t="s">
        <v>9720</v>
      </c>
      <c r="F216" s="22" t="s">
        <v>9727</v>
      </c>
      <c r="G216" s="22" t="s">
        <v>9730</v>
      </c>
      <c r="H216" s="22" t="s">
        <v>8617</v>
      </c>
      <c r="I216" s="22" t="s">
        <v>8617</v>
      </c>
      <c r="J216" s="22" t="s">
        <v>9731</v>
      </c>
      <c r="K216" s="22" t="s">
        <v>8038</v>
      </c>
      <c r="L216" s="22" t="s">
        <v>8082</v>
      </c>
      <c r="M216" s="22" t="s">
        <v>9732</v>
      </c>
      <c r="N216" s="22"/>
    </row>
    <row r="217" ht="15.75" customHeight="1">
      <c r="A217" s="20" t="s">
        <v>9716</v>
      </c>
      <c r="B217" s="20" t="s">
        <v>9717</v>
      </c>
      <c r="C217" s="20" t="s">
        <v>9725</v>
      </c>
      <c r="D217" s="20" t="s">
        <v>9726</v>
      </c>
      <c r="E217" s="20" t="s">
        <v>9720</v>
      </c>
      <c r="F217" s="20" t="s">
        <v>9727</v>
      </c>
      <c r="G217" s="20" t="s">
        <v>8363</v>
      </c>
      <c r="H217" s="20" t="s">
        <v>8181</v>
      </c>
      <c r="I217" s="20" t="s">
        <v>8159</v>
      </c>
      <c r="J217" s="20" t="s">
        <v>9733</v>
      </c>
      <c r="K217" s="20" t="s">
        <v>8038</v>
      </c>
      <c r="L217" s="21" t="s">
        <v>8082</v>
      </c>
      <c r="M217" s="21" t="s">
        <v>9724</v>
      </c>
      <c r="N217" s="21"/>
    </row>
    <row r="218" ht="15.75" customHeight="1">
      <c r="A218" s="22" t="s">
        <v>9734</v>
      </c>
      <c r="B218" s="22" t="s">
        <v>9735</v>
      </c>
      <c r="C218" s="22" t="s">
        <v>9736</v>
      </c>
      <c r="D218" s="22" t="s">
        <v>9737</v>
      </c>
      <c r="E218" s="22" t="s">
        <v>9738</v>
      </c>
      <c r="F218" s="22" t="s">
        <v>9739</v>
      </c>
      <c r="G218" s="22" t="s">
        <v>8313</v>
      </c>
      <c r="H218" s="22" t="s">
        <v>8313</v>
      </c>
      <c r="I218" s="22" t="s">
        <v>8314</v>
      </c>
      <c r="J218" s="22" t="s">
        <v>9740</v>
      </c>
      <c r="K218" s="22" t="s">
        <v>8038</v>
      </c>
      <c r="L218" s="22" t="s">
        <v>8058</v>
      </c>
      <c r="M218" s="22" t="s">
        <v>9518</v>
      </c>
      <c r="N218" s="22"/>
    </row>
    <row r="219" ht="15.75" customHeight="1">
      <c r="A219" s="20" t="s">
        <v>9741</v>
      </c>
      <c r="B219" s="20" t="s">
        <v>9742</v>
      </c>
      <c r="C219" s="20" t="s">
        <v>9743</v>
      </c>
      <c r="D219" s="20" t="s">
        <v>9744</v>
      </c>
      <c r="E219" s="20" t="s">
        <v>9745</v>
      </c>
      <c r="F219" s="20"/>
      <c r="G219" s="20" t="s">
        <v>8066</v>
      </c>
      <c r="H219" s="20" t="s">
        <v>8066</v>
      </c>
      <c r="I219" s="20" t="s">
        <v>8067</v>
      </c>
      <c r="J219" s="20" t="s">
        <v>9746</v>
      </c>
      <c r="K219" s="20" t="s">
        <v>8038</v>
      </c>
      <c r="L219" s="21" t="s">
        <v>9747</v>
      </c>
      <c r="M219" s="21" t="s">
        <v>9748</v>
      </c>
      <c r="N219" s="21"/>
    </row>
    <row r="220" ht="15.75" customHeight="1">
      <c r="A220" s="22" t="s">
        <v>9074</v>
      </c>
      <c r="B220" s="22" t="s">
        <v>9749</v>
      </c>
      <c r="C220" s="22" t="s">
        <v>9750</v>
      </c>
      <c r="D220" s="22" t="s">
        <v>9751</v>
      </c>
      <c r="E220" s="22" t="s">
        <v>9752</v>
      </c>
      <c r="F220" s="22" t="s">
        <v>9753</v>
      </c>
      <c r="G220" s="22" t="s">
        <v>9754</v>
      </c>
      <c r="H220" s="22" t="s">
        <v>8486</v>
      </c>
      <c r="I220" s="22" t="s">
        <v>8056</v>
      </c>
      <c r="J220" s="22" t="s">
        <v>9755</v>
      </c>
      <c r="K220" s="22" t="s">
        <v>8038</v>
      </c>
      <c r="L220" s="22" t="s">
        <v>8058</v>
      </c>
      <c r="M220" s="22" t="s">
        <v>9756</v>
      </c>
      <c r="N220" s="22" t="s">
        <v>9757</v>
      </c>
    </row>
    <row r="221" ht="15.75" customHeight="1">
      <c r="A221" s="20" t="s">
        <v>9241</v>
      </c>
      <c r="B221" s="20" t="s">
        <v>9758</v>
      </c>
      <c r="C221" s="20" t="s">
        <v>9759</v>
      </c>
      <c r="D221" s="20" t="s">
        <v>9760</v>
      </c>
      <c r="E221" s="20" t="s">
        <v>9761</v>
      </c>
      <c r="F221" s="20" t="s">
        <v>9762</v>
      </c>
      <c r="G221" s="20" t="s">
        <v>9763</v>
      </c>
      <c r="H221" s="20" t="s">
        <v>8738</v>
      </c>
      <c r="I221" s="20" t="s">
        <v>8739</v>
      </c>
      <c r="J221" s="20" t="s">
        <v>9764</v>
      </c>
      <c r="K221" s="20" t="s">
        <v>8038</v>
      </c>
      <c r="L221" s="21" t="s">
        <v>8069</v>
      </c>
      <c r="M221" s="21" t="s">
        <v>9765</v>
      </c>
      <c r="N221" s="21" t="s">
        <v>9766</v>
      </c>
    </row>
    <row r="222" ht="15.75" customHeight="1">
      <c r="A222" s="22" t="s">
        <v>9767</v>
      </c>
      <c r="B222" s="22" t="s">
        <v>9768</v>
      </c>
      <c r="C222" s="22" t="s">
        <v>9769</v>
      </c>
      <c r="D222" s="22" t="s">
        <v>9770</v>
      </c>
      <c r="E222" s="22" t="s">
        <v>9771</v>
      </c>
      <c r="F222" s="22" t="s">
        <v>9772</v>
      </c>
      <c r="G222" s="22" t="s">
        <v>8036</v>
      </c>
      <c r="H222" s="22" t="s">
        <v>8036</v>
      </c>
      <c r="I222" s="22" t="s">
        <v>8036</v>
      </c>
      <c r="J222" s="22" t="s">
        <v>9773</v>
      </c>
      <c r="K222" s="22" t="s">
        <v>8038</v>
      </c>
      <c r="L222" s="22" t="s">
        <v>8091</v>
      </c>
      <c r="M222" s="22" t="s">
        <v>8304</v>
      </c>
      <c r="N222" s="22" t="s">
        <v>9774</v>
      </c>
    </row>
    <row r="223" ht="15.75" customHeight="1">
      <c r="A223" s="20" t="s">
        <v>9775</v>
      </c>
      <c r="B223" s="20" t="s">
        <v>9776</v>
      </c>
      <c r="C223" s="20" t="s">
        <v>9777</v>
      </c>
      <c r="D223" s="20" t="s">
        <v>9778</v>
      </c>
      <c r="E223" s="20" t="s">
        <v>9779</v>
      </c>
      <c r="F223" s="20" t="s">
        <v>9780</v>
      </c>
      <c r="G223" s="20" t="s">
        <v>9781</v>
      </c>
      <c r="H223" s="20" t="s">
        <v>8158</v>
      </c>
      <c r="I223" s="20" t="s">
        <v>8159</v>
      </c>
      <c r="J223" s="20" t="s">
        <v>9782</v>
      </c>
      <c r="K223" s="20" t="s">
        <v>8038</v>
      </c>
      <c r="L223" s="21" t="s">
        <v>8091</v>
      </c>
      <c r="M223" s="21" t="s">
        <v>9783</v>
      </c>
      <c r="N223" s="21"/>
    </row>
    <row r="224" ht="15.75" customHeight="1">
      <c r="A224" s="22" t="s">
        <v>9784</v>
      </c>
      <c r="B224" s="22" t="s">
        <v>9785</v>
      </c>
      <c r="C224" s="22" t="s">
        <v>9786</v>
      </c>
      <c r="D224" s="22" t="s">
        <v>9787</v>
      </c>
      <c r="E224" s="22" t="s">
        <v>9788</v>
      </c>
      <c r="F224" s="22"/>
      <c r="G224" s="22" t="s">
        <v>9789</v>
      </c>
      <c r="H224" s="22" t="s">
        <v>8374</v>
      </c>
      <c r="I224" s="22" t="s">
        <v>8192</v>
      </c>
      <c r="J224" s="22" t="s">
        <v>9790</v>
      </c>
      <c r="K224" s="22" t="s">
        <v>8038</v>
      </c>
      <c r="L224" s="22" t="s">
        <v>8091</v>
      </c>
      <c r="M224" s="22" t="s">
        <v>9791</v>
      </c>
      <c r="N224" s="22" t="s">
        <v>9792</v>
      </c>
    </row>
    <row r="225" ht="15.75" customHeight="1">
      <c r="A225" s="20" t="s">
        <v>9232</v>
      </c>
      <c r="B225" s="20" t="s">
        <v>9793</v>
      </c>
      <c r="C225" s="20" t="s">
        <v>9794</v>
      </c>
      <c r="D225" s="20" t="s">
        <v>9795</v>
      </c>
      <c r="E225" s="20" t="s">
        <v>6331</v>
      </c>
      <c r="F225" s="20" t="s">
        <v>9796</v>
      </c>
      <c r="G225" s="20" t="s">
        <v>9420</v>
      </c>
      <c r="H225" s="20" t="s">
        <v>9420</v>
      </c>
      <c r="I225" s="20" t="s">
        <v>8056</v>
      </c>
      <c r="J225" s="20" t="s">
        <v>9797</v>
      </c>
      <c r="K225" s="20" t="s">
        <v>8038</v>
      </c>
      <c r="L225" s="21" t="s">
        <v>9798</v>
      </c>
      <c r="M225" s="21" t="s">
        <v>9799</v>
      </c>
      <c r="N225" s="21" t="s">
        <v>9800</v>
      </c>
    </row>
    <row r="226" ht="15.75" customHeight="1">
      <c r="A226" s="22" t="s">
        <v>8060</v>
      </c>
      <c r="B226" s="22" t="s">
        <v>9793</v>
      </c>
      <c r="C226" s="22" t="s">
        <v>9794</v>
      </c>
      <c r="D226" s="22" t="s">
        <v>9801</v>
      </c>
      <c r="E226" s="22" t="s">
        <v>6331</v>
      </c>
      <c r="F226" s="22" t="s">
        <v>9796</v>
      </c>
      <c r="G226" s="22" t="s">
        <v>9420</v>
      </c>
      <c r="H226" s="22" t="s">
        <v>9420</v>
      </c>
      <c r="I226" s="22" t="s">
        <v>8056</v>
      </c>
      <c r="J226" s="22" t="s">
        <v>9797</v>
      </c>
      <c r="K226" s="22" t="s">
        <v>8038</v>
      </c>
      <c r="L226" s="22" t="s">
        <v>9802</v>
      </c>
      <c r="M226" s="22" t="s">
        <v>9799</v>
      </c>
      <c r="N226" s="22" t="s">
        <v>9800</v>
      </c>
    </row>
    <row r="227" ht="15.75" customHeight="1">
      <c r="A227" s="20" t="s">
        <v>9803</v>
      </c>
      <c r="B227" s="20" t="s">
        <v>9804</v>
      </c>
      <c r="C227" s="20" t="s">
        <v>9805</v>
      </c>
      <c r="D227" s="20" t="s">
        <v>9806</v>
      </c>
      <c r="E227" s="20" t="s">
        <v>9807</v>
      </c>
      <c r="F227" s="20" t="s">
        <v>9808</v>
      </c>
      <c r="G227" s="20" t="s">
        <v>9809</v>
      </c>
      <c r="H227" s="20" t="s">
        <v>8543</v>
      </c>
      <c r="I227" s="20" t="s">
        <v>8544</v>
      </c>
      <c r="J227" s="20" t="s">
        <v>9810</v>
      </c>
      <c r="K227" s="20" t="s">
        <v>8038</v>
      </c>
      <c r="L227" s="21" t="s">
        <v>8365</v>
      </c>
      <c r="M227" s="21" t="s">
        <v>9811</v>
      </c>
      <c r="N227" s="21"/>
    </row>
    <row r="228" ht="15.75" customHeight="1">
      <c r="A228" s="22" t="s">
        <v>8449</v>
      </c>
      <c r="B228" s="22" t="s">
        <v>9812</v>
      </c>
      <c r="C228" s="22" t="s">
        <v>9813</v>
      </c>
      <c r="D228" s="22" t="s">
        <v>9814</v>
      </c>
      <c r="E228" s="22" t="s">
        <v>9815</v>
      </c>
      <c r="F228" s="22" t="s">
        <v>9816</v>
      </c>
      <c r="G228" s="22" t="s">
        <v>8036</v>
      </c>
      <c r="H228" s="22" t="s">
        <v>8036</v>
      </c>
      <c r="I228" s="22" t="s">
        <v>8036</v>
      </c>
      <c r="J228" s="22" t="s">
        <v>9817</v>
      </c>
      <c r="K228" s="22" t="s">
        <v>8038</v>
      </c>
      <c r="L228" s="22" t="s">
        <v>8365</v>
      </c>
      <c r="M228" s="22" t="s">
        <v>9439</v>
      </c>
      <c r="N228" s="22"/>
    </row>
    <row r="229" ht="15.75" customHeight="1">
      <c r="A229" s="20" t="s">
        <v>9818</v>
      </c>
      <c r="B229" s="20" t="s">
        <v>9819</v>
      </c>
      <c r="C229" s="20" t="s">
        <v>9820</v>
      </c>
      <c r="D229" s="20" t="s">
        <v>9821</v>
      </c>
      <c r="E229" s="20" t="s">
        <v>9822</v>
      </c>
      <c r="F229" s="20" t="s">
        <v>9823</v>
      </c>
      <c r="G229" s="20" t="s">
        <v>9824</v>
      </c>
      <c r="H229" s="20" t="s">
        <v>8354</v>
      </c>
      <c r="I229" s="20" t="s">
        <v>8056</v>
      </c>
      <c r="J229" s="20" t="s">
        <v>9825</v>
      </c>
      <c r="K229" s="20" t="s">
        <v>8038</v>
      </c>
      <c r="L229" s="21" t="s">
        <v>8441</v>
      </c>
      <c r="M229" s="21" t="s">
        <v>9826</v>
      </c>
      <c r="N229" s="21"/>
    </row>
    <row r="230" ht="15.75" customHeight="1">
      <c r="A230" s="22" t="s">
        <v>8479</v>
      </c>
      <c r="B230" s="22" t="s">
        <v>9827</v>
      </c>
      <c r="C230" s="22" t="s">
        <v>9828</v>
      </c>
      <c r="D230" s="22" t="s">
        <v>9829</v>
      </c>
      <c r="E230" s="22" t="s">
        <v>9830</v>
      </c>
      <c r="F230" s="22"/>
      <c r="G230" s="22" t="s">
        <v>9831</v>
      </c>
      <c r="H230" s="22" t="s">
        <v>8354</v>
      </c>
      <c r="I230" s="22" t="s">
        <v>8056</v>
      </c>
      <c r="J230" s="22" t="s">
        <v>9832</v>
      </c>
      <c r="K230" s="22" t="s">
        <v>8038</v>
      </c>
      <c r="L230" s="22" t="s">
        <v>8069</v>
      </c>
      <c r="M230" s="22" t="s">
        <v>9833</v>
      </c>
      <c r="N230" s="22"/>
    </row>
    <row r="231" ht="15.75" customHeight="1">
      <c r="A231" s="20" t="s">
        <v>8060</v>
      </c>
      <c r="B231" s="20" t="s">
        <v>9834</v>
      </c>
      <c r="C231" s="20" t="s">
        <v>9794</v>
      </c>
      <c r="D231" s="20" t="s">
        <v>9835</v>
      </c>
      <c r="E231" s="20" t="s">
        <v>6331</v>
      </c>
      <c r="F231" s="20" t="s">
        <v>9796</v>
      </c>
      <c r="G231" s="20" t="s">
        <v>9420</v>
      </c>
      <c r="H231" s="20" t="s">
        <v>9420</v>
      </c>
      <c r="I231" s="20" t="s">
        <v>8056</v>
      </c>
      <c r="J231" s="20" t="s">
        <v>9797</v>
      </c>
      <c r="K231" s="20" t="s">
        <v>8038</v>
      </c>
      <c r="L231" s="21" t="s">
        <v>9798</v>
      </c>
      <c r="M231" s="21" t="s">
        <v>9799</v>
      </c>
      <c r="N231" s="21"/>
    </row>
    <row r="232" ht="15.75" customHeight="1">
      <c r="A232" s="22" t="s">
        <v>8247</v>
      </c>
      <c r="B232" s="22" t="s">
        <v>9836</v>
      </c>
      <c r="C232" s="22" t="s">
        <v>9837</v>
      </c>
      <c r="D232" s="22" t="s">
        <v>9838</v>
      </c>
      <c r="E232" s="22" t="s">
        <v>9839</v>
      </c>
      <c r="F232" s="22" t="s">
        <v>9840</v>
      </c>
      <c r="G232" s="22" t="s">
        <v>8354</v>
      </c>
      <c r="H232" s="22" t="s">
        <v>8354</v>
      </c>
      <c r="I232" s="22" t="s">
        <v>8056</v>
      </c>
      <c r="J232" s="22" t="s">
        <v>9841</v>
      </c>
      <c r="K232" s="22" t="s">
        <v>8038</v>
      </c>
      <c r="L232" s="22" t="s">
        <v>9842</v>
      </c>
      <c r="M232" s="22" t="s">
        <v>8356</v>
      </c>
      <c r="N232" s="22"/>
    </row>
    <row r="233" ht="15.75" customHeight="1">
      <c r="A233" s="20" t="s">
        <v>9843</v>
      </c>
      <c r="B233" s="20" t="s">
        <v>9844</v>
      </c>
      <c r="C233" s="20" t="s">
        <v>9845</v>
      </c>
      <c r="D233" s="20" t="s">
        <v>9846</v>
      </c>
      <c r="E233" s="20" t="s">
        <v>2904</v>
      </c>
      <c r="F233" s="20"/>
      <c r="G233" s="20" t="s">
        <v>9847</v>
      </c>
      <c r="H233" s="20" t="s">
        <v>8431</v>
      </c>
      <c r="I233" s="20" t="s">
        <v>8056</v>
      </c>
      <c r="J233" s="20" t="s">
        <v>9848</v>
      </c>
      <c r="K233" s="20" t="s">
        <v>8038</v>
      </c>
      <c r="L233" s="21" t="s">
        <v>9849</v>
      </c>
      <c r="M233" s="21" t="s">
        <v>9850</v>
      </c>
      <c r="N233" s="21"/>
    </row>
    <row r="234" ht="15.75" customHeight="1">
      <c r="A234" s="22" t="s">
        <v>9851</v>
      </c>
      <c r="B234" s="22" t="s">
        <v>9852</v>
      </c>
      <c r="C234" s="22" t="s">
        <v>9853</v>
      </c>
      <c r="D234" s="22" t="s">
        <v>9854</v>
      </c>
      <c r="E234" s="22" t="s">
        <v>2198</v>
      </c>
      <c r="F234" s="22" t="s">
        <v>9855</v>
      </c>
      <c r="G234" s="22" t="s">
        <v>8066</v>
      </c>
      <c r="H234" s="22" t="s">
        <v>8066</v>
      </c>
      <c r="I234" s="22" t="s">
        <v>8067</v>
      </c>
      <c r="J234" s="22" t="s">
        <v>9856</v>
      </c>
      <c r="K234" s="22" t="s">
        <v>8038</v>
      </c>
      <c r="L234" s="22" t="s">
        <v>8047</v>
      </c>
      <c r="M234" s="22" t="s">
        <v>9590</v>
      </c>
      <c r="N234" s="22"/>
    </row>
    <row r="235" ht="15.75" customHeight="1">
      <c r="A235" s="20" t="s">
        <v>9857</v>
      </c>
      <c r="B235" s="20" t="s">
        <v>9858</v>
      </c>
      <c r="C235" s="20" t="s">
        <v>9859</v>
      </c>
      <c r="D235" s="20" t="s">
        <v>9860</v>
      </c>
      <c r="E235" s="20" t="s">
        <v>9861</v>
      </c>
      <c r="F235" s="20" t="s">
        <v>9862</v>
      </c>
      <c r="G235" s="20" t="s">
        <v>9863</v>
      </c>
      <c r="H235" s="20" t="s">
        <v>8036</v>
      </c>
      <c r="I235" s="20" t="s">
        <v>8036</v>
      </c>
      <c r="J235" s="20" t="s">
        <v>9864</v>
      </c>
      <c r="K235" s="20" t="s">
        <v>8038</v>
      </c>
      <c r="L235" s="21" t="s">
        <v>8091</v>
      </c>
      <c r="M235" s="21" t="s">
        <v>9865</v>
      </c>
      <c r="N235" s="21"/>
    </row>
    <row r="236" ht="15.75" customHeight="1">
      <c r="A236" s="22" t="s">
        <v>9866</v>
      </c>
      <c r="B236" s="22" t="s">
        <v>9867</v>
      </c>
      <c r="C236" s="22" t="s">
        <v>9868</v>
      </c>
      <c r="D236" s="22" t="s">
        <v>9869</v>
      </c>
      <c r="E236" s="22" t="s">
        <v>9870</v>
      </c>
      <c r="F236" s="22"/>
      <c r="G236" s="22" t="s">
        <v>8269</v>
      </c>
      <c r="H236" s="22" t="s">
        <v>8269</v>
      </c>
      <c r="I236" s="22" t="s">
        <v>8270</v>
      </c>
      <c r="J236" s="22" t="s">
        <v>9871</v>
      </c>
      <c r="K236" s="22" t="s">
        <v>8038</v>
      </c>
      <c r="L236" s="22" t="s">
        <v>8082</v>
      </c>
      <c r="M236" s="22" t="s">
        <v>8577</v>
      </c>
      <c r="N236" s="22"/>
    </row>
    <row r="237" ht="15.75" customHeight="1">
      <c r="A237" s="20" t="s">
        <v>8449</v>
      </c>
      <c r="B237" s="20" t="s">
        <v>9872</v>
      </c>
      <c r="C237" s="20" t="s">
        <v>9873</v>
      </c>
      <c r="D237" s="20" t="s">
        <v>9874</v>
      </c>
      <c r="E237" s="20" t="s">
        <v>9875</v>
      </c>
      <c r="F237" s="20"/>
      <c r="G237" s="20" t="s">
        <v>8363</v>
      </c>
      <c r="H237" s="20" t="s">
        <v>8181</v>
      </c>
      <c r="I237" s="20" t="s">
        <v>8159</v>
      </c>
      <c r="J237" s="20" t="s">
        <v>9876</v>
      </c>
      <c r="K237" s="20" t="s">
        <v>8038</v>
      </c>
      <c r="L237" s="21" t="s">
        <v>9747</v>
      </c>
      <c r="M237" s="21" t="s">
        <v>9877</v>
      </c>
      <c r="N237" s="21"/>
    </row>
    <row r="238" ht="15.75" customHeight="1">
      <c r="A238" s="22" t="s">
        <v>9256</v>
      </c>
      <c r="B238" s="22" t="s">
        <v>9878</v>
      </c>
      <c r="C238" s="22" t="s">
        <v>9879</v>
      </c>
      <c r="D238" s="22" t="s">
        <v>9880</v>
      </c>
      <c r="E238" s="22" t="s">
        <v>9881</v>
      </c>
      <c r="F238" s="22" t="s">
        <v>9882</v>
      </c>
      <c r="G238" s="22" t="s">
        <v>9847</v>
      </c>
      <c r="H238" s="22" t="s">
        <v>8431</v>
      </c>
      <c r="I238" s="22" t="s">
        <v>8056</v>
      </c>
      <c r="J238" s="22" t="s">
        <v>9883</v>
      </c>
      <c r="K238" s="22" t="s">
        <v>8038</v>
      </c>
      <c r="L238" s="22" t="s">
        <v>8091</v>
      </c>
      <c r="M238" s="22" t="s">
        <v>9884</v>
      </c>
      <c r="N238" s="22" t="s">
        <v>9885</v>
      </c>
    </row>
    <row r="239" ht="15.75" customHeight="1">
      <c r="A239" s="20" t="s">
        <v>8049</v>
      </c>
      <c r="B239" s="20" t="s">
        <v>9886</v>
      </c>
      <c r="C239" s="20" t="s">
        <v>9887</v>
      </c>
      <c r="D239" s="20" t="s">
        <v>9888</v>
      </c>
      <c r="E239" s="20" t="s">
        <v>9889</v>
      </c>
      <c r="F239" s="20" t="s">
        <v>9890</v>
      </c>
      <c r="G239" s="20" t="s">
        <v>9891</v>
      </c>
      <c r="H239" s="20" t="s">
        <v>8959</v>
      </c>
      <c r="I239" s="20" t="s">
        <v>8056</v>
      </c>
      <c r="J239" s="20" t="s">
        <v>9892</v>
      </c>
      <c r="K239" s="20" t="s">
        <v>8038</v>
      </c>
      <c r="L239" s="21" t="s">
        <v>8441</v>
      </c>
      <c r="M239" s="21" t="s">
        <v>9893</v>
      </c>
      <c r="N239" s="21"/>
    </row>
    <row r="240" ht="15.75" customHeight="1">
      <c r="A240" s="22" t="s">
        <v>9894</v>
      </c>
      <c r="B240" s="22" t="s">
        <v>9895</v>
      </c>
      <c r="C240" s="22" t="s">
        <v>9896</v>
      </c>
      <c r="D240" s="22" t="s">
        <v>9897</v>
      </c>
      <c r="E240" s="22" t="s">
        <v>9898</v>
      </c>
      <c r="F240" s="22"/>
      <c r="G240" s="22" t="s">
        <v>9096</v>
      </c>
      <c r="H240" s="22" t="s">
        <v>9096</v>
      </c>
      <c r="I240" s="22" t="s">
        <v>8192</v>
      </c>
      <c r="J240" s="22" t="s">
        <v>9899</v>
      </c>
      <c r="K240" s="22" t="s">
        <v>8038</v>
      </c>
      <c r="L240" s="22" t="s">
        <v>8058</v>
      </c>
      <c r="M240" s="22" t="s">
        <v>9900</v>
      </c>
      <c r="N240" s="22"/>
    </row>
    <row r="241" ht="15.75" customHeight="1">
      <c r="A241" s="20" t="s">
        <v>9901</v>
      </c>
      <c r="B241" s="20" t="s">
        <v>9902</v>
      </c>
      <c r="C241" s="20" t="s">
        <v>9903</v>
      </c>
      <c r="D241" s="20" t="s">
        <v>9904</v>
      </c>
      <c r="E241" s="20" t="s">
        <v>9905</v>
      </c>
      <c r="F241" s="20" t="s">
        <v>9906</v>
      </c>
      <c r="G241" s="20" t="s">
        <v>8036</v>
      </c>
      <c r="H241" s="20" t="s">
        <v>8036</v>
      </c>
      <c r="I241" s="20" t="s">
        <v>8036</v>
      </c>
      <c r="J241" s="20" t="s">
        <v>9907</v>
      </c>
      <c r="K241" s="20" t="s">
        <v>8038</v>
      </c>
      <c r="L241" s="21" t="s">
        <v>9908</v>
      </c>
      <c r="M241" s="21" t="s">
        <v>8854</v>
      </c>
      <c r="N241" s="21"/>
    </row>
    <row r="242" ht="15.75" customHeight="1">
      <c r="A242" s="22" t="s">
        <v>9909</v>
      </c>
      <c r="B242" s="22" t="s">
        <v>9910</v>
      </c>
      <c r="C242" s="22" t="s">
        <v>9911</v>
      </c>
      <c r="D242" s="22" t="s">
        <v>9912</v>
      </c>
      <c r="E242" s="22" t="s">
        <v>9913</v>
      </c>
      <c r="F242" s="22" t="s">
        <v>9914</v>
      </c>
      <c r="G242" s="22" t="s">
        <v>9096</v>
      </c>
      <c r="H242" s="22" t="s">
        <v>9096</v>
      </c>
      <c r="I242" s="22" t="s">
        <v>8192</v>
      </c>
      <c r="J242" s="22" t="s">
        <v>9915</v>
      </c>
      <c r="K242" s="22" t="s">
        <v>8038</v>
      </c>
      <c r="L242" s="22" t="s">
        <v>8058</v>
      </c>
      <c r="M242" s="22" t="s">
        <v>9099</v>
      </c>
      <c r="N242" s="22"/>
    </row>
    <row r="243" ht="15.75" customHeight="1">
      <c r="A243" s="20" t="s">
        <v>9916</v>
      </c>
      <c r="B243" s="20" t="s">
        <v>9917</v>
      </c>
      <c r="C243" s="20" t="s">
        <v>9918</v>
      </c>
      <c r="D243" s="20" t="s">
        <v>9919</v>
      </c>
      <c r="E243" s="20" t="s">
        <v>9920</v>
      </c>
      <c r="F243" s="20" t="s">
        <v>9921</v>
      </c>
      <c r="G243" s="20" t="s">
        <v>9922</v>
      </c>
      <c r="H243" s="20" t="s">
        <v>8727</v>
      </c>
      <c r="I243" s="20" t="s">
        <v>8056</v>
      </c>
      <c r="J243" s="20" t="s">
        <v>9923</v>
      </c>
      <c r="K243" s="20" t="s">
        <v>8038</v>
      </c>
      <c r="L243" s="21" t="s">
        <v>8058</v>
      </c>
      <c r="M243" s="21" t="s">
        <v>9924</v>
      </c>
      <c r="N243" s="21" t="s">
        <v>9925</v>
      </c>
    </row>
    <row r="244" ht="15.75" customHeight="1">
      <c r="A244" s="22" t="s">
        <v>9926</v>
      </c>
      <c r="B244" s="22" t="s">
        <v>9927</v>
      </c>
      <c r="C244" s="22" t="s">
        <v>9928</v>
      </c>
      <c r="D244" s="22" t="s">
        <v>9929</v>
      </c>
      <c r="E244" s="22" t="s">
        <v>9930</v>
      </c>
      <c r="F244" s="22" t="s">
        <v>9931</v>
      </c>
      <c r="G244" s="22" t="s">
        <v>8036</v>
      </c>
      <c r="H244" s="22" t="s">
        <v>8036</v>
      </c>
      <c r="I244" s="22" t="s">
        <v>8036</v>
      </c>
      <c r="J244" s="22" t="s">
        <v>9932</v>
      </c>
      <c r="K244" s="22" t="s">
        <v>8038</v>
      </c>
      <c r="L244" s="22" t="s">
        <v>8091</v>
      </c>
      <c r="M244" s="22" t="s">
        <v>8304</v>
      </c>
      <c r="N244" s="22"/>
    </row>
    <row r="245" ht="15.75" customHeight="1">
      <c r="A245" s="20" t="s">
        <v>9933</v>
      </c>
      <c r="B245" s="20" t="s">
        <v>9934</v>
      </c>
      <c r="C245" s="20" t="s">
        <v>9935</v>
      </c>
      <c r="D245" s="20" t="s">
        <v>9936</v>
      </c>
      <c r="E245" s="20" t="s">
        <v>9937</v>
      </c>
      <c r="F245" s="20"/>
      <c r="G245" s="20" t="s">
        <v>8036</v>
      </c>
      <c r="H245" s="20" t="s">
        <v>8036</v>
      </c>
      <c r="I245" s="20" t="s">
        <v>8036</v>
      </c>
      <c r="J245" s="20" t="s">
        <v>9938</v>
      </c>
      <c r="K245" s="20" t="s">
        <v>8038</v>
      </c>
      <c r="L245" s="21" t="s">
        <v>8091</v>
      </c>
      <c r="M245" s="21" t="s">
        <v>9939</v>
      </c>
      <c r="N245" s="21"/>
    </row>
    <row r="246" ht="15.75" customHeight="1">
      <c r="A246" s="22" t="s">
        <v>9241</v>
      </c>
      <c r="B246" s="22" t="s">
        <v>9940</v>
      </c>
      <c r="C246" s="22" t="s">
        <v>9941</v>
      </c>
      <c r="D246" s="22" t="s">
        <v>9942</v>
      </c>
      <c r="E246" s="22" t="s">
        <v>9943</v>
      </c>
      <c r="F246" s="22" t="s">
        <v>9944</v>
      </c>
      <c r="G246" s="22" t="s">
        <v>9945</v>
      </c>
      <c r="H246" s="22" t="s">
        <v>9598</v>
      </c>
      <c r="I246" s="22" t="s">
        <v>8270</v>
      </c>
      <c r="J246" s="22" t="s">
        <v>9946</v>
      </c>
      <c r="K246" s="22" t="s">
        <v>8038</v>
      </c>
      <c r="L246" s="22" t="s">
        <v>8058</v>
      </c>
      <c r="M246" s="22" t="s">
        <v>9947</v>
      </c>
      <c r="N246" s="22" t="s">
        <v>9943</v>
      </c>
    </row>
    <row r="247" ht="15.75" customHeight="1">
      <c r="A247" s="20" t="s">
        <v>8610</v>
      </c>
      <c r="B247" s="20" t="s">
        <v>9948</v>
      </c>
      <c r="C247" s="20" t="s">
        <v>9949</v>
      </c>
      <c r="D247" s="20" t="s">
        <v>9950</v>
      </c>
      <c r="E247" s="20" t="s">
        <v>9951</v>
      </c>
      <c r="F247" s="20"/>
      <c r="G247" s="20" t="s">
        <v>9952</v>
      </c>
      <c r="H247" s="20" t="s">
        <v>9698</v>
      </c>
      <c r="I247" s="20" t="s">
        <v>8544</v>
      </c>
      <c r="J247" s="20" t="s">
        <v>9953</v>
      </c>
      <c r="K247" s="20" t="s">
        <v>8038</v>
      </c>
      <c r="L247" s="21" t="s">
        <v>8058</v>
      </c>
      <c r="M247" s="21" t="s">
        <v>9954</v>
      </c>
      <c r="N247" s="21"/>
    </row>
    <row r="248" ht="15.75" customHeight="1">
      <c r="A248" s="22" t="s">
        <v>9955</v>
      </c>
      <c r="B248" s="22" t="s">
        <v>9956</v>
      </c>
      <c r="C248" s="22" t="s">
        <v>9957</v>
      </c>
      <c r="D248" s="22" t="s">
        <v>9958</v>
      </c>
      <c r="E248" s="22" t="s">
        <v>9959</v>
      </c>
      <c r="F248" s="22"/>
      <c r="G248" s="22" t="s">
        <v>8079</v>
      </c>
      <c r="H248" s="22" t="s">
        <v>8079</v>
      </c>
      <c r="I248" s="22" t="s">
        <v>8080</v>
      </c>
      <c r="J248" s="22" t="s">
        <v>9960</v>
      </c>
      <c r="K248" s="22" t="s">
        <v>8038</v>
      </c>
      <c r="L248" s="22" t="s">
        <v>8047</v>
      </c>
      <c r="M248" s="22" t="s">
        <v>9961</v>
      </c>
      <c r="N248" s="22"/>
    </row>
    <row r="249" ht="15.75" customHeight="1">
      <c r="A249" s="20" t="s">
        <v>8203</v>
      </c>
      <c r="B249" s="20" t="s">
        <v>9962</v>
      </c>
      <c r="C249" s="20" t="s">
        <v>9963</v>
      </c>
      <c r="D249" s="20" t="s">
        <v>9964</v>
      </c>
      <c r="E249" s="20" t="s">
        <v>9965</v>
      </c>
      <c r="F249" s="20"/>
      <c r="G249" s="20" t="s">
        <v>8036</v>
      </c>
      <c r="H249" s="20" t="s">
        <v>8036</v>
      </c>
      <c r="I249" s="20" t="s">
        <v>8036</v>
      </c>
      <c r="J249" s="20" t="s">
        <v>9966</v>
      </c>
      <c r="K249" s="20" t="s">
        <v>8038</v>
      </c>
      <c r="L249" s="21" t="s">
        <v>8091</v>
      </c>
      <c r="M249" s="21" t="s">
        <v>9709</v>
      </c>
      <c r="N249" s="21"/>
    </row>
    <row r="250" ht="15.75" customHeight="1">
      <c r="A250" s="22" t="s">
        <v>9967</v>
      </c>
      <c r="B250" s="22" t="s">
        <v>9968</v>
      </c>
      <c r="C250" s="22" t="s">
        <v>9969</v>
      </c>
      <c r="D250" s="22" t="s">
        <v>9970</v>
      </c>
      <c r="E250" s="22" t="s">
        <v>9971</v>
      </c>
      <c r="F250" s="22" t="s">
        <v>9488</v>
      </c>
      <c r="G250" s="22" t="s">
        <v>9952</v>
      </c>
      <c r="H250" s="22" t="s">
        <v>9698</v>
      </c>
      <c r="I250" s="22" t="s">
        <v>8544</v>
      </c>
      <c r="J250" s="22" t="s">
        <v>9953</v>
      </c>
      <c r="K250" s="22" t="s">
        <v>8038</v>
      </c>
      <c r="L250" s="22" t="s">
        <v>8058</v>
      </c>
      <c r="M250" s="22" t="s">
        <v>9954</v>
      </c>
      <c r="N250" s="22"/>
    </row>
    <row r="251" ht="15.75" customHeight="1">
      <c r="A251" s="20" t="s">
        <v>9972</v>
      </c>
      <c r="B251" s="20" t="s">
        <v>9973</v>
      </c>
      <c r="C251" s="20" t="s">
        <v>9974</v>
      </c>
      <c r="D251" s="20" t="s">
        <v>9975</v>
      </c>
      <c r="E251" s="20" t="s">
        <v>9976</v>
      </c>
      <c r="F251" s="20" t="s">
        <v>9977</v>
      </c>
      <c r="G251" s="20" t="s">
        <v>9978</v>
      </c>
      <c r="H251" s="20" t="s">
        <v>8560</v>
      </c>
      <c r="I251" s="20" t="s">
        <v>8108</v>
      </c>
      <c r="J251" s="20" t="s">
        <v>9979</v>
      </c>
      <c r="K251" s="20" t="s">
        <v>8038</v>
      </c>
      <c r="L251" s="21" t="s">
        <v>9980</v>
      </c>
      <c r="M251" s="21" t="s">
        <v>9981</v>
      </c>
      <c r="N251" s="21" t="s">
        <v>9982</v>
      </c>
    </row>
    <row r="252" ht="15.75" customHeight="1">
      <c r="A252" s="22" t="s">
        <v>9983</v>
      </c>
      <c r="B252" s="22" t="s">
        <v>9984</v>
      </c>
      <c r="C252" s="22" t="s">
        <v>9985</v>
      </c>
      <c r="D252" s="22" t="s">
        <v>9986</v>
      </c>
      <c r="E252" s="22" t="s">
        <v>9987</v>
      </c>
      <c r="F252" s="22" t="s">
        <v>9988</v>
      </c>
      <c r="G252" s="22" t="s">
        <v>9989</v>
      </c>
      <c r="H252" s="22" t="s">
        <v>8269</v>
      </c>
      <c r="I252" s="22" t="s">
        <v>8270</v>
      </c>
      <c r="J252" s="22" t="s">
        <v>9990</v>
      </c>
      <c r="K252" s="22" t="s">
        <v>8038</v>
      </c>
      <c r="L252" s="22" t="s">
        <v>9991</v>
      </c>
      <c r="M252" s="22" t="s">
        <v>9992</v>
      </c>
      <c r="N252" s="22"/>
    </row>
    <row r="253" ht="15.75" customHeight="1">
      <c r="A253" s="20" t="s">
        <v>8348</v>
      </c>
      <c r="B253" s="20" t="s">
        <v>9993</v>
      </c>
      <c r="C253" s="20" t="s">
        <v>9994</v>
      </c>
      <c r="D253" s="20" t="s">
        <v>9995</v>
      </c>
      <c r="E253" s="20" t="s">
        <v>9996</v>
      </c>
      <c r="F253" s="20" t="s">
        <v>9997</v>
      </c>
      <c r="G253" s="20" t="s">
        <v>8543</v>
      </c>
      <c r="H253" s="20" t="s">
        <v>8543</v>
      </c>
      <c r="I253" s="20" t="s">
        <v>8544</v>
      </c>
      <c r="J253" s="20" t="s">
        <v>9998</v>
      </c>
      <c r="K253" s="20" t="s">
        <v>8038</v>
      </c>
      <c r="L253" s="21" t="s">
        <v>8091</v>
      </c>
      <c r="M253" s="21" t="s">
        <v>9999</v>
      </c>
      <c r="N253" s="21"/>
    </row>
    <row r="254" ht="15.75" customHeight="1">
      <c r="A254" s="22" t="s">
        <v>8509</v>
      </c>
      <c r="B254" s="22" t="s">
        <v>10000</v>
      </c>
      <c r="C254" s="22" t="s">
        <v>10001</v>
      </c>
      <c r="D254" s="22" t="s">
        <v>10002</v>
      </c>
      <c r="E254" s="22" t="s">
        <v>10003</v>
      </c>
      <c r="F254" s="22" t="s">
        <v>10004</v>
      </c>
      <c r="G254" s="22" t="s">
        <v>10005</v>
      </c>
      <c r="H254" s="22" t="s">
        <v>8036</v>
      </c>
      <c r="I254" s="22" t="s">
        <v>8036</v>
      </c>
      <c r="J254" s="22" t="s">
        <v>10006</v>
      </c>
      <c r="K254" s="22" t="s">
        <v>8038</v>
      </c>
      <c r="L254" s="22" t="s">
        <v>8426</v>
      </c>
      <c r="M254" s="22" t="s">
        <v>10007</v>
      </c>
      <c r="N254" s="22"/>
    </row>
    <row r="255" ht="15.75" customHeight="1">
      <c r="A255" s="20" t="s">
        <v>10008</v>
      </c>
      <c r="B255" s="20" t="s">
        <v>10009</v>
      </c>
      <c r="C255" s="20" t="s">
        <v>10010</v>
      </c>
      <c r="D255" s="20" t="s">
        <v>10011</v>
      </c>
      <c r="E255" s="20" t="s">
        <v>10012</v>
      </c>
      <c r="F255" s="20" t="s">
        <v>10013</v>
      </c>
      <c r="G255" s="20" t="s">
        <v>10014</v>
      </c>
      <c r="H255" s="20" t="s">
        <v>9598</v>
      </c>
      <c r="I255" s="20" t="s">
        <v>8270</v>
      </c>
      <c r="J255" s="20" t="s">
        <v>10015</v>
      </c>
      <c r="K255" s="20" t="s">
        <v>8038</v>
      </c>
      <c r="L255" s="21" t="s">
        <v>9980</v>
      </c>
      <c r="M255" s="21" t="s">
        <v>10016</v>
      </c>
      <c r="N255" s="21" t="s">
        <v>10017</v>
      </c>
    </row>
    <row r="256" ht="15.75" customHeight="1">
      <c r="A256" s="22" t="s">
        <v>10018</v>
      </c>
      <c r="B256" s="22" t="s">
        <v>10019</v>
      </c>
      <c r="C256" s="22" t="s">
        <v>10020</v>
      </c>
      <c r="D256" s="22" t="s">
        <v>10021</v>
      </c>
      <c r="E256" s="22" t="s">
        <v>10022</v>
      </c>
      <c r="F256" s="22" t="s">
        <v>10023</v>
      </c>
      <c r="G256" s="22" t="s">
        <v>8107</v>
      </c>
      <c r="H256" s="22" t="s">
        <v>8107</v>
      </c>
      <c r="I256" s="22" t="s">
        <v>8108</v>
      </c>
      <c r="J256" s="22" t="s">
        <v>10024</v>
      </c>
      <c r="K256" s="22" t="s">
        <v>8038</v>
      </c>
      <c r="L256" s="22" t="s">
        <v>9025</v>
      </c>
      <c r="M256" s="22" t="s">
        <v>10025</v>
      </c>
      <c r="N256" s="22"/>
    </row>
    <row r="257" ht="15.75" customHeight="1">
      <c r="A257" s="20" t="s">
        <v>10026</v>
      </c>
      <c r="B257" s="20" t="s">
        <v>10027</v>
      </c>
      <c r="C257" s="20" t="s">
        <v>10028</v>
      </c>
      <c r="D257" s="20" t="s">
        <v>10029</v>
      </c>
      <c r="E257" s="20" t="s">
        <v>10030</v>
      </c>
      <c r="F257" s="20" t="s">
        <v>10031</v>
      </c>
      <c r="G257" s="20" t="s">
        <v>10032</v>
      </c>
      <c r="H257" s="20" t="s">
        <v>8497</v>
      </c>
      <c r="I257" s="20" t="s">
        <v>8108</v>
      </c>
      <c r="J257" s="20" t="s">
        <v>10033</v>
      </c>
      <c r="K257" s="20" t="s">
        <v>8038</v>
      </c>
      <c r="L257" s="21" t="s">
        <v>8058</v>
      </c>
      <c r="M257" s="21" t="s">
        <v>10034</v>
      </c>
      <c r="N257" s="21"/>
    </row>
    <row r="258" ht="15.75" customHeight="1">
      <c r="A258" s="22" t="s">
        <v>10035</v>
      </c>
      <c r="B258" s="22" t="s">
        <v>10036</v>
      </c>
      <c r="C258" s="22" t="s">
        <v>10037</v>
      </c>
      <c r="D258" s="22" t="s">
        <v>10038</v>
      </c>
      <c r="E258" s="22" t="s">
        <v>10039</v>
      </c>
      <c r="F258" s="22" t="s">
        <v>10040</v>
      </c>
      <c r="G258" s="22" t="s">
        <v>10041</v>
      </c>
      <c r="H258" s="22" t="s">
        <v>8467</v>
      </c>
      <c r="I258" s="22" t="s">
        <v>8467</v>
      </c>
      <c r="J258" s="22" t="s">
        <v>10042</v>
      </c>
      <c r="K258" s="22" t="s">
        <v>8038</v>
      </c>
      <c r="L258" s="22" t="s">
        <v>8039</v>
      </c>
      <c r="M258" s="22" t="s">
        <v>10043</v>
      </c>
      <c r="N258" s="22"/>
    </row>
    <row r="259" ht="15.75" customHeight="1">
      <c r="A259" s="20" t="s">
        <v>8731</v>
      </c>
      <c r="B259" s="20" t="s">
        <v>10044</v>
      </c>
      <c r="C259" s="20" t="s">
        <v>10045</v>
      </c>
      <c r="D259" s="20" t="s">
        <v>10046</v>
      </c>
      <c r="E259" s="20" t="s">
        <v>10047</v>
      </c>
      <c r="F259" s="20" t="s">
        <v>10048</v>
      </c>
      <c r="G259" s="20" t="s">
        <v>10049</v>
      </c>
      <c r="H259" s="20" t="s">
        <v>8456</v>
      </c>
      <c r="I259" s="20" t="s">
        <v>8457</v>
      </c>
      <c r="J259" s="20" t="s">
        <v>10050</v>
      </c>
      <c r="K259" s="20" t="s">
        <v>8038</v>
      </c>
      <c r="L259" s="21" t="s">
        <v>8058</v>
      </c>
      <c r="M259" s="21" t="s">
        <v>10051</v>
      </c>
      <c r="N259" s="21"/>
    </row>
    <row r="260" ht="15.75" customHeight="1">
      <c r="A260" s="22" t="s">
        <v>8203</v>
      </c>
      <c r="B260" s="22" t="s">
        <v>10052</v>
      </c>
      <c r="C260" s="22" t="s">
        <v>10053</v>
      </c>
      <c r="D260" s="22" t="s">
        <v>10054</v>
      </c>
      <c r="E260" s="22" t="s">
        <v>10055</v>
      </c>
      <c r="F260" s="22"/>
      <c r="G260" s="22" t="s">
        <v>10041</v>
      </c>
      <c r="H260" s="22" t="s">
        <v>8467</v>
      </c>
      <c r="I260" s="22" t="s">
        <v>8467</v>
      </c>
      <c r="J260" s="22" t="s">
        <v>10056</v>
      </c>
      <c r="K260" s="22" t="s">
        <v>8038</v>
      </c>
      <c r="L260" s="22" t="s">
        <v>8058</v>
      </c>
      <c r="M260" s="22" t="s">
        <v>10057</v>
      </c>
      <c r="N260" s="22" t="s">
        <v>10058</v>
      </c>
    </row>
    <row r="261" ht="15.75" customHeight="1">
      <c r="A261" s="20" t="s">
        <v>10059</v>
      </c>
      <c r="B261" s="20" t="s">
        <v>10060</v>
      </c>
      <c r="C261" s="20" t="s">
        <v>10061</v>
      </c>
      <c r="D261" s="20" t="s">
        <v>10062</v>
      </c>
      <c r="E261" s="20" t="s">
        <v>10063</v>
      </c>
      <c r="F261" s="20" t="s">
        <v>10064</v>
      </c>
      <c r="G261" s="20" t="s">
        <v>8107</v>
      </c>
      <c r="H261" s="20" t="s">
        <v>8107</v>
      </c>
      <c r="I261" s="20" t="s">
        <v>8108</v>
      </c>
      <c r="J261" s="20" t="s">
        <v>10065</v>
      </c>
      <c r="K261" s="20" t="s">
        <v>8038</v>
      </c>
      <c r="L261" s="21" t="s">
        <v>8058</v>
      </c>
      <c r="M261" s="21" t="s">
        <v>10066</v>
      </c>
      <c r="N261" s="21"/>
    </row>
    <row r="262" ht="15.75" customHeight="1">
      <c r="A262" s="22" t="s">
        <v>8610</v>
      </c>
      <c r="B262" s="22" t="s">
        <v>10067</v>
      </c>
      <c r="C262" s="22" t="s">
        <v>10068</v>
      </c>
      <c r="D262" s="22" t="s">
        <v>10069</v>
      </c>
      <c r="E262" s="22" t="s">
        <v>10070</v>
      </c>
      <c r="F262" s="22" t="s">
        <v>10071</v>
      </c>
      <c r="G262" s="22" t="s">
        <v>8431</v>
      </c>
      <c r="H262" s="22" t="s">
        <v>8431</v>
      </c>
      <c r="I262" s="22" t="s">
        <v>8056</v>
      </c>
      <c r="J262" s="22" t="s">
        <v>10072</v>
      </c>
      <c r="K262" s="22" t="s">
        <v>8038</v>
      </c>
      <c r="L262" s="22" t="s">
        <v>8091</v>
      </c>
      <c r="M262" s="22" t="s">
        <v>8433</v>
      </c>
      <c r="N262" s="22"/>
    </row>
    <row r="263" ht="15.75" customHeight="1">
      <c r="A263" s="20" t="s">
        <v>8223</v>
      </c>
      <c r="B263" s="20" t="s">
        <v>10073</v>
      </c>
      <c r="C263" s="20" t="s">
        <v>10074</v>
      </c>
      <c r="D263" s="20" t="s">
        <v>10075</v>
      </c>
      <c r="E263" s="20" t="s">
        <v>10076</v>
      </c>
      <c r="F263" s="20" t="s">
        <v>10077</v>
      </c>
      <c r="G263" s="20" t="s">
        <v>10078</v>
      </c>
      <c r="H263" s="20" t="s">
        <v>10078</v>
      </c>
      <c r="I263" s="20" t="s">
        <v>8067</v>
      </c>
      <c r="J263" s="20" t="s">
        <v>10079</v>
      </c>
      <c r="K263" s="20" t="s">
        <v>8038</v>
      </c>
      <c r="L263" s="21" t="s">
        <v>8058</v>
      </c>
      <c r="M263" s="21" t="s">
        <v>10080</v>
      </c>
      <c r="N263" s="21" t="s">
        <v>10081</v>
      </c>
    </row>
    <row r="264" ht="15.75" customHeight="1">
      <c r="A264" s="22" t="s">
        <v>8093</v>
      </c>
      <c r="B264" s="22" t="s">
        <v>10082</v>
      </c>
      <c r="C264" s="22" t="s">
        <v>10083</v>
      </c>
      <c r="D264" s="22" t="s">
        <v>10084</v>
      </c>
      <c r="E264" s="22" t="s">
        <v>10085</v>
      </c>
      <c r="F264" s="22"/>
      <c r="G264" s="22" t="s">
        <v>10086</v>
      </c>
      <c r="H264" s="22" t="s">
        <v>8467</v>
      </c>
      <c r="I264" s="22" t="s">
        <v>8467</v>
      </c>
      <c r="J264" s="22" t="s">
        <v>10087</v>
      </c>
      <c r="K264" s="22" t="s">
        <v>8038</v>
      </c>
      <c r="L264" s="22" t="s">
        <v>10088</v>
      </c>
      <c r="M264" s="22" t="s">
        <v>10089</v>
      </c>
      <c r="N264" s="22"/>
    </row>
    <row r="265" ht="15.75" customHeight="1">
      <c r="A265" s="20" t="s">
        <v>8743</v>
      </c>
      <c r="B265" s="20" t="s">
        <v>10090</v>
      </c>
      <c r="C265" s="20" t="s">
        <v>10091</v>
      </c>
      <c r="D265" s="20" t="s">
        <v>3048</v>
      </c>
      <c r="E265" s="20" t="s">
        <v>7024</v>
      </c>
      <c r="F265" s="20" t="s">
        <v>10092</v>
      </c>
      <c r="G265" s="20" t="s">
        <v>8036</v>
      </c>
      <c r="H265" s="20" t="s">
        <v>8036</v>
      </c>
      <c r="I265" s="20" t="s">
        <v>8036</v>
      </c>
      <c r="J265" s="20" t="s">
        <v>10093</v>
      </c>
      <c r="K265" s="20" t="s">
        <v>8038</v>
      </c>
      <c r="L265" s="21" t="s">
        <v>8039</v>
      </c>
      <c r="M265" s="21" t="s">
        <v>10094</v>
      </c>
      <c r="N265" s="21"/>
    </row>
    <row r="266" ht="15.75" customHeight="1">
      <c r="A266" s="22" t="s">
        <v>10095</v>
      </c>
      <c r="B266" s="22" t="s">
        <v>10096</v>
      </c>
      <c r="C266" s="22" t="s">
        <v>10097</v>
      </c>
      <c r="D266" s="22" t="s">
        <v>10098</v>
      </c>
      <c r="E266" s="22" t="s">
        <v>10099</v>
      </c>
      <c r="F266" s="22" t="s">
        <v>10100</v>
      </c>
      <c r="G266" s="22" t="s">
        <v>10101</v>
      </c>
      <c r="H266" s="22" t="s">
        <v>8079</v>
      </c>
      <c r="I266" s="22" t="s">
        <v>8080</v>
      </c>
      <c r="J266" s="22" t="s">
        <v>10102</v>
      </c>
      <c r="K266" s="22" t="s">
        <v>8038</v>
      </c>
      <c r="L266" s="22" t="s">
        <v>8039</v>
      </c>
      <c r="M266" s="22" t="s">
        <v>10103</v>
      </c>
      <c r="N266" s="22"/>
    </row>
    <row r="267" ht="15.75" customHeight="1">
      <c r="A267" s="20" t="s">
        <v>8409</v>
      </c>
      <c r="B267" s="20" t="s">
        <v>10104</v>
      </c>
      <c r="C267" s="20" t="s">
        <v>10105</v>
      </c>
      <c r="D267" s="20" t="s">
        <v>10106</v>
      </c>
      <c r="E267" s="20" t="s">
        <v>10107</v>
      </c>
      <c r="F267" s="20" t="s">
        <v>10108</v>
      </c>
      <c r="G267" s="20" t="s">
        <v>10109</v>
      </c>
      <c r="H267" s="20" t="s">
        <v>8169</v>
      </c>
      <c r="I267" s="20" t="s">
        <v>8067</v>
      </c>
      <c r="J267" s="20" t="s">
        <v>10110</v>
      </c>
      <c r="K267" s="20" t="s">
        <v>8038</v>
      </c>
      <c r="L267" s="21" t="s">
        <v>8091</v>
      </c>
      <c r="M267" s="21" t="s">
        <v>10111</v>
      </c>
      <c r="N267" s="21" t="s">
        <v>10112</v>
      </c>
    </row>
    <row r="268" ht="15.75" customHeight="1">
      <c r="A268" s="22" t="s">
        <v>10113</v>
      </c>
      <c r="B268" s="22" t="s">
        <v>10114</v>
      </c>
      <c r="C268" s="22" t="s">
        <v>10115</v>
      </c>
      <c r="D268" s="22" t="s">
        <v>10116</v>
      </c>
      <c r="E268" s="22" t="s">
        <v>10117</v>
      </c>
      <c r="F268" s="22" t="s">
        <v>10118</v>
      </c>
      <c r="G268" s="22" t="s">
        <v>8036</v>
      </c>
      <c r="H268" s="22" t="s">
        <v>8036</v>
      </c>
      <c r="I268" s="22" t="s">
        <v>8036</v>
      </c>
      <c r="J268" s="22" t="s">
        <v>10119</v>
      </c>
      <c r="K268" s="22" t="s">
        <v>8038</v>
      </c>
      <c r="L268" s="22" t="s">
        <v>8091</v>
      </c>
      <c r="M268" s="22" t="s">
        <v>8681</v>
      </c>
      <c r="N268" s="22"/>
    </row>
    <row r="269" ht="15.75" customHeight="1">
      <c r="A269" s="20" t="s">
        <v>10120</v>
      </c>
      <c r="B269" s="20" t="s">
        <v>10121</v>
      </c>
      <c r="C269" s="20" t="s">
        <v>10122</v>
      </c>
      <c r="D269" s="20" t="s">
        <v>10123</v>
      </c>
      <c r="E269" s="20" t="s">
        <v>10124</v>
      </c>
      <c r="F269" s="20" t="s">
        <v>10125</v>
      </c>
      <c r="G269" s="20" t="s">
        <v>10126</v>
      </c>
      <c r="H269" s="20" t="s">
        <v>8191</v>
      </c>
      <c r="I269" s="20" t="s">
        <v>8192</v>
      </c>
      <c r="J269" s="20" t="s">
        <v>10127</v>
      </c>
      <c r="K269" s="20" t="s">
        <v>8038</v>
      </c>
      <c r="L269" s="21" t="s">
        <v>10128</v>
      </c>
      <c r="M269" s="21" t="s">
        <v>10129</v>
      </c>
      <c r="N269" s="21"/>
    </row>
    <row r="270" ht="15.75" customHeight="1">
      <c r="A270" s="22" t="s">
        <v>8203</v>
      </c>
      <c r="B270" s="22" t="s">
        <v>10130</v>
      </c>
      <c r="C270" s="22" t="s">
        <v>10131</v>
      </c>
      <c r="D270" s="22" t="s">
        <v>10132</v>
      </c>
      <c r="E270" s="22" t="s">
        <v>10133</v>
      </c>
      <c r="F270" s="22" t="s">
        <v>10134</v>
      </c>
      <c r="G270" s="22" t="s">
        <v>8497</v>
      </c>
      <c r="H270" s="22" t="s">
        <v>8497</v>
      </c>
      <c r="I270" s="22" t="s">
        <v>8108</v>
      </c>
      <c r="J270" s="22" t="s">
        <v>10135</v>
      </c>
      <c r="K270" s="22" t="s">
        <v>8038</v>
      </c>
      <c r="L270" s="22" t="s">
        <v>8069</v>
      </c>
      <c r="M270" s="22" t="s">
        <v>10136</v>
      </c>
      <c r="N270" s="22"/>
    </row>
    <row r="271" ht="15.75" customHeight="1">
      <c r="A271" s="20" t="s">
        <v>9527</v>
      </c>
      <c r="B271" s="20" t="s">
        <v>10137</v>
      </c>
      <c r="C271" s="20" t="s">
        <v>10138</v>
      </c>
      <c r="D271" s="20" t="s">
        <v>10139</v>
      </c>
      <c r="E271" s="20" t="s">
        <v>10140</v>
      </c>
      <c r="F271" s="20" t="s">
        <v>10141</v>
      </c>
      <c r="G271" s="20" t="s">
        <v>8467</v>
      </c>
      <c r="H271" s="20" t="s">
        <v>8467</v>
      </c>
      <c r="I271" s="20" t="s">
        <v>8467</v>
      </c>
      <c r="J271" s="20" t="s">
        <v>10142</v>
      </c>
      <c r="K271" s="20" t="s">
        <v>8038</v>
      </c>
      <c r="L271" s="21" t="s">
        <v>8091</v>
      </c>
      <c r="M271" s="21" t="s">
        <v>9511</v>
      </c>
      <c r="N271" s="21"/>
    </row>
    <row r="272" ht="15.75" customHeight="1">
      <c r="A272" s="22" t="s">
        <v>10143</v>
      </c>
      <c r="B272" s="22" t="s">
        <v>10144</v>
      </c>
      <c r="C272" s="22" t="s">
        <v>10145</v>
      </c>
      <c r="D272" s="22" t="s">
        <v>10146</v>
      </c>
      <c r="E272" s="22" t="s">
        <v>10147</v>
      </c>
      <c r="F272" s="22" t="s">
        <v>10148</v>
      </c>
      <c r="G272" s="22" t="s">
        <v>10149</v>
      </c>
      <c r="H272" s="22" t="s">
        <v>8036</v>
      </c>
      <c r="I272" s="22" t="s">
        <v>8036</v>
      </c>
      <c r="J272" s="22" t="s">
        <v>10150</v>
      </c>
      <c r="K272" s="22" t="s">
        <v>8038</v>
      </c>
      <c r="L272" s="22" t="s">
        <v>9842</v>
      </c>
      <c r="M272" s="22" t="s">
        <v>8673</v>
      </c>
      <c r="N272" s="22"/>
    </row>
    <row r="273" ht="15.75" customHeight="1">
      <c r="A273" s="20" t="s">
        <v>8185</v>
      </c>
      <c r="B273" s="20" t="s">
        <v>10151</v>
      </c>
      <c r="C273" s="20" t="s">
        <v>10152</v>
      </c>
      <c r="D273" s="20" t="s">
        <v>2672</v>
      </c>
      <c r="E273" s="20" t="s">
        <v>2673</v>
      </c>
      <c r="F273" s="20" t="s">
        <v>10153</v>
      </c>
      <c r="G273" s="20" t="s">
        <v>8860</v>
      </c>
      <c r="H273" s="20" t="s">
        <v>8036</v>
      </c>
      <c r="I273" s="20" t="s">
        <v>8036</v>
      </c>
      <c r="J273" s="20" t="s">
        <v>10154</v>
      </c>
      <c r="K273" s="20" t="s">
        <v>8038</v>
      </c>
      <c r="L273" s="21" t="s">
        <v>8441</v>
      </c>
      <c r="M273" s="21" t="s">
        <v>10155</v>
      </c>
      <c r="N273" s="21"/>
    </row>
    <row r="274" ht="15.75" customHeight="1">
      <c r="A274" s="22" t="s">
        <v>10156</v>
      </c>
      <c r="B274" s="22" t="s">
        <v>10157</v>
      </c>
      <c r="C274" s="22" t="s">
        <v>10158</v>
      </c>
      <c r="D274" s="22" t="s">
        <v>10159</v>
      </c>
      <c r="E274" s="22" t="s">
        <v>10160</v>
      </c>
      <c r="F274" s="22" t="s">
        <v>10161</v>
      </c>
      <c r="G274" s="22" t="s">
        <v>8036</v>
      </c>
      <c r="H274" s="22" t="s">
        <v>8036</v>
      </c>
      <c r="I274" s="22" t="s">
        <v>8036</v>
      </c>
      <c r="J274" s="22" t="s">
        <v>10162</v>
      </c>
      <c r="K274" s="22" t="s">
        <v>8038</v>
      </c>
      <c r="L274" s="22" t="s">
        <v>8091</v>
      </c>
      <c r="M274" s="22" t="s">
        <v>8854</v>
      </c>
      <c r="N274" s="22"/>
    </row>
    <row r="275" ht="15.75" customHeight="1">
      <c r="A275" s="20" t="s">
        <v>8030</v>
      </c>
      <c r="B275" s="20" t="s">
        <v>10163</v>
      </c>
      <c r="C275" s="20" t="s">
        <v>10164</v>
      </c>
      <c r="D275" s="20" t="s">
        <v>10165</v>
      </c>
      <c r="E275" s="20" t="s">
        <v>10166</v>
      </c>
      <c r="F275" s="20" t="s">
        <v>10167</v>
      </c>
      <c r="G275" s="20" t="s">
        <v>8036</v>
      </c>
      <c r="H275" s="20" t="s">
        <v>8036</v>
      </c>
      <c r="I275" s="20" t="s">
        <v>8036</v>
      </c>
      <c r="J275" s="20" t="s">
        <v>10168</v>
      </c>
      <c r="K275" s="20" t="s">
        <v>8038</v>
      </c>
      <c r="L275" s="21" t="s">
        <v>8426</v>
      </c>
      <c r="M275" s="21" t="s">
        <v>8815</v>
      </c>
      <c r="N275" s="21"/>
    </row>
    <row r="276" ht="15.75" customHeight="1">
      <c r="A276" s="22" t="s">
        <v>10169</v>
      </c>
      <c r="B276" s="22" t="s">
        <v>10170</v>
      </c>
      <c r="C276" s="22" t="s">
        <v>10171</v>
      </c>
      <c r="D276" s="22" t="s">
        <v>10172</v>
      </c>
      <c r="E276" s="22" t="s">
        <v>10173</v>
      </c>
      <c r="F276" s="22" t="s">
        <v>10174</v>
      </c>
      <c r="G276" s="22" t="s">
        <v>8089</v>
      </c>
      <c r="H276" s="22" t="s">
        <v>8036</v>
      </c>
      <c r="I276" s="22" t="s">
        <v>8036</v>
      </c>
      <c r="J276" s="22" t="s">
        <v>10175</v>
      </c>
      <c r="K276" s="22" t="s">
        <v>8038</v>
      </c>
      <c r="L276" s="22" t="s">
        <v>9980</v>
      </c>
      <c r="M276" s="22" t="s">
        <v>8092</v>
      </c>
      <c r="N276" s="22" t="s">
        <v>10176</v>
      </c>
    </row>
    <row r="277" ht="15.75" customHeight="1">
      <c r="A277" s="20" t="s">
        <v>9133</v>
      </c>
      <c r="B277" s="20" t="s">
        <v>10177</v>
      </c>
      <c r="C277" s="20" t="s">
        <v>9135</v>
      </c>
      <c r="D277" s="20" t="s">
        <v>10178</v>
      </c>
      <c r="E277" s="20"/>
      <c r="F277" s="20" t="s">
        <v>8200</v>
      </c>
      <c r="G277" s="20" t="s">
        <v>8036</v>
      </c>
      <c r="H277" s="20" t="s">
        <v>8036</v>
      </c>
      <c r="I277" s="20" t="s">
        <v>8036</v>
      </c>
      <c r="J277" s="20" t="s">
        <v>8201</v>
      </c>
      <c r="K277" s="20" t="s">
        <v>8038</v>
      </c>
      <c r="L277" s="21" t="s">
        <v>8069</v>
      </c>
      <c r="M277" s="21" t="s">
        <v>8202</v>
      </c>
      <c r="N277" s="21"/>
    </row>
    <row r="278" ht="15.75" customHeight="1">
      <c r="A278" s="22" t="s">
        <v>10179</v>
      </c>
      <c r="B278" s="22" t="s">
        <v>10180</v>
      </c>
      <c r="C278" s="22" t="s">
        <v>10181</v>
      </c>
      <c r="D278" s="22" t="s">
        <v>10182</v>
      </c>
      <c r="E278" s="22" t="s">
        <v>10183</v>
      </c>
      <c r="F278" s="22" t="s">
        <v>10184</v>
      </c>
      <c r="G278" s="22" t="s">
        <v>10185</v>
      </c>
      <c r="H278" s="22" t="s">
        <v>8218</v>
      </c>
      <c r="I278" s="22" t="s">
        <v>8219</v>
      </c>
      <c r="J278" s="22" t="s">
        <v>10186</v>
      </c>
      <c r="K278" s="22" t="s">
        <v>8038</v>
      </c>
      <c r="L278" s="22" t="s">
        <v>8091</v>
      </c>
      <c r="M278" s="22" t="s">
        <v>10187</v>
      </c>
      <c r="N278" s="22"/>
    </row>
    <row r="279" ht="15.75" customHeight="1">
      <c r="A279" s="20" t="s">
        <v>8703</v>
      </c>
      <c r="B279" s="20" t="s">
        <v>10188</v>
      </c>
      <c r="C279" s="20" t="s">
        <v>10189</v>
      </c>
      <c r="D279" s="20" t="s">
        <v>10190</v>
      </c>
      <c r="E279" s="20" t="s">
        <v>10191</v>
      </c>
      <c r="F279" s="20" t="s">
        <v>10192</v>
      </c>
      <c r="G279" s="20" t="s">
        <v>8036</v>
      </c>
      <c r="H279" s="20" t="s">
        <v>8036</v>
      </c>
      <c r="I279" s="20" t="s">
        <v>8036</v>
      </c>
      <c r="J279" s="20" t="s">
        <v>10193</v>
      </c>
      <c r="K279" s="20" t="s">
        <v>8038</v>
      </c>
      <c r="L279" s="21" t="s">
        <v>8091</v>
      </c>
      <c r="M279" s="21" t="s">
        <v>9382</v>
      </c>
      <c r="N279" s="21"/>
    </row>
    <row r="280" ht="15.75" customHeight="1">
      <c r="A280" s="22" t="s">
        <v>10194</v>
      </c>
      <c r="B280" s="22" t="s">
        <v>10195</v>
      </c>
      <c r="C280" s="22" t="s">
        <v>10196</v>
      </c>
      <c r="D280" s="22" t="s">
        <v>10197</v>
      </c>
      <c r="E280" s="22" t="s">
        <v>10198</v>
      </c>
      <c r="F280" s="22"/>
      <c r="G280" s="22" t="s">
        <v>10199</v>
      </c>
      <c r="H280" s="22" t="s">
        <v>8431</v>
      </c>
      <c r="I280" s="22" t="s">
        <v>8056</v>
      </c>
      <c r="J280" s="22" t="s">
        <v>10200</v>
      </c>
      <c r="K280" s="22" t="s">
        <v>8038</v>
      </c>
      <c r="L280" s="22" t="s">
        <v>8091</v>
      </c>
      <c r="M280" s="22" t="s">
        <v>10201</v>
      </c>
      <c r="N280" s="22"/>
    </row>
    <row r="281" ht="15.75" customHeight="1">
      <c r="A281" s="20" t="s">
        <v>8072</v>
      </c>
      <c r="B281" s="20" t="s">
        <v>10202</v>
      </c>
      <c r="C281" s="20" t="s">
        <v>10203</v>
      </c>
      <c r="D281" s="20" t="s">
        <v>10204</v>
      </c>
      <c r="E281" s="20" t="s">
        <v>10205</v>
      </c>
      <c r="F281" s="20" t="s">
        <v>10206</v>
      </c>
      <c r="G281" s="20" t="s">
        <v>8467</v>
      </c>
      <c r="H281" s="20" t="s">
        <v>8467</v>
      </c>
      <c r="I281" s="20" t="s">
        <v>8467</v>
      </c>
      <c r="J281" s="20" t="s">
        <v>10207</v>
      </c>
      <c r="K281" s="20" t="s">
        <v>8038</v>
      </c>
      <c r="L281" s="21" t="s">
        <v>8069</v>
      </c>
      <c r="M281" s="21" t="s">
        <v>10208</v>
      </c>
      <c r="N281" s="21"/>
    </row>
    <row r="282" ht="15.75" customHeight="1">
      <c r="A282" s="22" t="s">
        <v>10194</v>
      </c>
      <c r="B282" s="22" t="s">
        <v>10209</v>
      </c>
      <c r="C282" s="22" t="s">
        <v>10210</v>
      </c>
      <c r="D282" s="22" t="s">
        <v>10211</v>
      </c>
      <c r="E282" s="22" t="s">
        <v>10212</v>
      </c>
      <c r="F282" s="22" t="s">
        <v>10213</v>
      </c>
      <c r="G282" s="22" t="s">
        <v>8616</v>
      </c>
      <c r="H282" s="22" t="s">
        <v>8617</v>
      </c>
      <c r="I282" s="22" t="s">
        <v>8617</v>
      </c>
      <c r="J282" s="22" t="s">
        <v>10214</v>
      </c>
      <c r="K282" s="22" t="s">
        <v>8038</v>
      </c>
      <c r="L282" s="22" t="s">
        <v>10215</v>
      </c>
      <c r="M282" s="22" t="s">
        <v>10216</v>
      </c>
      <c r="N282" s="22"/>
    </row>
    <row r="283" ht="15.75" customHeight="1">
      <c r="A283" s="20" t="s">
        <v>10217</v>
      </c>
      <c r="B283" s="20" t="s">
        <v>10218</v>
      </c>
      <c r="C283" s="20" t="s">
        <v>10219</v>
      </c>
      <c r="D283" s="20" t="s">
        <v>10220</v>
      </c>
      <c r="E283" s="20" t="s">
        <v>10221</v>
      </c>
      <c r="F283" s="20" t="s">
        <v>10222</v>
      </c>
      <c r="G283" s="20" t="s">
        <v>10223</v>
      </c>
      <c r="H283" s="20" t="s">
        <v>8617</v>
      </c>
      <c r="I283" s="20" t="s">
        <v>8617</v>
      </c>
      <c r="J283" s="20" t="s">
        <v>10224</v>
      </c>
      <c r="K283" s="20" t="s">
        <v>8038</v>
      </c>
      <c r="L283" s="21" t="s">
        <v>10225</v>
      </c>
      <c r="M283" s="21" t="s">
        <v>10226</v>
      </c>
      <c r="N283" s="21"/>
    </row>
    <row r="284" ht="15.75" customHeight="1">
      <c r="A284" s="22" t="s">
        <v>10227</v>
      </c>
      <c r="B284" s="22" t="s">
        <v>10228</v>
      </c>
      <c r="C284" s="22" t="s">
        <v>10229</v>
      </c>
      <c r="D284" s="22" t="s">
        <v>10230</v>
      </c>
      <c r="E284" s="22" t="s">
        <v>10231</v>
      </c>
      <c r="F284" s="22"/>
      <c r="G284" s="22" t="s">
        <v>10232</v>
      </c>
      <c r="H284" s="22" t="s">
        <v>8079</v>
      </c>
      <c r="I284" s="22" t="s">
        <v>8080</v>
      </c>
      <c r="J284" s="22" t="s">
        <v>10233</v>
      </c>
      <c r="K284" s="22" t="s">
        <v>8038</v>
      </c>
      <c r="L284" s="22" t="s">
        <v>8393</v>
      </c>
      <c r="M284" s="22" t="s">
        <v>10234</v>
      </c>
      <c r="N284" s="22"/>
    </row>
    <row r="285" ht="15.75" customHeight="1">
      <c r="A285" s="20" t="s">
        <v>10235</v>
      </c>
      <c r="B285" s="20" t="s">
        <v>10236</v>
      </c>
      <c r="C285" s="20" t="s">
        <v>10237</v>
      </c>
      <c r="D285" s="20" t="s">
        <v>10238</v>
      </c>
      <c r="E285" s="20" t="s">
        <v>10239</v>
      </c>
      <c r="F285" s="20" t="s">
        <v>10240</v>
      </c>
      <c r="G285" s="20" t="s">
        <v>10241</v>
      </c>
      <c r="H285" s="20" t="s">
        <v>9420</v>
      </c>
      <c r="I285" s="20" t="s">
        <v>8056</v>
      </c>
      <c r="J285" s="20" t="s">
        <v>10242</v>
      </c>
      <c r="K285" s="20" t="s">
        <v>8038</v>
      </c>
      <c r="L285" s="21" t="s">
        <v>9552</v>
      </c>
      <c r="M285" s="21" t="s">
        <v>10243</v>
      </c>
      <c r="N285" s="21"/>
    </row>
    <row r="286" ht="15.75" customHeight="1">
      <c r="A286" s="22" t="s">
        <v>8403</v>
      </c>
      <c r="B286" s="22" t="s">
        <v>10244</v>
      </c>
      <c r="C286" s="22" t="s">
        <v>10245</v>
      </c>
      <c r="D286" s="22" t="s">
        <v>10246</v>
      </c>
      <c r="E286" s="22" t="s">
        <v>10247</v>
      </c>
      <c r="F286" s="22"/>
      <c r="G286" s="22" t="s">
        <v>8036</v>
      </c>
      <c r="H286" s="22" t="s">
        <v>8036</v>
      </c>
      <c r="I286" s="22" t="s">
        <v>8036</v>
      </c>
      <c r="J286" s="22" t="s">
        <v>10248</v>
      </c>
      <c r="K286" s="22" t="s">
        <v>8038</v>
      </c>
      <c r="L286" s="22" t="s">
        <v>10249</v>
      </c>
      <c r="M286" s="22" t="s">
        <v>9336</v>
      </c>
      <c r="N286" s="22"/>
    </row>
    <row r="287" ht="15.75" customHeight="1">
      <c r="A287" s="20" t="s">
        <v>10250</v>
      </c>
      <c r="B287" s="20" t="s">
        <v>10251</v>
      </c>
      <c r="C287" s="20" t="s">
        <v>10252</v>
      </c>
      <c r="D287" s="20" t="s">
        <v>10253</v>
      </c>
      <c r="E287" s="20" t="s">
        <v>10254</v>
      </c>
      <c r="F287" s="20" t="s">
        <v>10255</v>
      </c>
      <c r="G287" s="20" t="s">
        <v>8616</v>
      </c>
      <c r="H287" s="20" t="s">
        <v>8617</v>
      </c>
      <c r="I287" s="20" t="s">
        <v>8617</v>
      </c>
      <c r="J287" s="20" t="s">
        <v>10256</v>
      </c>
      <c r="K287" s="20" t="s">
        <v>8038</v>
      </c>
      <c r="L287" s="21" t="s">
        <v>10257</v>
      </c>
      <c r="M287" s="21" t="s">
        <v>10258</v>
      </c>
      <c r="N287" s="21" t="s">
        <v>10259</v>
      </c>
    </row>
    <row r="288" ht="15.75" customHeight="1">
      <c r="A288" s="22" t="s">
        <v>10260</v>
      </c>
      <c r="B288" s="22" t="s">
        <v>10261</v>
      </c>
      <c r="C288" s="22" t="s">
        <v>10262</v>
      </c>
      <c r="D288" s="22" t="s">
        <v>10263</v>
      </c>
      <c r="E288" s="22" t="s">
        <v>10264</v>
      </c>
      <c r="F288" s="22" t="s">
        <v>10265</v>
      </c>
      <c r="G288" s="22" t="s">
        <v>8036</v>
      </c>
      <c r="H288" s="22" t="s">
        <v>8036</v>
      </c>
      <c r="I288" s="22" t="s">
        <v>8036</v>
      </c>
      <c r="J288" s="22" t="s">
        <v>10266</v>
      </c>
      <c r="K288" s="22" t="s">
        <v>8038</v>
      </c>
      <c r="L288" s="22" t="s">
        <v>8039</v>
      </c>
      <c r="M288" s="22" t="s">
        <v>9336</v>
      </c>
      <c r="N288" s="22"/>
    </row>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K1"/>
    <mergeCell ref="L1:N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0"/>
    <col customWidth="1" min="2" max="2" width="32.0"/>
    <col customWidth="1" min="3" max="3" width="18.0"/>
    <col customWidth="1" min="4" max="4" width="32.0"/>
    <col customWidth="1" min="5" max="6" width="18.0"/>
    <col customWidth="1" min="7" max="7" width="32.0"/>
    <col customWidth="1" min="8" max="9" width="18.0"/>
    <col customWidth="1" min="10" max="10" width="30.0"/>
    <col customWidth="1" min="11" max="11" width="18.0"/>
    <col customWidth="1" min="12" max="12" width="32.0"/>
    <col customWidth="1" min="13" max="14" width="18.0"/>
    <col customWidth="1" min="15" max="15" width="32.0"/>
    <col customWidth="1" min="16" max="26" width="8.71"/>
  </cols>
  <sheetData>
    <row r="1" ht="21.75" customHeight="1">
      <c r="A1" s="14" t="s">
        <v>2</v>
      </c>
      <c r="B1" s="15"/>
      <c r="C1" s="15"/>
      <c r="D1" s="15"/>
      <c r="E1" s="15"/>
      <c r="F1" s="15"/>
      <c r="G1" s="15"/>
      <c r="H1" s="15"/>
      <c r="I1" s="16"/>
      <c r="J1" s="17" t="s">
        <v>43</v>
      </c>
      <c r="K1" s="15"/>
      <c r="L1" s="15"/>
      <c r="M1" s="15"/>
      <c r="N1" s="15"/>
      <c r="O1" s="16"/>
    </row>
    <row r="2" ht="27.75" customHeight="1">
      <c r="A2" s="18" t="s">
        <v>6</v>
      </c>
      <c r="B2" s="18" t="s">
        <v>12</v>
      </c>
      <c r="C2" s="18" t="s">
        <v>14</v>
      </c>
      <c r="D2" s="18" t="s">
        <v>16</v>
      </c>
      <c r="E2" s="18" t="s">
        <v>18</v>
      </c>
      <c r="F2" s="18" t="s">
        <v>20</v>
      </c>
      <c r="G2" s="18" t="s">
        <v>24</v>
      </c>
      <c r="H2" s="18" t="s">
        <v>26</v>
      </c>
      <c r="I2" s="18" t="s">
        <v>28</v>
      </c>
      <c r="J2" s="19" t="s">
        <v>10267</v>
      </c>
      <c r="K2" s="19" t="s">
        <v>10268</v>
      </c>
      <c r="L2" s="19" t="s">
        <v>10269</v>
      </c>
      <c r="M2" s="19" t="s">
        <v>10270</v>
      </c>
      <c r="N2" s="19" t="s">
        <v>10271</v>
      </c>
      <c r="O2" s="19" t="s">
        <v>10272</v>
      </c>
    </row>
    <row r="3">
      <c r="A3" s="23" t="s">
        <v>10273</v>
      </c>
      <c r="B3" s="23" t="s">
        <v>10274</v>
      </c>
      <c r="C3" s="23" t="s">
        <v>10275</v>
      </c>
      <c r="D3" s="23" t="s">
        <v>10276</v>
      </c>
      <c r="E3" s="23" t="s">
        <v>55</v>
      </c>
      <c r="F3" s="23" t="s">
        <v>55</v>
      </c>
      <c r="G3" s="23" t="s">
        <v>10277</v>
      </c>
      <c r="H3" s="23" t="s">
        <v>10278</v>
      </c>
      <c r="I3" s="23" t="s">
        <v>10279</v>
      </c>
      <c r="J3" s="23" t="s">
        <v>10280</v>
      </c>
      <c r="K3" s="23" t="s">
        <v>10281</v>
      </c>
      <c r="L3" s="23" t="s">
        <v>10282</v>
      </c>
      <c r="M3" s="23" t="s">
        <v>10283</v>
      </c>
      <c r="N3" s="23" t="s">
        <v>10284</v>
      </c>
      <c r="O3" s="23" t="s">
        <v>10285</v>
      </c>
      <c r="P3" s="24"/>
      <c r="Q3" s="24"/>
      <c r="R3" s="24"/>
      <c r="S3" s="24"/>
      <c r="T3" s="24"/>
      <c r="U3" s="24"/>
      <c r="V3" s="24"/>
      <c r="W3" s="24"/>
      <c r="X3" s="24"/>
      <c r="Y3" s="24"/>
      <c r="Z3" s="24"/>
    </row>
    <row r="4">
      <c r="A4" s="23" t="s">
        <v>10286</v>
      </c>
      <c r="B4" s="23" t="s">
        <v>10287</v>
      </c>
      <c r="C4" s="23" t="s">
        <v>10288</v>
      </c>
      <c r="D4" s="23" t="s">
        <v>10289</v>
      </c>
      <c r="E4" s="23" t="s">
        <v>55</v>
      </c>
      <c r="F4" s="23" t="s">
        <v>55</v>
      </c>
      <c r="G4" s="23" t="s">
        <v>10290</v>
      </c>
      <c r="H4" s="23" t="s">
        <v>10291</v>
      </c>
      <c r="I4" s="23" t="s">
        <v>10279</v>
      </c>
      <c r="J4" s="23" t="s">
        <v>10292</v>
      </c>
      <c r="K4" s="23"/>
      <c r="L4" s="23"/>
      <c r="M4" s="23"/>
      <c r="N4" s="23"/>
      <c r="O4" s="23"/>
      <c r="P4" s="24"/>
      <c r="Q4" s="24"/>
      <c r="R4" s="24"/>
      <c r="S4" s="24"/>
      <c r="T4" s="24"/>
      <c r="U4" s="24"/>
      <c r="V4" s="24"/>
      <c r="W4" s="24"/>
      <c r="X4" s="24"/>
      <c r="Y4" s="24"/>
      <c r="Z4" s="24"/>
    </row>
    <row r="5">
      <c r="A5" s="23" t="s">
        <v>10293</v>
      </c>
      <c r="B5" s="23" t="s">
        <v>10294</v>
      </c>
      <c r="C5" s="23" t="s">
        <v>10295</v>
      </c>
      <c r="D5" s="23" t="s">
        <v>10296</v>
      </c>
      <c r="E5" s="23" t="s">
        <v>10297</v>
      </c>
      <c r="F5" s="23" t="s">
        <v>759</v>
      </c>
      <c r="G5" s="23" t="s">
        <v>10298</v>
      </c>
      <c r="H5" s="23"/>
      <c r="I5" s="23" t="s">
        <v>10279</v>
      </c>
      <c r="J5" s="23" t="s">
        <v>10299</v>
      </c>
      <c r="K5" s="23"/>
      <c r="L5" s="23"/>
      <c r="M5" s="23"/>
      <c r="N5" s="23"/>
      <c r="O5" s="23"/>
      <c r="P5" s="24"/>
      <c r="Q5" s="24"/>
      <c r="R5" s="24"/>
      <c r="S5" s="24"/>
      <c r="T5" s="24"/>
      <c r="U5" s="24"/>
      <c r="V5" s="24"/>
      <c r="W5" s="24"/>
      <c r="X5" s="24"/>
      <c r="Y5" s="24"/>
      <c r="Z5" s="24"/>
    </row>
    <row r="6">
      <c r="A6" s="23" t="s">
        <v>10300</v>
      </c>
      <c r="B6" s="23" t="s">
        <v>10301</v>
      </c>
      <c r="C6" s="23" t="s">
        <v>10302</v>
      </c>
      <c r="D6" s="23" t="s">
        <v>10303</v>
      </c>
      <c r="E6" s="23" t="s">
        <v>10304</v>
      </c>
      <c r="F6" s="23" t="s">
        <v>231</v>
      </c>
      <c r="G6" s="23" t="s">
        <v>10305</v>
      </c>
      <c r="H6" s="23" t="s">
        <v>10306</v>
      </c>
      <c r="I6" s="23" t="s">
        <v>10279</v>
      </c>
      <c r="J6" s="23" t="s">
        <v>10307</v>
      </c>
      <c r="K6" s="23"/>
      <c r="L6" s="23"/>
      <c r="M6" s="23"/>
      <c r="N6" s="23"/>
      <c r="O6" s="23"/>
      <c r="P6" s="24"/>
      <c r="Q6" s="24"/>
      <c r="R6" s="24"/>
      <c r="S6" s="24"/>
      <c r="T6" s="24"/>
      <c r="U6" s="24"/>
      <c r="V6" s="24"/>
      <c r="W6" s="24"/>
      <c r="X6" s="24"/>
      <c r="Y6" s="24"/>
      <c r="Z6" s="24"/>
    </row>
    <row r="7">
      <c r="A7" s="23" t="s">
        <v>10308</v>
      </c>
      <c r="B7" s="23" t="s">
        <v>10309</v>
      </c>
      <c r="C7" s="23" t="s">
        <v>10310</v>
      </c>
      <c r="D7" s="23" t="s">
        <v>10311</v>
      </c>
      <c r="E7" s="23" t="s">
        <v>55</v>
      </c>
      <c r="F7" s="23" t="s">
        <v>55</v>
      </c>
      <c r="G7" s="23" t="s">
        <v>10312</v>
      </c>
      <c r="H7" s="23" t="s">
        <v>10313</v>
      </c>
      <c r="I7" s="23" t="s">
        <v>10279</v>
      </c>
      <c r="J7" s="23" t="s">
        <v>10314</v>
      </c>
      <c r="K7" s="23"/>
      <c r="L7" s="23"/>
      <c r="M7" s="23"/>
      <c r="N7" s="23"/>
      <c r="O7" s="23"/>
      <c r="P7" s="24"/>
      <c r="Q7" s="24"/>
      <c r="R7" s="24"/>
      <c r="S7" s="24"/>
      <c r="T7" s="24"/>
      <c r="U7" s="24"/>
      <c r="V7" s="24"/>
      <c r="W7" s="24"/>
      <c r="X7" s="24"/>
      <c r="Y7" s="24"/>
      <c r="Z7" s="24"/>
    </row>
    <row r="8">
      <c r="A8" s="23" t="s">
        <v>10315</v>
      </c>
      <c r="B8" s="23" t="s">
        <v>10316</v>
      </c>
      <c r="C8" s="23" t="s">
        <v>10317</v>
      </c>
      <c r="D8" s="23" t="s">
        <v>10318</v>
      </c>
      <c r="E8" s="23" t="s">
        <v>55</v>
      </c>
      <c r="F8" s="23" t="s">
        <v>55</v>
      </c>
      <c r="G8" s="23" t="s">
        <v>10319</v>
      </c>
      <c r="H8" s="23" t="s">
        <v>10320</v>
      </c>
      <c r="I8" s="23" t="s">
        <v>10279</v>
      </c>
      <c r="J8" s="23" t="s">
        <v>10321</v>
      </c>
      <c r="K8" s="23"/>
      <c r="L8" s="23"/>
      <c r="M8" s="23"/>
      <c r="N8" s="23"/>
      <c r="O8" s="23"/>
      <c r="P8" s="24"/>
      <c r="Q8" s="24"/>
      <c r="R8" s="24"/>
      <c r="S8" s="24"/>
      <c r="T8" s="24"/>
      <c r="U8" s="24"/>
      <c r="V8" s="24"/>
      <c r="W8" s="24"/>
      <c r="X8" s="24"/>
      <c r="Y8" s="24"/>
      <c r="Z8" s="24"/>
    </row>
    <row r="9">
      <c r="A9" s="23" t="s">
        <v>10322</v>
      </c>
      <c r="B9" s="23" t="s">
        <v>10323</v>
      </c>
      <c r="C9" s="23" t="s">
        <v>10324</v>
      </c>
      <c r="D9" s="23" t="s">
        <v>10325</v>
      </c>
      <c r="E9" s="23" t="s">
        <v>4660</v>
      </c>
      <c r="F9" s="23" t="s">
        <v>1462</v>
      </c>
      <c r="G9" s="23" t="s">
        <v>10326</v>
      </c>
      <c r="H9" s="23" t="s">
        <v>10327</v>
      </c>
      <c r="I9" s="23" t="s">
        <v>10279</v>
      </c>
      <c r="J9" s="23" t="s">
        <v>10328</v>
      </c>
      <c r="K9" s="23"/>
      <c r="L9" s="23"/>
      <c r="M9" s="23"/>
      <c r="N9" s="23"/>
      <c r="O9" s="23"/>
      <c r="P9" s="24"/>
      <c r="Q9" s="24"/>
      <c r="R9" s="24"/>
      <c r="S9" s="24"/>
      <c r="T9" s="24"/>
      <c r="U9" s="24"/>
      <c r="V9" s="24"/>
      <c r="W9" s="24"/>
      <c r="X9" s="24"/>
      <c r="Y9" s="24"/>
      <c r="Z9" s="24"/>
    </row>
    <row r="10">
      <c r="A10" s="23" t="s">
        <v>10329</v>
      </c>
      <c r="B10" s="23" t="s">
        <v>10330</v>
      </c>
      <c r="C10" s="23" t="s">
        <v>10331</v>
      </c>
      <c r="D10" s="23" t="s">
        <v>10332</v>
      </c>
      <c r="E10" s="23" t="s">
        <v>55</v>
      </c>
      <c r="F10" s="23" t="s">
        <v>55</v>
      </c>
      <c r="G10" s="23" t="s">
        <v>10333</v>
      </c>
      <c r="H10" s="23" t="s">
        <v>10334</v>
      </c>
      <c r="I10" s="23" t="s">
        <v>10279</v>
      </c>
      <c r="J10" s="23" t="s">
        <v>10280</v>
      </c>
      <c r="K10" s="23"/>
      <c r="L10" s="23"/>
      <c r="M10" s="23"/>
      <c r="N10" s="23"/>
      <c r="O10" s="23"/>
      <c r="P10" s="24"/>
      <c r="Q10" s="24"/>
      <c r="R10" s="24"/>
      <c r="S10" s="24"/>
      <c r="T10" s="24"/>
      <c r="U10" s="24"/>
      <c r="V10" s="24"/>
      <c r="W10" s="24"/>
      <c r="X10" s="24"/>
      <c r="Y10" s="24"/>
      <c r="Z10" s="24"/>
    </row>
    <row r="11">
      <c r="A11" s="23" t="s">
        <v>10335</v>
      </c>
      <c r="B11" s="23" t="s">
        <v>10336</v>
      </c>
      <c r="C11" s="23" t="s">
        <v>10337</v>
      </c>
      <c r="D11" s="23" t="s">
        <v>10338</v>
      </c>
      <c r="E11" s="23" t="s">
        <v>55</v>
      </c>
      <c r="F11" s="23" t="s">
        <v>55</v>
      </c>
      <c r="G11" s="23" t="s">
        <v>10339</v>
      </c>
      <c r="H11" s="23" t="s">
        <v>10340</v>
      </c>
      <c r="I11" s="23" t="s">
        <v>10279</v>
      </c>
      <c r="J11" s="23" t="s">
        <v>10341</v>
      </c>
      <c r="K11" s="23"/>
      <c r="L11" s="23"/>
      <c r="M11" s="23"/>
      <c r="N11" s="23"/>
      <c r="O11" s="23"/>
      <c r="P11" s="24"/>
      <c r="Q11" s="24"/>
      <c r="R11" s="24"/>
      <c r="S11" s="24"/>
      <c r="T11" s="24"/>
      <c r="U11" s="24"/>
      <c r="V11" s="24"/>
      <c r="W11" s="24"/>
      <c r="X11" s="24"/>
      <c r="Y11" s="24"/>
      <c r="Z11" s="24"/>
    </row>
    <row r="12">
      <c r="A12" s="23" t="s">
        <v>10342</v>
      </c>
      <c r="B12" s="23" t="s">
        <v>10343</v>
      </c>
      <c r="C12" s="23" t="s">
        <v>10344</v>
      </c>
      <c r="D12" s="23" t="s">
        <v>10345</v>
      </c>
      <c r="E12" s="23" t="s">
        <v>926</v>
      </c>
      <c r="F12" s="23" t="s">
        <v>926</v>
      </c>
      <c r="G12" s="23" t="s">
        <v>10346</v>
      </c>
      <c r="H12" s="23" t="s">
        <v>10347</v>
      </c>
      <c r="I12" s="23" t="s">
        <v>10279</v>
      </c>
      <c r="J12" s="23" t="s">
        <v>10348</v>
      </c>
      <c r="K12" s="23"/>
      <c r="L12" s="23"/>
      <c r="M12" s="23"/>
      <c r="N12" s="23"/>
      <c r="O12" s="23"/>
      <c r="P12" s="24"/>
      <c r="Q12" s="24"/>
      <c r="R12" s="24"/>
      <c r="S12" s="24"/>
      <c r="T12" s="24"/>
      <c r="U12" s="24"/>
      <c r="V12" s="24"/>
      <c r="W12" s="24"/>
      <c r="X12" s="24"/>
      <c r="Y12" s="24"/>
      <c r="Z12" s="24"/>
    </row>
    <row r="13">
      <c r="A13" s="23" t="s">
        <v>10349</v>
      </c>
      <c r="B13" s="23" t="s">
        <v>10350</v>
      </c>
      <c r="C13" s="23" t="s">
        <v>10351</v>
      </c>
      <c r="D13" s="23" t="s">
        <v>10352</v>
      </c>
      <c r="E13" s="23" t="s">
        <v>55</v>
      </c>
      <c r="F13" s="23" t="s">
        <v>55</v>
      </c>
      <c r="G13" s="23" t="s">
        <v>10353</v>
      </c>
      <c r="H13" s="23" t="s">
        <v>10354</v>
      </c>
      <c r="I13" s="23" t="s">
        <v>10279</v>
      </c>
      <c r="J13" s="23" t="s">
        <v>10280</v>
      </c>
      <c r="K13" s="23" t="s">
        <v>10355</v>
      </c>
      <c r="L13" s="23" t="s">
        <v>10356</v>
      </c>
      <c r="M13" s="23"/>
      <c r="N13" s="23"/>
      <c r="O13" s="23"/>
      <c r="P13" s="24"/>
      <c r="Q13" s="24"/>
      <c r="R13" s="24"/>
      <c r="S13" s="24"/>
      <c r="T13" s="24"/>
      <c r="U13" s="24"/>
      <c r="V13" s="24"/>
      <c r="W13" s="24"/>
      <c r="X13" s="24"/>
      <c r="Y13" s="24"/>
      <c r="Z13" s="24"/>
    </row>
    <row r="14">
      <c r="A14" s="23" t="s">
        <v>10357</v>
      </c>
      <c r="B14" s="23" t="s">
        <v>10358</v>
      </c>
      <c r="C14" s="23" t="s">
        <v>10359</v>
      </c>
      <c r="D14" s="23" t="s">
        <v>10360</v>
      </c>
      <c r="E14" s="23" t="s">
        <v>10361</v>
      </c>
      <c r="F14" s="23" t="s">
        <v>731</v>
      </c>
      <c r="G14" s="23" t="s">
        <v>10362</v>
      </c>
      <c r="H14" s="23" t="s">
        <v>10363</v>
      </c>
      <c r="I14" s="23" t="s">
        <v>10279</v>
      </c>
      <c r="J14" s="23" t="s">
        <v>10328</v>
      </c>
      <c r="K14" s="23" t="s">
        <v>10364</v>
      </c>
      <c r="L14" s="23" t="s">
        <v>10365</v>
      </c>
      <c r="M14" s="23" t="s">
        <v>10366</v>
      </c>
      <c r="N14" s="23"/>
      <c r="O14" s="23" t="s">
        <v>10367</v>
      </c>
      <c r="P14" s="24"/>
      <c r="Q14" s="24"/>
      <c r="R14" s="24"/>
      <c r="S14" s="24"/>
      <c r="T14" s="24"/>
      <c r="U14" s="24"/>
      <c r="V14" s="24"/>
      <c r="W14" s="24"/>
      <c r="X14" s="24"/>
      <c r="Y14" s="24"/>
      <c r="Z14" s="24"/>
    </row>
    <row r="15">
      <c r="A15" s="23" t="s">
        <v>10368</v>
      </c>
      <c r="B15" s="23" t="s">
        <v>10369</v>
      </c>
      <c r="C15" s="23" t="s">
        <v>10370</v>
      </c>
      <c r="D15" s="23" t="s">
        <v>10371</v>
      </c>
      <c r="E15" s="23" t="s">
        <v>129</v>
      </c>
      <c r="F15" s="23" t="s">
        <v>129</v>
      </c>
      <c r="G15" s="23" t="s">
        <v>10372</v>
      </c>
      <c r="H15" s="23" t="s">
        <v>10373</v>
      </c>
      <c r="I15" s="23" t="s">
        <v>10279</v>
      </c>
      <c r="J15" s="23" t="s">
        <v>10374</v>
      </c>
      <c r="K15" s="23"/>
      <c r="L15" s="23"/>
      <c r="M15" s="23"/>
      <c r="N15" s="23"/>
      <c r="O15" s="23"/>
      <c r="P15" s="24"/>
      <c r="Q15" s="24"/>
      <c r="R15" s="24"/>
      <c r="S15" s="24"/>
      <c r="T15" s="24"/>
      <c r="U15" s="24"/>
      <c r="V15" s="24"/>
      <c r="W15" s="24"/>
      <c r="X15" s="24"/>
      <c r="Y15" s="24"/>
      <c r="Z15" s="24"/>
    </row>
    <row r="16">
      <c r="A16" s="23" t="s">
        <v>10375</v>
      </c>
      <c r="B16" s="23" t="s">
        <v>10376</v>
      </c>
      <c r="C16" s="23" t="s">
        <v>10377</v>
      </c>
      <c r="D16" s="23" t="s">
        <v>10378</v>
      </c>
      <c r="E16" s="23" t="s">
        <v>1163</v>
      </c>
      <c r="F16" s="23" t="s">
        <v>253</v>
      </c>
      <c r="G16" s="23" t="s">
        <v>10379</v>
      </c>
      <c r="H16" s="23" t="s">
        <v>10380</v>
      </c>
      <c r="I16" s="23" t="s">
        <v>10279</v>
      </c>
      <c r="J16" s="23" t="s">
        <v>10328</v>
      </c>
      <c r="K16" s="23"/>
      <c r="L16" s="23"/>
      <c r="M16" s="23"/>
      <c r="N16" s="23"/>
      <c r="O16" s="23"/>
      <c r="P16" s="24"/>
      <c r="Q16" s="24"/>
      <c r="R16" s="24"/>
      <c r="S16" s="24"/>
      <c r="T16" s="24"/>
      <c r="U16" s="24"/>
      <c r="V16" s="24"/>
      <c r="W16" s="24"/>
      <c r="X16" s="24"/>
      <c r="Y16" s="24"/>
      <c r="Z16" s="24"/>
    </row>
    <row r="17">
      <c r="A17" s="23" t="s">
        <v>10381</v>
      </c>
      <c r="B17" s="23" t="s">
        <v>10382</v>
      </c>
      <c r="C17" s="23" t="s">
        <v>10383</v>
      </c>
      <c r="D17" s="23" t="s">
        <v>10384</v>
      </c>
      <c r="E17" s="23" t="s">
        <v>231</v>
      </c>
      <c r="F17" s="23" t="s">
        <v>231</v>
      </c>
      <c r="G17" s="23" t="s">
        <v>10385</v>
      </c>
      <c r="H17" s="23" t="s">
        <v>10386</v>
      </c>
      <c r="I17" s="23" t="s">
        <v>10279</v>
      </c>
      <c r="J17" s="23" t="s">
        <v>10387</v>
      </c>
      <c r="K17" s="23"/>
      <c r="L17" s="23"/>
      <c r="M17" s="23"/>
      <c r="N17" s="23"/>
      <c r="O17" s="23"/>
      <c r="P17" s="24"/>
      <c r="Q17" s="24"/>
      <c r="R17" s="24"/>
      <c r="S17" s="24"/>
      <c r="T17" s="24"/>
      <c r="U17" s="24"/>
      <c r="V17" s="24"/>
      <c r="W17" s="24"/>
      <c r="X17" s="24"/>
      <c r="Y17" s="24"/>
      <c r="Z17" s="24"/>
    </row>
    <row r="18">
      <c r="A18" s="23" t="s">
        <v>10388</v>
      </c>
      <c r="B18" s="23" t="s">
        <v>10389</v>
      </c>
      <c r="C18" s="23" t="s">
        <v>10390</v>
      </c>
      <c r="D18" s="23" t="s">
        <v>10391</v>
      </c>
      <c r="E18" s="23" t="s">
        <v>231</v>
      </c>
      <c r="F18" s="23" t="s">
        <v>231</v>
      </c>
      <c r="G18" s="23" t="s">
        <v>10392</v>
      </c>
      <c r="H18" s="23" t="s">
        <v>10393</v>
      </c>
      <c r="I18" s="23" t="s">
        <v>10279</v>
      </c>
      <c r="J18" s="23" t="s">
        <v>10394</v>
      </c>
      <c r="K18" s="23"/>
      <c r="L18" s="23"/>
      <c r="M18" s="23"/>
      <c r="N18" s="23"/>
      <c r="O18" s="23"/>
      <c r="P18" s="24"/>
      <c r="Q18" s="24"/>
      <c r="R18" s="24"/>
      <c r="S18" s="24"/>
      <c r="T18" s="24"/>
      <c r="U18" s="24"/>
      <c r="V18" s="24"/>
      <c r="W18" s="24"/>
      <c r="X18" s="24"/>
      <c r="Y18" s="24"/>
      <c r="Z18" s="24"/>
    </row>
    <row r="19">
      <c r="A19" s="23" t="s">
        <v>10395</v>
      </c>
      <c r="B19" s="23" t="s">
        <v>10396</v>
      </c>
      <c r="C19" s="23" t="s">
        <v>10397</v>
      </c>
      <c r="D19" s="23" t="s">
        <v>10398</v>
      </c>
      <c r="E19" s="23" t="s">
        <v>10399</v>
      </c>
      <c r="F19" s="23" t="s">
        <v>231</v>
      </c>
      <c r="G19" s="23" t="s">
        <v>10400</v>
      </c>
      <c r="H19" s="23" t="s">
        <v>10401</v>
      </c>
      <c r="I19" s="23" t="s">
        <v>10279</v>
      </c>
      <c r="J19" s="23" t="s">
        <v>10402</v>
      </c>
      <c r="K19" s="23"/>
      <c r="L19" s="23"/>
      <c r="M19" s="23"/>
      <c r="N19" s="23"/>
      <c r="O19" s="23"/>
      <c r="P19" s="24"/>
      <c r="Q19" s="24"/>
      <c r="R19" s="24"/>
      <c r="S19" s="24"/>
      <c r="T19" s="24"/>
      <c r="U19" s="24"/>
      <c r="V19" s="24"/>
      <c r="W19" s="24"/>
      <c r="X19" s="24"/>
      <c r="Y19" s="24"/>
      <c r="Z19" s="24"/>
    </row>
    <row r="20">
      <c r="A20" s="23" t="s">
        <v>10403</v>
      </c>
      <c r="B20" s="23" t="s">
        <v>10404</v>
      </c>
      <c r="C20" s="23" t="s">
        <v>10405</v>
      </c>
      <c r="D20" s="23" t="s">
        <v>10406</v>
      </c>
      <c r="E20" s="23" t="s">
        <v>10407</v>
      </c>
      <c r="F20" s="23" t="s">
        <v>10408</v>
      </c>
      <c r="G20" s="23" t="s">
        <v>10409</v>
      </c>
      <c r="H20" s="23" t="s">
        <v>10410</v>
      </c>
      <c r="I20" s="23" t="s">
        <v>10279</v>
      </c>
      <c r="J20" s="23" t="s">
        <v>10411</v>
      </c>
      <c r="K20" s="23"/>
      <c r="L20" s="23"/>
      <c r="M20" s="23"/>
      <c r="N20" s="23"/>
      <c r="O20" s="23"/>
      <c r="P20" s="24"/>
      <c r="Q20" s="24"/>
      <c r="R20" s="24"/>
      <c r="S20" s="24"/>
      <c r="T20" s="24"/>
      <c r="U20" s="24"/>
      <c r="V20" s="24"/>
      <c r="W20" s="24"/>
      <c r="X20" s="24"/>
      <c r="Y20" s="24"/>
      <c r="Z20" s="24"/>
    </row>
    <row r="21" ht="15.75" customHeight="1">
      <c r="A21" s="23" t="s">
        <v>10412</v>
      </c>
      <c r="B21" s="23" t="s">
        <v>10413</v>
      </c>
      <c r="C21" s="23" t="s">
        <v>10414</v>
      </c>
      <c r="D21" s="23" t="s">
        <v>10415</v>
      </c>
      <c r="E21" s="23" t="s">
        <v>55</v>
      </c>
      <c r="F21" s="23" t="s">
        <v>55</v>
      </c>
      <c r="G21" s="23" t="s">
        <v>10416</v>
      </c>
      <c r="H21" s="23" t="s">
        <v>10417</v>
      </c>
      <c r="I21" s="23" t="s">
        <v>10279</v>
      </c>
      <c r="J21" s="23" t="s">
        <v>10418</v>
      </c>
      <c r="K21" s="23"/>
      <c r="L21" s="23"/>
      <c r="M21" s="23"/>
      <c r="N21" s="23"/>
      <c r="O21" s="23"/>
      <c r="P21" s="24"/>
      <c r="Q21" s="24"/>
      <c r="R21" s="24"/>
      <c r="S21" s="24"/>
      <c r="T21" s="24"/>
      <c r="U21" s="24"/>
      <c r="V21" s="24"/>
      <c r="W21" s="24"/>
      <c r="X21" s="24"/>
      <c r="Y21" s="24"/>
      <c r="Z21" s="24"/>
    </row>
    <row r="22" ht="15.75" customHeight="1">
      <c r="A22" s="23" t="s">
        <v>10419</v>
      </c>
      <c r="B22" s="23" t="s">
        <v>10420</v>
      </c>
      <c r="C22" s="23" t="s">
        <v>10421</v>
      </c>
      <c r="D22" s="23" t="s">
        <v>10422</v>
      </c>
      <c r="E22" s="23" t="s">
        <v>55</v>
      </c>
      <c r="F22" s="23" t="s">
        <v>55</v>
      </c>
      <c r="G22" s="23" t="s">
        <v>10423</v>
      </c>
      <c r="H22" s="23" t="s">
        <v>10424</v>
      </c>
      <c r="I22" s="23" t="s">
        <v>10279</v>
      </c>
      <c r="J22" s="23" t="s">
        <v>10328</v>
      </c>
      <c r="K22" s="23"/>
      <c r="L22" s="23"/>
      <c r="M22" s="23"/>
      <c r="N22" s="23"/>
      <c r="O22" s="23"/>
      <c r="P22" s="24"/>
      <c r="Q22" s="24"/>
      <c r="R22" s="24"/>
      <c r="S22" s="24"/>
      <c r="T22" s="24"/>
      <c r="U22" s="24"/>
      <c r="V22" s="24"/>
      <c r="W22" s="24"/>
      <c r="X22" s="24"/>
      <c r="Y22" s="24"/>
      <c r="Z22" s="24"/>
    </row>
    <row r="23" ht="15.75" customHeight="1">
      <c r="A23" s="23" t="s">
        <v>10425</v>
      </c>
      <c r="B23" s="23" t="s">
        <v>10426</v>
      </c>
      <c r="C23" s="23" t="s">
        <v>10427</v>
      </c>
      <c r="D23" s="23" t="s">
        <v>10428</v>
      </c>
      <c r="E23" s="23" t="s">
        <v>10429</v>
      </c>
      <c r="F23" s="23" t="s">
        <v>100</v>
      </c>
      <c r="G23" s="23" t="s">
        <v>10430</v>
      </c>
      <c r="H23" s="23" t="s">
        <v>10431</v>
      </c>
      <c r="I23" s="23" t="s">
        <v>10279</v>
      </c>
      <c r="J23" s="23" t="s">
        <v>10321</v>
      </c>
      <c r="K23" s="23" t="s">
        <v>10432</v>
      </c>
      <c r="L23" s="23" t="s">
        <v>10433</v>
      </c>
      <c r="M23" s="23"/>
      <c r="N23" s="23"/>
      <c r="O23" s="23"/>
      <c r="P23" s="24"/>
      <c r="Q23" s="24"/>
      <c r="R23" s="24"/>
      <c r="S23" s="24"/>
      <c r="T23" s="24"/>
      <c r="U23" s="24"/>
      <c r="V23" s="24"/>
      <c r="W23" s="24"/>
      <c r="X23" s="24"/>
      <c r="Y23" s="24"/>
      <c r="Z23" s="24"/>
    </row>
    <row r="24" ht="15.75" customHeight="1">
      <c r="A24" s="23" t="s">
        <v>10434</v>
      </c>
      <c r="B24" s="23" t="s">
        <v>10435</v>
      </c>
      <c r="C24" s="23" t="s">
        <v>10436</v>
      </c>
      <c r="D24" s="23" t="s">
        <v>10437</v>
      </c>
      <c r="E24" s="23" t="s">
        <v>10438</v>
      </c>
      <c r="F24" s="23" t="s">
        <v>1352</v>
      </c>
      <c r="G24" s="23" t="s">
        <v>10439</v>
      </c>
      <c r="H24" s="23" t="s">
        <v>10434</v>
      </c>
      <c r="I24" s="23" t="s">
        <v>10279</v>
      </c>
      <c r="J24" s="23" t="s">
        <v>10280</v>
      </c>
      <c r="K24" s="23" t="s">
        <v>10440</v>
      </c>
      <c r="L24" s="23" t="s">
        <v>10441</v>
      </c>
      <c r="M24" s="23"/>
      <c r="N24" s="23"/>
      <c r="O24" s="23"/>
      <c r="P24" s="24"/>
      <c r="Q24" s="24"/>
      <c r="R24" s="24"/>
      <c r="S24" s="24"/>
      <c r="T24" s="24"/>
      <c r="U24" s="24"/>
      <c r="V24" s="24"/>
      <c r="W24" s="24"/>
      <c r="X24" s="24"/>
      <c r="Y24" s="24"/>
      <c r="Z24" s="24"/>
    </row>
    <row r="25" ht="15.75" customHeight="1">
      <c r="A25" s="23" t="s">
        <v>10442</v>
      </c>
      <c r="B25" s="23" t="s">
        <v>10443</v>
      </c>
      <c r="C25" s="23" t="s">
        <v>10444</v>
      </c>
      <c r="D25" s="23" t="s">
        <v>10445</v>
      </c>
      <c r="E25" s="23" t="s">
        <v>506</v>
      </c>
      <c r="F25" s="23" t="s">
        <v>55</v>
      </c>
      <c r="G25" s="23" t="s">
        <v>10446</v>
      </c>
      <c r="H25" s="23"/>
      <c r="I25" s="23" t="s">
        <v>10279</v>
      </c>
      <c r="J25" s="23" t="s">
        <v>10321</v>
      </c>
      <c r="K25" s="23"/>
      <c r="L25" s="23"/>
      <c r="M25" s="23"/>
      <c r="N25" s="23"/>
      <c r="O25" s="23"/>
      <c r="P25" s="24"/>
      <c r="Q25" s="24"/>
      <c r="R25" s="24"/>
      <c r="S25" s="24"/>
      <c r="T25" s="24"/>
      <c r="U25" s="24"/>
      <c r="V25" s="24"/>
      <c r="W25" s="24"/>
      <c r="X25" s="24"/>
      <c r="Y25" s="24"/>
      <c r="Z25" s="24"/>
    </row>
    <row r="26" ht="15.75" customHeight="1">
      <c r="A26" s="23" t="s">
        <v>10447</v>
      </c>
      <c r="B26" s="23" t="s">
        <v>10448</v>
      </c>
      <c r="C26" s="23" t="s">
        <v>10449</v>
      </c>
      <c r="D26" s="23" t="s">
        <v>10450</v>
      </c>
      <c r="E26" s="23" t="s">
        <v>5380</v>
      </c>
      <c r="F26" s="23" t="s">
        <v>5380</v>
      </c>
      <c r="G26" s="23" t="s">
        <v>10451</v>
      </c>
      <c r="H26" s="23" t="s">
        <v>10452</v>
      </c>
      <c r="I26" s="23" t="s">
        <v>10279</v>
      </c>
      <c r="J26" s="23" t="s">
        <v>10394</v>
      </c>
      <c r="K26" s="23"/>
      <c r="L26" s="23"/>
      <c r="M26" s="23"/>
      <c r="N26" s="23"/>
      <c r="O26" s="23"/>
      <c r="P26" s="24"/>
      <c r="Q26" s="24"/>
      <c r="R26" s="24"/>
      <c r="S26" s="24"/>
      <c r="T26" s="24"/>
      <c r="U26" s="24"/>
      <c r="V26" s="24"/>
      <c r="W26" s="24"/>
      <c r="X26" s="24"/>
      <c r="Y26" s="24"/>
      <c r="Z26" s="24"/>
    </row>
    <row r="27" ht="15.75" customHeight="1">
      <c r="A27" s="23" t="s">
        <v>10453</v>
      </c>
      <c r="B27" s="23" t="s">
        <v>10454</v>
      </c>
      <c r="C27" s="23" t="s">
        <v>10455</v>
      </c>
      <c r="D27" s="23" t="s">
        <v>10456</v>
      </c>
      <c r="E27" s="23" t="s">
        <v>2162</v>
      </c>
      <c r="F27" s="23" t="s">
        <v>2162</v>
      </c>
      <c r="G27" s="23" t="s">
        <v>10457</v>
      </c>
      <c r="H27" s="23" t="s">
        <v>10458</v>
      </c>
      <c r="I27" s="23" t="s">
        <v>10279</v>
      </c>
      <c r="J27" s="23" t="s">
        <v>10459</v>
      </c>
      <c r="K27" s="23"/>
      <c r="L27" s="23"/>
      <c r="M27" s="23"/>
      <c r="N27" s="23"/>
      <c r="O27" s="23"/>
      <c r="P27" s="24"/>
      <c r="Q27" s="24"/>
      <c r="R27" s="24"/>
      <c r="S27" s="24"/>
      <c r="T27" s="24"/>
      <c r="U27" s="24"/>
      <c r="V27" s="24"/>
      <c r="W27" s="24"/>
      <c r="X27" s="24"/>
      <c r="Y27" s="24"/>
      <c r="Z27" s="24"/>
    </row>
    <row r="28" ht="15.75" customHeight="1">
      <c r="A28" s="23" t="s">
        <v>10460</v>
      </c>
      <c r="B28" s="23" t="s">
        <v>10461</v>
      </c>
      <c r="C28" s="23" t="s">
        <v>10462</v>
      </c>
      <c r="D28" s="23" t="s">
        <v>10463</v>
      </c>
      <c r="E28" s="23" t="s">
        <v>231</v>
      </c>
      <c r="F28" s="23" t="s">
        <v>231</v>
      </c>
      <c r="G28" s="23" t="s">
        <v>10464</v>
      </c>
      <c r="H28" s="23" t="s">
        <v>10465</v>
      </c>
      <c r="I28" s="23" t="s">
        <v>10279</v>
      </c>
      <c r="J28" s="23" t="s">
        <v>10328</v>
      </c>
      <c r="K28" s="23" t="s">
        <v>10466</v>
      </c>
      <c r="L28" s="23" t="s">
        <v>10467</v>
      </c>
      <c r="M28" s="23"/>
      <c r="N28" s="23"/>
      <c r="O28" s="23"/>
      <c r="P28" s="24"/>
      <c r="Q28" s="24"/>
      <c r="R28" s="24"/>
      <c r="S28" s="24"/>
      <c r="T28" s="24"/>
      <c r="U28" s="24"/>
      <c r="V28" s="24"/>
      <c r="W28" s="24"/>
      <c r="X28" s="24"/>
      <c r="Y28" s="24"/>
      <c r="Z28" s="24"/>
    </row>
    <row r="29" ht="15.75" customHeight="1">
      <c r="A29" s="23" t="s">
        <v>10468</v>
      </c>
      <c r="B29" s="23"/>
      <c r="C29" s="23"/>
      <c r="D29" s="23" t="s">
        <v>10469</v>
      </c>
      <c r="E29" s="23" t="s">
        <v>55</v>
      </c>
      <c r="F29" s="23" t="s">
        <v>55</v>
      </c>
      <c r="G29" s="23" t="s">
        <v>10470</v>
      </c>
      <c r="H29" s="23" t="s">
        <v>10471</v>
      </c>
      <c r="I29" s="23" t="s">
        <v>10279</v>
      </c>
      <c r="J29" s="23" t="s">
        <v>10411</v>
      </c>
      <c r="K29" s="23" t="s">
        <v>10472</v>
      </c>
      <c r="L29" s="23" t="s">
        <v>10473</v>
      </c>
      <c r="M29" s="23" t="s">
        <v>10474</v>
      </c>
      <c r="N29" s="23" t="s">
        <v>10475</v>
      </c>
      <c r="O29" s="23" t="s">
        <v>10476</v>
      </c>
      <c r="P29" s="24"/>
      <c r="Q29" s="24"/>
      <c r="R29" s="24"/>
      <c r="S29" s="24"/>
      <c r="T29" s="24"/>
      <c r="U29" s="24"/>
      <c r="V29" s="24"/>
      <c r="W29" s="24"/>
      <c r="X29" s="24"/>
      <c r="Y29" s="24"/>
      <c r="Z29" s="24"/>
    </row>
    <row r="30" ht="15.75" customHeight="1">
      <c r="A30" s="23" t="s">
        <v>10477</v>
      </c>
      <c r="B30" s="23" t="s">
        <v>10478</v>
      </c>
      <c r="C30" s="23" t="s">
        <v>10479</v>
      </c>
      <c r="D30" s="23" t="s">
        <v>10480</v>
      </c>
      <c r="E30" s="23" t="s">
        <v>1427</v>
      </c>
      <c r="F30" s="23" t="s">
        <v>1427</v>
      </c>
      <c r="G30" s="23" t="s">
        <v>10481</v>
      </c>
      <c r="H30" s="23" t="s">
        <v>10482</v>
      </c>
      <c r="I30" s="23" t="s">
        <v>10279</v>
      </c>
      <c r="J30" s="23" t="s">
        <v>10280</v>
      </c>
      <c r="K30" s="23"/>
      <c r="L30" s="23"/>
      <c r="M30" s="23"/>
      <c r="N30" s="23"/>
      <c r="O30" s="23"/>
      <c r="P30" s="24"/>
      <c r="Q30" s="24"/>
      <c r="R30" s="24"/>
      <c r="S30" s="24"/>
      <c r="T30" s="24"/>
      <c r="U30" s="24"/>
      <c r="V30" s="24"/>
      <c r="W30" s="24"/>
      <c r="X30" s="24"/>
      <c r="Y30" s="24"/>
      <c r="Z30" s="24"/>
    </row>
    <row r="31" ht="15.75" customHeight="1">
      <c r="A31" s="23" t="s">
        <v>10483</v>
      </c>
      <c r="B31" s="23" t="s">
        <v>10484</v>
      </c>
      <c r="C31" s="23" t="s">
        <v>10485</v>
      </c>
      <c r="D31" s="23" t="s">
        <v>10486</v>
      </c>
      <c r="E31" s="23" t="s">
        <v>10487</v>
      </c>
      <c r="F31" s="23" t="s">
        <v>759</v>
      </c>
      <c r="G31" s="23" t="s">
        <v>10488</v>
      </c>
      <c r="H31" s="23" t="s">
        <v>10489</v>
      </c>
      <c r="I31" s="23" t="s">
        <v>10279</v>
      </c>
      <c r="J31" s="23" t="s">
        <v>10490</v>
      </c>
      <c r="K31" s="23"/>
      <c r="L31" s="23"/>
      <c r="M31" s="23"/>
      <c r="N31" s="23"/>
      <c r="O31" s="23"/>
      <c r="P31" s="24"/>
      <c r="Q31" s="24"/>
      <c r="R31" s="24"/>
      <c r="S31" s="24"/>
      <c r="T31" s="24"/>
      <c r="U31" s="24"/>
      <c r="V31" s="24"/>
      <c r="W31" s="24"/>
      <c r="X31" s="24"/>
      <c r="Y31" s="24"/>
      <c r="Z31" s="24"/>
    </row>
    <row r="32" ht="15.75" customHeight="1">
      <c r="A32" s="23" t="s">
        <v>10491</v>
      </c>
      <c r="B32" s="23" t="s">
        <v>10492</v>
      </c>
      <c r="C32" s="23" t="s">
        <v>10493</v>
      </c>
      <c r="D32" s="23" t="s">
        <v>10494</v>
      </c>
      <c r="E32" s="23" t="s">
        <v>129</v>
      </c>
      <c r="F32" s="23" t="s">
        <v>129</v>
      </c>
      <c r="G32" s="23" t="s">
        <v>10495</v>
      </c>
      <c r="H32" s="23" t="s">
        <v>10496</v>
      </c>
      <c r="I32" s="23" t="s">
        <v>10279</v>
      </c>
      <c r="J32" s="23" t="s">
        <v>10280</v>
      </c>
      <c r="K32" s="23" t="s">
        <v>10497</v>
      </c>
      <c r="L32" s="23" t="s">
        <v>10498</v>
      </c>
      <c r="M32" s="23" t="s">
        <v>10499</v>
      </c>
      <c r="N32" s="23" t="s">
        <v>10500</v>
      </c>
      <c r="O32" s="23" t="s">
        <v>10501</v>
      </c>
      <c r="P32" s="24"/>
      <c r="Q32" s="24"/>
      <c r="R32" s="24"/>
      <c r="S32" s="24"/>
      <c r="T32" s="24"/>
      <c r="U32" s="24"/>
      <c r="V32" s="24"/>
      <c r="W32" s="24"/>
      <c r="X32" s="24"/>
      <c r="Y32" s="24"/>
      <c r="Z32" s="24"/>
    </row>
    <row r="33" ht="15.75" customHeight="1">
      <c r="A33" s="23" t="s">
        <v>10502</v>
      </c>
      <c r="B33" s="23" t="s">
        <v>10503</v>
      </c>
      <c r="C33" s="23" t="s">
        <v>10504</v>
      </c>
      <c r="D33" s="23" t="s">
        <v>10505</v>
      </c>
      <c r="E33" s="23" t="s">
        <v>10506</v>
      </c>
      <c r="F33" s="23" t="s">
        <v>55</v>
      </c>
      <c r="G33" s="23" t="s">
        <v>10507</v>
      </c>
      <c r="H33" s="23" t="s">
        <v>10502</v>
      </c>
      <c r="I33" s="23" t="s">
        <v>10279</v>
      </c>
      <c r="J33" s="23" t="s">
        <v>10508</v>
      </c>
      <c r="K33" s="23"/>
      <c r="L33" s="23"/>
      <c r="M33" s="23"/>
      <c r="N33" s="23"/>
      <c r="O33" s="23"/>
      <c r="P33" s="24"/>
      <c r="Q33" s="24"/>
      <c r="R33" s="24"/>
      <c r="S33" s="24"/>
      <c r="T33" s="24"/>
      <c r="U33" s="24"/>
      <c r="V33" s="24"/>
      <c r="W33" s="24"/>
      <c r="X33" s="24"/>
      <c r="Y33" s="24"/>
      <c r="Z33" s="24"/>
    </row>
    <row r="34" ht="15.75" customHeight="1">
      <c r="A34" s="23" t="s">
        <v>10509</v>
      </c>
      <c r="B34" s="23" t="s">
        <v>10510</v>
      </c>
      <c r="C34" s="23" t="s">
        <v>10511</v>
      </c>
      <c r="D34" s="23" t="s">
        <v>10512</v>
      </c>
      <c r="E34" s="23" t="s">
        <v>1014</v>
      </c>
      <c r="F34" s="23" t="s">
        <v>1014</v>
      </c>
      <c r="G34" s="23" t="s">
        <v>10513</v>
      </c>
      <c r="H34" s="23" t="s">
        <v>10514</v>
      </c>
      <c r="I34" s="23" t="s">
        <v>10279</v>
      </c>
      <c r="J34" s="23" t="s">
        <v>10515</v>
      </c>
      <c r="K34" s="23"/>
      <c r="L34" s="23"/>
      <c r="M34" s="23"/>
      <c r="N34" s="23"/>
      <c r="O34" s="23"/>
      <c r="P34" s="24"/>
      <c r="Q34" s="24"/>
      <c r="R34" s="24"/>
      <c r="S34" s="24"/>
      <c r="T34" s="24"/>
      <c r="U34" s="24"/>
      <c r="V34" s="24"/>
      <c r="W34" s="24"/>
      <c r="X34" s="24"/>
      <c r="Y34" s="24"/>
      <c r="Z34" s="24"/>
    </row>
    <row r="35" ht="15.75" customHeight="1">
      <c r="A35" s="23" t="s">
        <v>10516</v>
      </c>
      <c r="B35" s="23" t="s">
        <v>10517</v>
      </c>
      <c r="C35" s="23" t="s">
        <v>10518</v>
      </c>
      <c r="D35" s="23" t="s">
        <v>10519</v>
      </c>
      <c r="E35" s="23" t="s">
        <v>231</v>
      </c>
      <c r="F35" s="23" t="s">
        <v>231</v>
      </c>
      <c r="G35" s="23" t="s">
        <v>10520</v>
      </c>
      <c r="H35" s="23"/>
      <c r="I35" s="23" t="s">
        <v>10279</v>
      </c>
      <c r="J35" s="23" t="s">
        <v>10521</v>
      </c>
      <c r="K35" s="23"/>
      <c r="L35" s="23"/>
      <c r="M35" s="23"/>
      <c r="N35" s="23"/>
      <c r="O35" s="23"/>
      <c r="P35" s="24"/>
      <c r="Q35" s="24"/>
      <c r="R35" s="24"/>
      <c r="S35" s="24"/>
      <c r="T35" s="24"/>
      <c r="U35" s="24"/>
      <c r="V35" s="24"/>
      <c r="W35" s="24"/>
      <c r="X35" s="24"/>
      <c r="Y35" s="24"/>
      <c r="Z35" s="24"/>
    </row>
    <row r="36" ht="15.75" customHeight="1">
      <c r="A36" s="23" t="s">
        <v>10522</v>
      </c>
      <c r="B36" s="23" t="s">
        <v>10523</v>
      </c>
      <c r="C36" s="23" t="s">
        <v>10524</v>
      </c>
      <c r="D36" s="23" t="s">
        <v>10525</v>
      </c>
      <c r="E36" s="23" t="s">
        <v>55</v>
      </c>
      <c r="F36" s="23" t="s">
        <v>55</v>
      </c>
      <c r="G36" s="23" t="s">
        <v>10526</v>
      </c>
      <c r="H36" s="23" t="s">
        <v>10527</v>
      </c>
      <c r="I36" s="23" t="s">
        <v>10279</v>
      </c>
      <c r="J36" s="23" t="s">
        <v>10528</v>
      </c>
      <c r="K36" s="23"/>
      <c r="L36" s="23"/>
      <c r="M36" s="23"/>
      <c r="N36" s="23"/>
      <c r="O36" s="23"/>
      <c r="P36" s="24"/>
      <c r="Q36" s="24"/>
      <c r="R36" s="24"/>
      <c r="S36" s="24"/>
      <c r="T36" s="24"/>
      <c r="U36" s="24"/>
      <c r="V36" s="24"/>
      <c r="W36" s="24"/>
      <c r="X36" s="24"/>
      <c r="Y36" s="24"/>
      <c r="Z36" s="24"/>
    </row>
    <row r="37" ht="15.75" customHeight="1">
      <c r="A37" s="23" t="s">
        <v>10529</v>
      </c>
      <c r="B37" s="23" t="s">
        <v>10530</v>
      </c>
      <c r="C37" s="23" t="s">
        <v>10531</v>
      </c>
      <c r="D37" s="23" t="s">
        <v>10532</v>
      </c>
      <c r="E37" s="23" t="s">
        <v>1014</v>
      </c>
      <c r="F37" s="23" t="s">
        <v>1014</v>
      </c>
      <c r="G37" s="23" t="s">
        <v>10533</v>
      </c>
      <c r="H37" s="23" t="s">
        <v>10534</v>
      </c>
      <c r="I37" s="23" t="s">
        <v>10279</v>
      </c>
      <c r="J37" s="23" t="s">
        <v>10418</v>
      </c>
      <c r="K37" s="23"/>
      <c r="L37" s="23"/>
      <c r="M37" s="23"/>
      <c r="N37" s="23"/>
      <c r="O37" s="23"/>
      <c r="P37" s="24"/>
      <c r="Q37" s="24"/>
      <c r="R37" s="24"/>
      <c r="S37" s="24"/>
      <c r="T37" s="24"/>
      <c r="U37" s="24"/>
      <c r="V37" s="24"/>
      <c r="W37" s="24"/>
      <c r="X37" s="24"/>
      <c r="Y37" s="24"/>
      <c r="Z37" s="24"/>
    </row>
    <row r="38" ht="15.75" customHeight="1">
      <c r="A38" s="23" t="s">
        <v>10535</v>
      </c>
      <c r="B38" s="23" t="s">
        <v>10536</v>
      </c>
      <c r="C38" s="23" t="s">
        <v>10537</v>
      </c>
      <c r="D38" s="23" t="s">
        <v>10538</v>
      </c>
      <c r="E38" s="23" t="s">
        <v>55</v>
      </c>
      <c r="F38" s="23" t="s">
        <v>55</v>
      </c>
      <c r="G38" s="23" t="s">
        <v>10539</v>
      </c>
      <c r="H38" s="23" t="s">
        <v>10540</v>
      </c>
      <c r="I38" s="23" t="s">
        <v>10279</v>
      </c>
      <c r="J38" s="23" t="s">
        <v>10541</v>
      </c>
      <c r="K38" s="23" t="s">
        <v>10542</v>
      </c>
      <c r="L38" s="23" t="s">
        <v>10543</v>
      </c>
      <c r="M38" s="23"/>
      <c r="N38" s="23"/>
      <c r="O38" s="23"/>
      <c r="P38" s="24"/>
      <c r="Q38" s="24"/>
      <c r="R38" s="24"/>
      <c r="S38" s="24"/>
      <c r="T38" s="24"/>
      <c r="U38" s="24"/>
      <c r="V38" s="24"/>
      <c r="W38" s="24"/>
      <c r="X38" s="24"/>
      <c r="Y38" s="24"/>
      <c r="Z38" s="24"/>
    </row>
    <row r="39" ht="15.75" customHeight="1">
      <c r="A39" s="23" t="s">
        <v>10544</v>
      </c>
      <c r="B39" s="23" t="s">
        <v>10545</v>
      </c>
      <c r="C39" s="23" t="s">
        <v>10546</v>
      </c>
      <c r="D39" s="23" t="s">
        <v>10547</v>
      </c>
      <c r="E39" s="23" t="s">
        <v>55</v>
      </c>
      <c r="F39" s="23" t="s">
        <v>55</v>
      </c>
      <c r="G39" s="23" t="s">
        <v>10548</v>
      </c>
      <c r="H39" s="23" t="s">
        <v>10549</v>
      </c>
      <c r="I39" s="23" t="s">
        <v>10279</v>
      </c>
      <c r="J39" s="23" t="s">
        <v>10550</v>
      </c>
      <c r="K39" s="23" t="s">
        <v>10551</v>
      </c>
      <c r="L39" s="23" t="s">
        <v>10552</v>
      </c>
      <c r="M39" s="23" t="s">
        <v>10553</v>
      </c>
      <c r="N39" s="23" t="s">
        <v>10554</v>
      </c>
      <c r="O39" s="23"/>
      <c r="P39" s="24"/>
      <c r="Q39" s="24"/>
      <c r="R39" s="24"/>
      <c r="S39" s="24"/>
      <c r="T39" s="24"/>
      <c r="U39" s="24"/>
      <c r="V39" s="24"/>
      <c r="W39" s="24"/>
      <c r="X39" s="24"/>
      <c r="Y39" s="24"/>
      <c r="Z39" s="24"/>
    </row>
    <row r="40" ht="15.75" customHeight="1">
      <c r="A40" s="23" t="s">
        <v>10555</v>
      </c>
      <c r="B40" s="23" t="s">
        <v>10556</v>
      </c>
      <c r="C40" s="23" t="s">
        <v>10557</v>
      </c>
      <c r="D40" s="23" t="s">
        <v>10558</v>
      </c>
      <c r="E40" s="23" t="s">
        <v>395</v>
      </c>
      <c r="F40" s="23" t="s">
        <v>395</v>
      </c>
      <c r="G40" s="23" t="s">
        <v>10559</v>
      </c>
      <c r="H40" s="23" t="s">
        <v>10560</v>
      </c>
      <c r="I40" s="23" t="s">
        <v>10279</v>
      </c>
      <c r="J40" s="23" t="s">
        <v>10561</v>
      </c>
      <c r="K40" s="23"/>
      <c r="L40" s="23"/>
      <c r="M40" s="23"/>
      <c r="N40" s="23"/>
      <c r="O40" s="23"/>
      <c r="P40" s="24"/>
      <c r="Q40" s="24"/>
      <c r="R40" s="24"/>
      <c r="S40" s="24"/>
      <c r="T40" s="24"/>
      <c r="U40" s="24"/>
      <c r="V40" s="24"/>
      <c r="W40" s="24"/>
      <c r="X40" s="24"/>
      <c r="Y40" s="24"/>
      <c r="Z40" s="24"/>
    </row>
    <row r="41" ht="15.75" customHeight="1">
      <c r="A41" s="23" t="s">
        <v>10562</v>
      </c>
      <c r="B41" s="23" t="s">
        <v>10563</v>
      </c>
      <c r="C41" s="23" t="s">
        <v>10564</v>
      </c>
      <c r="D41" s="23" t="s">
        <v>10565</v>
      </c>
      <c r="E41" s="23" t="s">
        <v>10566</v>
      </c>
      <c r="F41" s="23" t="s">
        <v>610</v>
      </c>
      <c r="G41" s="23" t="s">
        <v>10567</v>
      </c>
      <c r="H41" s="23" t="s">
        <v>10568</v>
      </c>
      <c r="I41" s="23" t="s">
        <v>10279</v>
      </c>
      <c r="J41" s="23" t="s">
        <v>10569</v>
      </c>
      <c r="K41" s="23"/>
      <c r="L41" s="23"/>
      <c r="M41" s="23"/>
      <c r="N41" s="23"/>
      <c r="O41" s="23"/>
      <c r="P41" s="24"/>
      <c r="Q41" s="24"/>
      <c r="R41" s="24"/>
      <c r="S41" s="24"/>
      <c r="T41" s="24"/>
      <c r="U41" s="24"/>
      <c r="V41" s="24"/>
      <c r="W41" s="24"/>
      <c r="X41" s="24"/>
      <c r="Y41" s="24"/>
      <c r="Z41" s="24"/>
    </row>
    <row r="42" ht="15.75" customHeight="1">
      <c r="A42" s="23" t="s">
        <v>10570</v>
      </c>
      <c r="B42" s="23" t="s">
        <v>10571</v>
      </c>
      <c r="C42" s="23" t="s">
        <v>10572</v>
      </c>
      <c r="D42" s="23" t="s">
        <v>10573</v>
      </c>
      <c r="E42" s="23" t="s">
        <v>698</v>
      </c>
      <c r="F42" s="23" t="s">
        <v>731</v>
      </c>
      <c r="G42" s="23" t="s">
        <v>10574</v>
      </c>
      <c r="H42" s="23" t="s">
        <v>10575</v>
      </c>
      <c r="I42" s="23" t="s">
        <v>10279</v>
      </c>
      <c r="J42" s="23" t="s">
        <v>10576</v>
      </c>
      <c r="K42" s="23"/>
      <c r="L42" s="23"/>
      <c r="M42" s="23"/>
      <c r="N42" s="23"/>
      <c r="O42" s="23"/>
      <c r="P42" s="24"/>
      <c r="Q42" s="24"/>
      <c r="R42" s="24"/>
      <c r="S42" s="24"/>
      <c r="T42" s="24"/>
      <c r="U42" s="24"/>
      <c r="V42" s="24"/>
      <c r="W42" s="24"/>
      <c r="X42" s="24"/>
      <c r="Y42" s="24"/>
      <c r="Z42" s="24"/>
    </row>
    <row r="43" ht="15.75" customHeight="1">
      <c r="A43" s="23" t="s">
        <v>10577</v>
      </c>
      <c r="B43" s="23" t="s">
        <v>10578</v>
      </c>
      <c r="C43" s="23" t="s">
        <v>10579</v>
      </c>
      <c r="D43" s="23" t="s">
        <v>10580</v>
      </c>
      <c r="E43" s="23" t="s">
        <v>55</v>
      </c>
      <c r="F43" s="23" t="s">
        <v>55</v>
      </c>
      <c r="G43" s="23" t="s">
        <v>10581</v>
      </c>
      <c r="H43" s="23" t="s">
        <v>10582</v>
      </c>
      <c r="I43" s="23" t="s">
        <v>10279</v>
      </c>
      <c r="J43" s="23" t="s">
        <v>10583</v>
      </c>
      <c r="K43" s="23"/>
      <c r="L43" s="23"/>
      <c r="M43" s="23"/>
      <c r="N43" s="23"/>
      <c r="O43" s="23"/>
      <c r="P43" s="24"/>
      <c r="Q43" s="24"/>
      <c r="R43" s="24"/>
      <c r="S43" s="24"/>
      <c r="T43" s="24"/>
      <c r="U43" s="24"/>
      <c r="V43" s="24"/>
      <c r="W43" s="24"/>
      <c r="X43" s="24"/>
      <c r="Y43" s="24"/>
      <c r="Z43" s="24"/>
    </row>
    <row r="44" ht="15.75" customHeight="1">
      <c r="A44" s="23" t="s">
        <v>10584</v>
      </c>
      <c r="B44" s="23" t="s">
        <v>10585</v>
      </c>
      <c r="C44" s="23" t="s">
        <v>10586</v>
      </c>
      <c r="D44" s="23" t="s">
        <v>10587</v>
      </c>
      <c r="E44" s="23" t="s">
        <v>55</v>
      </c>
      <c r="F44" s="23" t="s">
        <v>55</v>
      </c>
      <c r="G44" s="23" t="s">
        <v>10588</v>
      </c>
      <c r="H44" s="23" t="s">
        <v>10589</v>
      </c>
      <c r="I44" s="23" t="s">
        <v>10279</v>
      </c>
      <c r="J44" s="23" t="s">
        <v>10590</v>
      </c>
      <c r="K44" s="23"/>
      <c r="L44" s="23"/>
      <c r="M44" s="23"/>
      <c r="N44" s="23"/>
      <c r="O44" s="23"/>
      <c r="P44" s="24"/>
      <c r="Q44" s="24"/>
      <c r="R44" s="24"/>
      <c r="S44" s="24"/>
      <c r="T44" s="24"/>
      <c r="U44" s="24"/>
      <c r="V44" s="24"/>
      <c r="W44" s="24"/>
      <c r="X44" s="24"/>
      <c r="Y44" s="24"/>
      <c r="Z44" s="24"/>
    </row>
    <row r="45" ht="15.75" customHeight="1">
      <c r="A45" s="23" t="s">
        <v>10591</v>
      </c>
      <c r="B45" s="23" t="s">
        <v>10592</v>
      </c>
      <c r="C45" s="23"/>
      <c r="D45" s="23" t="s">
        <v>10593</v>
      </c>
      <c r="E45" s="23" t="s">
        <v>10594</v>
      </c>
      <c r="F45" s="23" t="s">
        <v>262</v>
      </c>
      <c r="G45" s="23" t="s">
        <v>10595</v>
      </c>
      <c r="H45" s="23" t="s">
        <v>10596</v>
      </c>
      <c r="I45" s="23" t="s">
        <v>10279</v>
      </c>
      <c r="J45" s="23" t="s">
        <v>10314</v>
      </c>
      <c r="K45" s="23"/>
      <c r="L45" s="23"/>
      <c r="M45" s="23"/>
      <c r="N45" s="23"/>
      <c r="O45" s="23"/>
      <c r="P45" s="24"/>
      <c r="Q45" s="24"/>
      <c r="R45" s="24"/>
      <c r="S45" s="24"/>
      <c r="T45" s="24"/>
      <c r="U45" s="24"/>
      <c r="V45" s="24"/>
      <c r="W45" s="24"/>
      <c r="X45" s="24"/>
      <c r="Y45" s="24"/>
      <c r="Z45" s="24"/>
    </row>
    <row r="46" ht="15.75" customHeight="1">
      <c r="A46" s="23" t="s">
        <v>10597</v>
      </c>
      <c r="B46" s="23" t="s">
        <v>10598</v>
      </c>
      <c r="C46" s="23" t="s">
        <v>10599</v>
      </c>
      <c r="D46" s="23" t="s">
        <v>10600</v>
      </c>
      <c r="E46" s="23" t="s">
        <v>55</v>
      </c>
      <c r="F46" s="23" t="s">
        <v>55</v>
      </c>
      <c r="G46" s="23" t="s">
        <v>10601</v>
      </c>
      <c r="H46" s="23" t="s">
        <v>10602</v>
      </c>
      <c r="I46" s="23" t="s">
        <v>10279</v>
      </c>
      <c r="J46" s="23" t="s">
        <v>10321</v>
      </c>
      <c r="K46" s="23" t="s">
        <v>10602</v>
      </c>
      <c r="L46" s="23" t="s">
        <v>10603</v>
      </c>
      <c r="M46" s="23"/>
      <c r="N46" s="23"/>
      <c r="O46" s="23"/>
      <c r="P46" s="24"/>
      <c r="Q46" s="24"/>
      <c r="R46" s="24"/>
      <c r="S46" s="24"/>
      <c r="T46" s="24"/>
      <c r="U46" s="24"/>
      <c r="V46" s="24"/>
      <c r="W46" s="24"/>
      <c r="X46" s="24"/>
      <c r="Y46" s="24"/>
      <c r="Z46" s="24"/>
    </row>
    <row r="47" ht="15.75" customHeight="1">
      <c r="A47" s="23" t="s">
        <v>10604</v>
      </c>
      <c r="B47" s="23" t="s">
        <v>10605</v>
      </c>
      <c r="C47" s="23"/>
      <c r="D47" s="23" t="s">
        <v>10606</v>
      </c>
      <c r="E47" s="23" t="s">
        <v>698</v>
      </c>
      <c r="F47" s="23" t="s">
        <v>731</v>
      </c>
      <c r="G47" s="23" t="s">
        <v>10607</v>
      </c>
      <c r="H47" s="23" t="s">
        <v>10608</v>
      </c>
      <c r="I47" s="23" t="s">
        <v>10279</v>
      </c>
      <c r="J47" s="23" t="s">
        <v>10609</v>
      </c>
      <c r="K47" s="23"/>
      <c r="L47" s="23"/>
      <c r="M47" s="23"/>
      <c r="N47" s="23"/>
      <c r="O47" s="23"/>
      <c r="P47" s="24"/>
      <c r="Q47" s="24"/>
      <c r="R47" s="24"/>
      <c r="S47" s="24"/>
      <c r="T47" s="24"/>
      <c r="U47" s="24"/>
      <c r="V47" s="24"/>
      <c r="W47" s="24"/>
      <c r="X47" s="24"/>
      <c r="Y47" s="24"/>
      <c r="Z47" s="24"/>
    </row>
    <row r="48" ht="15.75" customHeight="1">
      <c r="A48" s="23" t="s">
        <v>10610</v>
      </c>
      <c r="B48" s="23" t="s">
        <v>10611</v>
      </c>
      <c r="C48" s="23" t="s">
        <v>10612</v>
      </c>
      <c r="D48" s="23" t="s">
        <v>10613</v>
      </c>
      <c r="E48" s="23" t="s">
        <v>231</v>
      </c>
      <c r="F48" s="23" t="s">
        <v>231</v>
      </c>
      <c r="G48" s="23" t="s">
        <v>10614</v>
      </c>
      <c r="H48" s="23" t="s">
        <v>10615</v>
      </c>
      <c r="I48" s="23" t="s">
        <v>10279</v>
      </c>
      <c r="J48" s="23" t="s">
        <v>10616</v>
      </c>
      <c r="K48" s="23"/>
      <c r="L48" s="23"/>
      <c r="M48" s="23"/>
      <c r="N48" s="23"/>
      <c r="O48" s="23"/>
      <c r="P48" s="24"/>
      <c r="Q48" s="24"/>
      <c r="R48" s="24"/>
      <c r="S48" s="24"/>
      <c r="T48" s="24"/>
      <c r="U48" s="24"/>
      <c r="V48" s="24"/>
      <c r="W48" s="24"/>
      <c r="X48" s="24"/>
      <c r="Y48" s="24"/>
      <c r="Z48" s="24"/>
    </row>
    <row r="49" ht="15.75" customHeight="1">
      <c r="A49" s="23" t="s">
        <v>10617</v>
      </c>
      <c r="B49" s="23" t="s">
        <v>10618</v>
      </c>
      <c r="C49" s="23" t="s">
        <v>10619</v>
      </c>
      <c r="D49" s="23" t="s">
        <v>10620</v>
      </c>
      <c r="E49" s="23" t="s">
        <v>55</v>
      </c>
      <c r="F49" s="23" t="s">
        <v>55</v>
      </c>
      <c r="G49" s="23" t="s">
        <v>10621</v>
      </c>
      <c r="H49" s="23" t="s">
        <v>10622</v>
      </c>
      <c r="I49" s="23" t="s">
        <v>10279</v>
      </c>
      <c r="J49" s="23" t="s">
        <v>10623</v>
      </c>
      <c r="K49" s="23"/>
      <c r="L49" s="23"/>
      <c r="M49" s="23"/>
      <c r="N49" s="23"/>
      <c r="O49" s="23"/>
      <c r="P49" s="24"/>
      <c r="Q49" s="24"/>
      <c r="R49" s="24"/>
      <c r="S49" s="24"/>
      <c r="T49" s="24"/>
      <c r="U49" s="24"/>
      <c r="V49" s="24"/>
      <c r="W49" s="24"/>
      <c r="X49" s="24"/>
      <c r="Y49" s="24"/>
      <c r="Z49" s="24"/>
    </row>
    <row r="50" ht="15.75" customHeight="1">
      <c r="A50" s="23" t="s">
        <v>10624</v>
      </c>
      <c r="B50" s="23" t="s">
        <v>10625</v>
      </c>
      <c r="C50" s="23" t="s">
        <v>10626</v>
      </c>
      <c r="D50" s="23" t="s">
        <v>10627</v>
      </c>
      <c r="E50" s="23" t="s">
        <v>10628</v>
      </c>
      <c r="F50" s="23" t="s">
        <v>10629</v>
      </c>
      <c r="G50" s="23" t="s">
        <v>10630</v>
      </c>
      <c r="H50" s="23" t="s">
        <v>10631</v>
      </c>
      <c r="I50" s="23" t="s">
        <v>10279</v>
      </c>
      <c r="J50" s="23" t="s">
        <v>10632</v>
      </c>
      <c r="K50" s="23"/>
      <c r="L50" s="23"/>
      <c r="M50" s="23"/>
      <c r="N50" s="23"/>
      <c r="O50" s="23"/>
      <c r="P50" s="24"/>
      <c r="Q50" s="24"/>
      <c r="R50" s="24"/>
      <c r="S50" s="24"/>
      <c r="T50" s="24"/>
      <c r="U50" s="24"/>
      <c r="V50" s="24"/>
      <c r="W50" s="24"/>
      <c r="X50" s="24"/>
      <c r="Y50" s="24"/>
      <c r="Z50" s="24"/>
    </row>
    <row r="51" ht="15.75" customHeight="1">
      <c r="A51" s="23" t="s">
        <v>10633</v>
      </c>
      <c r="B51" s="23" t="s">
        <v>10634</v>
      </c>
      <c r="C51" s="23" t="s">
        <v>10635</v>
      </c>
      <c r="D51" s="23" t="s">
        <v>10636</v>
      </c>
      <c r="E51" s="23" t="s">
        <v>926</v>
      </c>
      <c r="F51" s="23" t="s">
        <v>926</v>
      </c>
      <c r="G51" s="23" t="s">
        <v>10637</v>
      </c>
      <c r="H51" s="23" t="s">
        <v>10638</v>
      </c>
      <c r="I51" s="23" t="s">
        <v>10279</v>
      </c>
      <c r="J51" s="23" t="s">
        <v>10639</v>
      </c>
      <c r="K51" s="23"/>
      <c r="L51" s="23"/>
      <c r="M51" s="23"/>
      <c r="N51" s="23"/>
      <c r="O51" s="23"/>
      <c r="P51" s="24"/>
      <c r="Q51" s="24"/>
      <c r="R51" s="24"/>
      <c r="S51" s="24"/>
      <c r="T51" s="24"/>
      <c r="U51" s="24"/>
      <c r="V51" s="24"/>
      <c r="W51" s="24"/>
      <c r="X51" s="24"/>
      <c r="Y51" s="24"/>
      <c r="Z51" s="24"/>
    </row>
    <row r="52" ht="15.75" customHeight="1">
      <c r="A52" s="23" t="s">
        <v>10640</v>
      </c>
      <c r="B52" s="23" t="s">
        <v>10641</v>
      </c>
      <c r="C52" s="23" t="s">
        <v>10642</v>
      </c>
      <c r="D52" s="23" t="s">
        <v>10643</v>
      </c>
      <c r="E52" s="23" t="s">
        <v>55</v>
      </c>
      <c r="F52" s="23" t="s">
        <v>55</v>
      </c>
      <c r="G52" s="23" t="s">
        <v>10644</v>
      </c>
      <c r="H52" s="23" t="s">
        <v>10645</v>
      </c>
      <c r="I52" s="23" t="s">
        <v>10279</v>
      </c>
      <c r="J52" s="23" t="s">
        <v>10646</v>
      </c>
      <c r="K52" s="23"/>
      <c r="L52" s="23"/>
      <c r="M52" s="23"/>
      <c r="N52" s="23"/>
      <c r="O52" s="23"/>
      <c r="P52" s="24"/>
      <c r="Q52" s="24"/>
      <c r="R52" s="24"/>
      <c r="S52" s="24"/>
      <c r="T52" s="24"/>
      <c r="U52" s="24"/>
      <c r="V52" s="24"/>
      <c r="W52" s="24"/>
      <c r="X52" s="24"/>
      <c r="Y52" s="24"/>
      <c r="Z52" s="24"/>
    </row>
    <row r="53" ht="15.75" customHeight="1">
      <c r="A53" s="23" t="s">
        <v>10647</v>
      </c>
      <c r="B53" s="23" t="s">
        <v>10648</v>
      </c>
      <c r="C53" s="23" t="s">
        <v>10649</v>
      </c>
      <c r="D53" s="23" t="s">
        <v>10650</v>
      </c>
      <c r="E53" s="23" t="s">
        <v>1929</v>
      </c>
      <c r="F53" s="23" t="s">
        <v>1929</v>
      </c>
      <c r="G53" s="23" t="s">
        <v>10651</v>
      </c>
      <c r="H53" s="23" t="s">
        <v>10652</v>
      </c>
      <c r="I53" s="23" t="s">
        <v>10279</v>
      </c>
      <c r="J53" s="23" t="s">
        <v>10321</v>
      </c>
      <c r="K53" s="23"/>
      <c r="L53" s="23"/>
      <c r="M53" s="23"/>
      <c r="N53" s="23"/>
      <c r="O53" s="23"/>
      <c r="P53" s="24"/>
      <c r="Q53" s="24"/>
      <c r="R53" s="24"/>
      <c r="S53" s="24"/>
      <c r="T53" s="24"/>
      <c r="U53" s="24"/>
      <c r="V53" s="24"/>
      <c r="W53" s="24"/>
      <c r="X53" s="24"/>
      <c r="Y53" s="24"/>
      <c r="Z53" s="24"/>
    </row>
    <row r="54" ht="15.75" customHeight="1">
      <c r="A54" s="23" t="s">
        <v>10653</v>
      </c>
      <c r="B54" s="23" t="s">
        <v>10654</v>
      </c>
      <c r="C54" s="23" t="s">
        <v>10655</v>
      </c>
      <c r="D54" s="23" t="s">
        <v>10656</v>
      </c>
      <c r="E54" s="23" t="s">
        <v>395</v>
      </c>
      <c r="F54" s="23" t="s">
        <v>395</v>
      </c>
      <c r="G54" s="23" t="s">
        <v>10657</v>
      </c>
      <c r="H54" s="23" t="s">
        <v>10658</v>
      </c>
      <c r="I54" s="23" t="s">
        <v>10279</v>
      </c>
      <c r="J54" s="23" t="s">
        <v>10659</v>
      </c>
      <c r="K54" s="23"/>
      <c r="L54" s="23"/>
      <c r="M54" s="23"/>
      <c r="N54" s="23"/>
      <c r="O54" s="23"/>
      <c r="P54" s="24"/>
      <c r="Q54" s="24"/>
      <c r="R54" s="24"/>
      <c r="S54" s="24"/>
      <c r="T54" s="24"/>
      <c r="U54" s="24"/>
      <c r="V54" s="24"/>
      <c r="W54" s="24"/>
      <c r="X54" s="24"/>
      <c r="Y54" s="24"/>
      <c r="Z54" s="24"/>
    </row>
    <row r="55" ht="15.75" customHeight="1">
      <c r="A55" s="23" t="s">
        <v>10660</v>
      </c>
      <c r="B55" s="23" t="s">
        <v>10661</v>
      </c>
      <c r="C55" s="23" t="s">
        <v>10662</v>
      </c>
      <c r="D55" s="23" t="s">
        <v>10663</v>
      </c>
      <c r="E55" s="23" t="s">
        <v>55</v>
      </c>
      <c r="F55" s="23" t="s">
        <v>55</v>
      </c>
      <c r="G55" s="23" t="s">
        <v>10664</v>
      </c>
      <c r="H55" s="23" t="s">
        <v>10665</v>
      </c>
      <c r="I55" s="23" t="s">
        <v>10279</v>
      </c>
      <c r="J55" s="23" t="s">
        <v>10666</v>
      </c>
      <c r="K55" s="23"/>
      <c r="L55" s="23"/>
      <c r="M55" s="23"/>
      <c r="N55" s="23"/>
      <c r="O55" s="23"/>
      <c r="P55" s="24"/>
      <c r="Q55" s="24"/>
      <c r="R55" s="24"/>
      <c r="S55" s="24"/>
      <c r="T55" s="24"/>
      <c r="U55" s="24"/>
      <c r="V55" s="24"/>
      <c r="W55" s="24"/>
      <c r="X55" s="24"/>
      <c r="Y55" s="24"/>
      <c r="Z55" s="24"/>
    </row>
    <row r="56" ht="15.75" customHeight="1">
      <c r="A56" s="23" t="s">
        <v>10667</v>
      </c>
      <c r="B56" s="23" t="s">
        <v>10668</v>
      </c>
      <c r="C56" s="23" t="s">
        <v>10669</v>
      </c>
      <c r="D56" s="23" t="s">
        <v>10670</v>
      </c>
      <c r="E56" s="23" t="s">
        <v>55</v>
      </c>
      <c r="F56" s="23" t="s">
        <v>55</v>
      </c>
      <c r="G56" s="23" t="s">
        <v>10671</v>
      </c>
      <c r="H56" s="23" t="s">
        <v>10672</v>
      </c>
      <c r="I56" s="23" t="s">
        <v>10279</v>
      </c>
      <c r="J56" s="23" t="s">
        <v>10673</v>
      </c>
      <c r="K56" s="23"/>
      <c r="L56" s="23"/>
      <c r="M56" s="23"/>
      <c r="N56" s="23"/>
      <c r="O56" s="23"/>
      <c r="P56" s="24"/>
      <c r="Q56" s="24"/>
      <c r="R56" s="24"/>
      <c r="S56" s="24"/>
      <c r="T56" s="24"/>
      <c r="U56" s="24"/>
      <c r="V56" s="24"/>
      <c r="W56" s="24"/>
      <c r="X56" s="24"/>
      <c r="Y56" s="24"/>
      <c r="Z56" s="24"/>
    </row>
    <row r="57" ht="15.75" customHeight="1">
      <c r="A57" s="23" t="s">
        <v>10674</v>
      </c>
      <c r="B57" s="23" t="s">
        <v>10675</v>
      </c>
      <c r="C57" s="23" t="s">
        <v>10676</v>
      </c>
      <c r="D57" s="23" t="s">
        <v>10677</v>
      </c>
      <c r="E57" s="23" t="s">
        <v>231</v>
      </c>
      <c r="F57" s="23" t="s">
        <v>231</v>
      </c>
      <c r="G57" s="23" t="s">
        <v>10678</v>
      </c>
      <c r="H57" s="23" t="s">
        <v>10679</v>
      </c>
      <c r="I57" s="23" t="s">
        <v>10279</v>
      </c>
      <c r="J57" s="23" t="s">
        <v>10680</v>
      </c>
      <c r="K57" s="23"/>
      <c r="L57" s="23"/>
      <c r="M57" s="23"/>
      <c r="N57" s="23"/>
      <c r="O57" s="23"/>
      <c r="P57" s="24"/>
      <c r="Q57" s="24"/>
      <c r="R57" s="24"/>
      <c r="S57" s="24"/>
      <c r="T57" s="24"/>
      <c r="U57" s="24"/>
      <c r="V57" s="24"/>
      <c r="W57" s="24"/>
      <c r="X57" s="24"/>
      <c r="Y57" s="24"/>
      <c r="Z57" s="24"/>
    </row>
    <row r="58" ht="15.75" customHeight="1">
      <c r="A58" s="23" t="s">
        <v>10681</v>
      </c>
      <c r="B58" s="23" t="s">
        <v>10682</v>
      </c>
      <c r="C58" s="23" t="s">
        <v>10683</v>
      </c>
      <c r="D58" s="23" t="s">
        <v>10684</v>
      </c>
      <c r="E58" s="23" t="s">
        <v>129</v>
      </c>
      <c r="F58" s="23" t="s">
        <v>129</v>
      </c>
      <c r="G58" s="23" t="s">
        <v>10685</v>
      </c>
      <c r="H58" s="23" t="s">
        <v>10686</v>
      </c>
      <c r="I58" s="23" t="s">
        <v>10279</v>
      </c>
      <c r="J58" s="23" t="s">
        <v>10590</v>
      </c>
      <c r="K58" s="23"/>
      <c r="L58" s="23"/>
      <c r="M58" s="23"/>
      <c r="N58" s="23"/>
      <c r="O58" s="23"/>
      <c r="P58" s="24"/>
      <c r="Q58" s="24"/>
      <c r="R58" s="24"/>
      <c r="S58" s="24"/>
      <c r="T58" s="24"/>
      <c r="U58" s="24"/>
      <c r="V58" s="24"/>
      <c r="W58" s="24"/>
      <c r="X58" s="24"/>
      <c r="Y58" s="24"/>
      <c r="Z58" s="24"/>
    </row>
    <row r="59" ht="15.75" customHeight="1">
      <c r="A59" s="23" t="s">
        <v>10687</v>
      </c>
      <c r="B59" s="23" t="s">
        <v>10688</v>
      </c>
      <c r="C59" s="23" t="s">
        <v>10689</v>
      </c>
      <c r="D59" s="23" t="s">
        <v>10690</v>
      </c>
      <c r="E59" s="23" t="s">
        <v>231</v>
      </c>
      <c r="F59" s="23" t="s">
        <v>231</v>
      </c>
      <c r="G59" s="23" t="s">
        <v>10691</v>
      </c>
      <c r="H59" s="23" t="s">
        <v>10692</v>
      </c>
      <c r="I59" s="23" t="s">
        <v>10279</v>
      </c>
      <c r="J59" s="23" t="s">
        <v>10693</v>
      </c>
      <c r="K59" s="23"/>
      <c r="L59" s="23"/>
      <c r="M59" s="23"/>
      <c r="N59" s="23"/>
      <c r="O59" s="23"/>
      <c r="P59" s="24"/>
      <c r="Q59" s="24"/>
      <c r="R59" s="24"/>
      <c r="S59" s="24"/>
      <c r="T59" s="24"/>
      <c r="U59" s="24"/>
      <c r="V59" s="24"/>
      <c r="W59" s="24"/>
      <c r="X59" s="24"/>
      <c r="Y59" s="24"/>
      <c r="Z59" s="24"/>
    </row>
    <row r="60" ht="15.75" customHeight="1">
      <c r="A60" s="23" t="s">
        <v>10694</v>
      </c>
      <c r="B60" s="23" t="s">
        <v>10695</v>
      </c>
      <c r="C60" s="23" t="s">
        <v>10696</v>
      </c>
      <c r="D60" s="23" t="s">
        <v>10697</v>
      </c>
      <c r="E60" s="23" t="s">
        <v>7295</v>
      </c>
      <c r="F60" s="23" t="s">
        <v>10698</v>
      </c>
      <c r="G60" s="23" t="s">
        <v>10699</v>
      </c>
      <c r="H60" s="23" t="s">
        <v>10700</v>
      </c>
      <c r="I60" s="23" t="s">
        <v>10279</v>
      </c>
      <c r="J60" s="23" t="s">
        <v>10280</v>
      </c>
      <c r="K60" s="23"/>
      <c r="L60" s="23"/>
      <c r="M60" s="23"/>
      <c r="N60" s="23"/>
      <c r="O60" s="23"/>
      <c r="P60" s="24"/>
      <c r="Q60" s="24"/>
      <c r="R60" s="24"/>
      <c r="S60" s="24"/>
      <c r="T60" s="24"/>
      <c r="U60" s="24"/>
      <c r="V60" s="24"/>
      <c r="W60" s="24"/>
      <c r="X60" s="24"/>
      <c r="Y60" s="24"/>
      <c r="Z60" s="24"/>
    </row>
    <row r="61" ht="15.75" customHeight="1">
      <c r="A61" s="23" t="s">
        <v>10701</v>
      </c>
      <c r="B61" s="23" t="s">
        <v>10702</v>
      </c>
      <c r="C61" s="23" t="s">
        <v>10703</v>
      </c>
      <c r="D61" s="23" t="s">
        <v>10704</v>
      </c>
      <c r="E61" s="23" t="s">
        <v>10705</v>
      </c>
      <c r="F61" s="23" t="s">
        <v>10706</v>
      </c>
      <c r="G61" s="23" t="s">
        <v>10707</v>
      </c>
      <c r="H61" s="23" t="s">
        <v>10701</v>
      </c>
      <c r="I61" s="23" t="s">
        <v>10279</v>
      </c>
      <c r="J61" s="23" t="s">
        <v>10314</v>
      </c>
      <c r="K61" s="23"/>
      <c r="L61" s="23"/>
      <c r="M61" s="23"/>
      <c r="N61" s="23"/>
      <c r="O61" s="23"/>
      <c r="P61" s="24"/>
      <c r="Q61" s="24"/>
      <c r="R61" s="24"/>
      <c r="S61" s="24"/>
      <c r="T61" s="24"/>
      <c r="U61" s="24"/>
      <c r="V61" s="24"/>
      <c r="W61" s="24"/>
      <c r="X61" s="24"/>
      <c r="Y61" s="24"/>
      <c r="Z61" s="24"/>
    </row>
    <row r="62" ht="15.75" customHeight="1">
      <c r="A62" s="23" t="s">
        <v>10708</v>
      </c>
      <c r="B62" s="23" t="s">
        <v>10709</v>
      </c>
      <c r="C62" s="23" t="s">
        <v>10710</v>
      </c>
      <c r="D62" s="23" t="s">
        <v>10711</v>
      </c>
      <c r="E62" s="23" t="s">
        <v>6474</v>
      </c>
      <c r="F62" s="23" t="s">
        <v>3008</v>
      </c>
      <c r="G62" s="23" t="s">
        <v>10712</v>
      </c>
      <c r="H62" s="23" t="s">
        <v>10713</v>
      </c>
      <c r="I62" s="23" t="s">
        <v>10279</v>
      </c>
      <c r="J62" s="23" t="s">
        <v>10714</v>
      </c>
      <c r="K62" s="23"/>
      <c r="L62" s="23"/>
      <c r="M62" s="23"/>
      <c r="N62" s="23"/>
      <c r="O62" s="23"/>
      <c r="P62" s="24"/>
      <c r="Q62" s="24"/>
      <c r="R62" s="24"/>
      <c r="S62" s="24"/>
      <c r="T62" s="24"/>
      <c r="U62" s="24"/>
      <c r="V62" s="24"/>
      <c r="W62" s="24"/>
      <c r="X62" s="24"/>
      <c r="Y62" s="24"/>
      <c r="Z62" s="24"/>
    </row>
    <row r="63" ht="15.75" customHeight="1">
      <c r="A63" s="23" t="s">
        <v>10715</v>
      </c>
      <c r="B63" s="23" t="s">
        <v>10716</v>
      </c>
      <c r="C63" s="23" t="s">
        <v>10717</v>
      </c>
      <c r="D63" s="23" t="s">
        <v>10718</v>
      </c>
      <c r="E63" s="23" t="s">
        <v>100</v>
      </c>
      <c r="F63" s="23" t="s">
        <v>100</v>
      </c>
      <c r="G63" s="23" t="s">
        <v>10719</v>
      </c>
      <c r="H63" s="23" t="s">
        <v>10720</v>
      </c>
      <c r="I63" s="23" t="s">
        <v>10279</v>
      </c>
      <c r="J63" s="23" t="s">
        <v>10721</v>
      </c>
      <c r="K63" s="23"/>
      <c r="L63" s="23"/>
      <c r="M63" s="23"/>
      <c r="N63" s="23"/>
      <c r="O63" s="23"/>
      <c r="P63" s="24"/>
      <c r="Q63" s="24"/>
      <c r="R63" s="24"/>
      <c r="S63" s="24"/>
      <c r="T63" s="24"/>
      <c r="U63" s="24"/>
      <c r="V63" s="24"/>
      <c r="W63" s="24"/>
      <c r="X63" s="24"/>
      <c r="Y63" s="24"/>
      <c r="Z63" s="24"/>
    </row>
    <row r="64" ht="15.75" customHeight="1">
      <c r="A64" s="23" t="s">
        <v>10722</v>
      </c>
      <c r="B64" s="23" t="s">
        <v>10723</v>
      </c>
      <c r="C64" s="23"/>
      <c r="D64" s="23" t="s">
        <v>10724</v>
      </c>
      <c r="E64" s="23" t="s">
        <v>10725</v>
      </c>
      <c r="F64" s="23"/>
      <c r="G64" s="23" t="s">
        <v>10726</v>
      </c>
      <c r="H64" s="23" t="s">
        <v>10727</v>
      </c>
      <c r="I64" s="23" t="s">
        <v>10279</v>
      </c>
      <c r="J64" s="23" t="s">
        <v>10280</v>
      </c>
      <c r="K64" s="23"/>
      <c r="L64" s="23"/>
      <c r="M64" s="23"/>
      <c r="N64" s="23"/>
      <c r="O64" s="23"/>
      <c r="P64" s="24"/>
      <c r="Q64" s="24"/>
      <c r="R64" s="24"/>
      <c r="S64" s="24"/>
      <c r="T64" s="24"/>
      <c r="U64" s="24"/>
      <c r="V64" s="24"/>
      <c r="W64" s="24"/>
      <c r="X64" s="24"/>
      <c r="Y64" s="24"/>
      <c r="Z64" s="24"/>
    </row>
    <row r="65" ht="15.75" customHeight="1">
      <c r="A65" s="23" t="s">
        <v>10728</v>
      </c>
      <c r="B65" s="23" t="s">
        <v>10729</v>
      </c>
      <c r="C65" s="23" t="s">
        <v>10730</v>
      </c>
      <c r="D65" s="23" t="s">
        <v>10731</v>
      </c>
      <c r="E65" s="23" t="s">
        <v>813</v>
      </c>
      <c r="F65" s="23" t="s">
        <v>813</v>
      </c>
      <c r="G65" s="23" t="s">
        <v>10732</v>
      </c>
      <c r="H65" s="23" t="s">
        <v>10733</v>
      </c>
      <c r="I65" s="23" t="s">
        <v>10279</v>
      </c>
      <c r="J65" s="23" t="s">
        <v>10734</v>
      </c>
      <c r="K65" s="23"/>
      <c r="L65" s="23"/>
      <c r="M65" s="23"/>
      <c r="N65" s="23"/>
      <c r="O65" s="23"/>
      <c r="P65" s="24"/>
      <c r="Q65" s="24"/>
      <c r="R65" s="24"/>
      <c r="S65" s="24"/>
      <c r="T65" s="24"/>
      <c r="U65" s="24"/>
      <c r="V65" s="24"/>
      <c r="W65" s="24"/>
      <c r="X65" s="24"/>
      <c r="Y65" s="24"/>
      <c r="Z65" s="24"/>
    </row>
    <row r="66" ht="15.75" customHeight="1">
      <c r="A66" s="23" t="s">
        <v>10735</v>
      </c>
      <c r="B66" s="23" t="s">
        <v>10736</v>
      </c>
      <c r="C66" s="23" t="s">
        <v>10737</v>
      </c>
      <c r="D66" s="23" t="s">
        <v>10738</v>
      </c>
      <c r="E66" s="23" t="s">
        <v>231</v>
      </c>
      <c r="F66" s="23" t="s">
        <v>231</v>
      </c>
      <c r="G66" s="23" t="s">
        <v>10739</v>
      </c>
      <c r="H66" s="23" t="s">
        <v>10740</v>
      </c>
      <c r="I66" s="23" t="s">
        <v>10279</v>
      </c>
      <c r="J66" s="23" t="s">
        <v>10741</v>
      </c>
      <c r="K66" s="23"/>
      <c r="L66" s="23"/>
      <c r="M66" s="23"/>
      <c r="N66" s="23"/>
      <c r="O66" s="23"/>
      <c r="P66" s="24"/>
      <c r="Q66" s="24"/>
      <c r="R66" s="24"/>
      <c r="S66" s="24"/>
      <c r="T66" s="24"/>
      <c r="U66" s="24"/>
      <c r="V66" s="24"/>
      <c r="W66" s="24"/>
      <c r="X66" s="24"/>
      <c r="Y66" s="24"/>
      <c r="Z66" s="24"/>
    </row>
    <row r="67" ht="15.75" customHeight="1">
      <c r="A67" s="23" t="s">
        <v>10742</v>
      </c>
      <c r="B67" s="23" t="s">
        <v>10743</v>
      </c>
      <c r="C67" s="23"/>
      <c r="D67" s="23" t="s">
        <v>10744</v>
      </c>
      <c r="E67" s="23" t="s">
        <v>10745</v>
      </c>
      <c r="F67" s="23" t="s">
        <v>55</v>
      </c>
      <c r="G67" s="23" t="s">
        <v>10746</v>
      </c>
      <c r="H67" s="23" t="s">
        <v>10747</v>
      </c>
      <c r="I67" s="23" t="s">
        <v>10279</v>
      </c>
      <c r="J67" s="23" t="s">
        <v>10748</v>
      </c>
      <c r="K67" s="23"/>
      <c r="L67" s="23"/>
      <c r="M67" s="23"/>
      <c r="N67" s="23"/>
      <c r="O67" s="23"/>
      <c r="P67" s="24"/>
      <c r="Q67" s="24"/>
      <c r="R67" s="24"/>
      <c r="S67" s="24"/>
      <c r="T67" s="24"/>
      <c r="U67" s="24"/>
      <c r="V67" s="24"/>
      <c r="W67" s="24"/>
      <c r="X67" s="24"/>
      <c r="Y67" s="24"/>
      <c r="Z67" s="24"/>
    </row>
    <row r="68" ht="15.75" customHeight="1">
      <c r="A68" s="23" t="s">
        <v>10749</v>
      </c>
      <c r="B68" s="23" t="s">
        <v>10750</v>
      </c>
      <c r="C68" s="23" t="s">
        <v>10751</v>
      </c>
      <c r="D68" s="23" t="s">
        <v>10752</v>
      </c>
      <c r="E68" s="23" t="s">
        <v>231</v>
      </c>
      <c r="F68" s="23" t="s">
        <v>231</v>
      </c>
      <c r="G68" s="23" t="s">
        <v>10753</v>
      </c>
      <c r="H68" s="23" t="s">
        <v>10754</v>
      </c>
      <c r="I68" s="23" t="s">
        <v>10279</v>
      </c>
      <c r="J68" s="23" t="s">
        <v>10280</v>
      </c>
      <c r="K68" s="23"/>
      <c r="L68" s="23"/>
      <c r="M68" s="23"/>
      <c r="N68" s="23"/>
      <c r="O68" s="23"/>
      <c r="P68" s="24"/>
      <c r="Q68" s="24"/>
      <c r="R68" s="24"/>
      <c r="S68" s="24"/>
      <c r="T68" s="24"/>
      <c r="U68" s="24"/>
      <c r="V68" s="24"/>
      <c r="W68" s="24"/>
      <c r="X68" s="24"/>
      <c r="Y68" s="24"/>
      <c r="Z68" s="24"/>
    </row>
    <row r="69" ht="15.75" customHeight="1">
      <c r="A69" s="23" t="s">
        <v>10755</v>
      </c>
      <c r="B69" s="23" t="s">
        <v>10756</v>
      </c>
      <c r="C69" s="23" t="s">
        <v>10757</v>
      </c>
      <c r="D69" s="23" t="s">
        <v>10758</v>
      </c>
      <c r="E69" s="23" t="s">
        <v>813</v>
      </c>
      <c r="F69" s="23" t="s">
        <v>813</v>
      </c>
      <c r="G69" s="23" t="s">
        <v>10759</v>
      </c>
      <c r="H69" s="23" t="s">
        <v>10760</v>
      </c>
      <c r="I69" s="23" t="s">
        <v>10279</v>
      </c>
      <c r="J69" s="23" t="s">
        <v>10761</v>
      </c>
      <c r="K69" s="23"/>
      <c r="L69" s="23"/>
      <c r="M69" s="23"/>
      <c r="N69" s="23"/>
      <c r="O69" s="23"/>
      <c r="P69" s="24"/>
      <c r="Q69" s="24"/>
      <c r="R69" s="24"/>
      <c r="S69" s="24"/>
      <c r="T69" s="24"/>
      <c r="U69" s="24"/>
      <c r="V69" s="24"/>
      <c r="W69" s="24"/>
      <c r="X69" s="24"/>
      <c r="Y69" s="24"/>
      <c r="Z69" s="24"/>
    </row>
    <row r="70" ht="15.75" customHeight="1">
      <c r="A70" s="23" t="s">
        <v>10762</v>
      </c>
      <c r="B70" s="23" t="s">
        <v>10763</v>
      </c>
      <c r="C70" s="23" t="s">
        <v>10764</v>
      </c>
      <c r="D70" s="23" t="s">
        <v>10765</v>
      </c>
      <c r="E70" s="23" t="s">
        <v>10766</v>
      </c>
      <c r="F70" s="23" t="s">
        <v>2660</v>
      </c>
      <c r="G70" s="23" t="s">
        <v>10767</v>
      </c>
      <c r="H70" s="23" t="s">
        <v>10768</v>
      </c>
      <c r="I70" s="23" t="s">
        <v>10279</v>
      </c>
      <c r="J70" s="23" t="s">
        <v>10769</v>
      </c>
      <c r="K70" s="23"/>
      <c r="L70" s="23"/>
      <c r="M70" s="23"/>
      <c r="N70" s="23"/>
      <c r="O70" s="23"/>
      <c r="P70" s="24"/>
      <c r="Q70" s="24"/>
      <c r="R70" s="24"/>
      <c r="S70" s="24"/>
      <c r="T70" s="24"/>
      <c r="U70" s="24"/>
      <c r="V70" s="24"/>
      <c r="W70" s="24"/>
      <c r="X70" s="24"/>
      <c r="Y70" s="24"/>
      <c r="Z70" s="24"/>
    </row>
    <row r="71" ht="15.75" customHeight="1">
      <c r="A71" s="23" t="s">
        <v>10770</v>
      </c>
      <c r="B71" s="23" t="s">
        <v>10771</v>
      </c>
      <c r="C71" s="23"/>
      <c r="D71" s="23" t="s">
        <v>10772</v>
      </c>
      <c r="E71" s="23" t="s">
        <v>55</v>
      </c>
      <c r="F71" s="23" t="s">
        <v>55</v>
      </c>
      <c r="G71" s="23" t="s">
        <v>10773</v>
      </c>
      <c r="H71" s="23" t="s">
        <v>10774</v>
      </c>
      <c r="I71" s="23" t="s">
        <v>10279</v>
      </c>
      <c r="J71" s="23" t="s">
        <v>10321</v>
      </c>
      <c r="K71" s="23"/>
      <c r="L71" s="23"/>
      <c r="M71" s="23"/>
      <c r="N71" s="23"/>
      <c r="O71" s="23"/>
      <c r="P71" s="24"/>
      <c r="Q71" s="24"/>
      <c r="R71" s="24"/>
      <c r="S71" s="24"/>
      <c r="T71" s="24"/>
      <c r="U71" s="24"/>
      <c r="V71" s="24"/>
      <c r="W71" s="24"/>
      <c r="X71" s="24"/>
      <c r="Y71" s="24"/>
      <c r="Z71" s="24"/>
    </row>
    <row r="72" ht="15.75" customHeight="1">
      <c r="A72" s="23" t="s">
        <v>10775</v>
      </c>
      <c r="B72" s="23" t="s">
        <v>10776</v>
      </c>
      <c r="C72" s="23" t="s">
        <v>10777</v>
      </c>
      <c r="D72" s="23" t="s">
        <v>10778</v>
      </c>
      <c r="E72" s="23" t="s">
        <v>7605</v>
      </c>
      <c r="F72" s="23" t="s">
        <v>231</v>
      </c>
      <c r="G72" s="23" t="s">
        <v>10779</v>
      </c>
      <c r="H72" s="23" t="s">
        <v>10780</v>
      </c>
      <c r="I72" s="23" t="s">
        <v>10279</v>
      </c>
      <c r="J72" s="23" t="s">
        <v>10328</v>
      </c>
      <c r="K72" s="23"/>
      <c r="L72" s="23"/>
      <c r="M72" s="23"/>
      <c r="N72" s="23"/>
      <c r="O72" s="23"/>
      <c r="P72" s="24"/>
      <c r="Q72" s="24"/>
      <c r="R72" s="24"/>
      <c r="S72" s="24"/>
      <c r="T72" s="24"/>
      <c r="U72" s="24"/>
      <c r="V72" s="24"/>
      <c r="W72" s="24"/>
      <c r="X72" s="24"/>
      <c r="Y72" s="24"/>
      <c r="Z72" s="24"/>
    </row>
    <row r="73" ht="15.75" customHeight="1">
      <c r="A73" s="23" t="s">
        <v>10781</v>
      </c>
      <c r="B73" s="23" t="s">
        <v>10782</v>
      </c>
      <c r="C73" s="23" t="s">
        <v>10783</v>
      </c>
      <c r="D73" s="23" t="s">
        <v>10784</v>
      </c>
      <c r="E73" s="23" t="s">
        <v>55</v>
      </c>
      <c r="F73" s="23" t="s">
        <v>55</v>
      </c>
      <c r="G73" s="23" t="s">
        <v>10785</v>
      </c>
      <c r="H73" s="23" t="s">
        <v>10786</v>
      </c>
      <c r="I73" s="23" t="s">
        <v>10279</v>
      </c>
      <c r="J73" s="23" t="s">
        <v>10321</v>
      </c>
      <c r="K73" s="23"/>
      <c r="L73" s="23"/>
      <c r="M73" s="23"/>
      <c r="N73" s="23"/>
      <c r="O73" s="23"/>
      <c r="P73" s="24"/>
      <c r="Q73" s="24"/>
      <c r="R73" s="24"/>
      <c r="S73" s="24"/>
      <c r="T73" s="24"/>
      <c r="U73" s="24"/>
      <c r="V73" s="24"/>
      <c r="W73" s="24"/>
      <c r="X73" s="24"/>
      <c r="Y73" s="24"/>
      <c r="Z73" s="24"/>
    </row>
    <row r="74" ht="15.75" customHeight="1">
      <c r="A74" s="23" t="s">
        <v>10787</v>
      </c>
      <c r="B74" s="23" t="s">
        <v>10788</v>
      </c>
      <c r="C74" s="23" t="s">
        <v>10789</v>
      </c>
      <c r="D74" s="23" t="s">
        <v>10790</v>
      </c>
      <c r="E74" s="23" t="s">
        <v>1352</v>
      </c>
      <c r="F74" s="23" t="s">
        <v>1352</v>
      </c>
      <c r="G74" s="23" t="s">
        <v>10791</v>
      </c>
      <c r="H74" s="23" t="s">
        <v>10792</v>
      </c>
      <c r="I74" s="23" t="s">
        <v>10279</v>
      </c>
      <c r="J74" s="23" t="s">
        <v>10793</v>
      </c>
      <c r="K74" s="23"/>
      <c r="L74" s="23"/>
      <c r="M74" s="23"/>
      <c r="N74" s="23"/>
      <c r="O74" s="23"/>
      <c r="P74" s="24"/>
      <c r="Q74" s="24"/>
      <c r="R74" s="24"/>
      <c r="S74" s="24"/>
      <c r="T74" s="24"/>
      <c r="U74" s="24"/>
      <c r="V74" s="24"/>
      <c r="W74" s="24"/>
      <c r="X74" s="24"/>
      <c r="Y74" s="24"/>
      <c r="Z74" s="24"/>
    </row>
    <row r="75" ht="15.75" customHeight="1">
      <c r="A75" s="23" t="s">
        <v>10794</v>
      </c>
      <c r="B75" s="23" t="s">
        <v>10795</v>
      </c>
      <c r="C75" s="23" t="s">
        <v>10796</v>
      </c>
      <c r="D75" s="23" t="s">
        <v>10797</v>
      </c>
      <c r="E75" s="23" t="s">
        <v>55</v>
      </c>
      <c r="F75" s="23" t="s">
        <v>55</v>
      </c>
      <c r="G75" s="23" t="s">
        <v>10798</v>
      </c>
      <c r="H75" s="23" t="s">
        <v>10799</v>
      </c>
      <c r="I75" s="23" t="s">
        <v>10279</v>
      </c>
      <c r="J75" s="23" t="s">
        <v>10800</v>
      </c>
      <c r="K75" s="23"/>
      <c r="L75" s="23"/>
      <c r="M75" s="23"/>
      <c r="N75" s="23"/>
      <c r="O75" s="23"/>
      <c r="P75" s="24"/>
      <c r="Q75" s="24"/>
      <c r="R75" s="24"/>
      <c r="S75" s="24"/>
      <c r="T75" s="24"/>
      <c r="U75" s="24"/>
      <c r="V75" s="24"/>
      <c r="W75" s="24"/>
      <c r="X75" s="24"/>
      <c r="Y75" s="24"/>
      <c r="Z75" s="24"/>
    </row>
    <row r="76" ht="15.75" customHeight="1">
      <c r="A76" s="23" t="s">
        <v>10801</v>
      </c>
      <c r="B76" s="23" t="s">
        <v>10802</v>
      </c>
      <c r="C76" s="23" t="s">
        <v>10803</v>
      </c>
      <c r="D76" s="23" t="s">
        <v>10804</v>
      </c>
      <c r="E76" s="23" t="s">
        <v>10805</v>
      </c>
      <c r="F76" s="23" t="s">
        <v>4846</v>
      </c>
      <c r="G76" s="23" t="s">
        <v>10806</v>
      </c>
      <c r="H76" s="23" t="s">
        <v>10807</v>
      </c>
      <c r="I76" s="23" t="s">
        <v>10279</v>
      </c>
      <c r="J76" s="23" t="s">
        <v>10808</v>
      </c>
      <c r="K76" s="23"/>
      <c r="L76" s="23"/>
      <c r="M76" s="23"/>
      <c r="N76" s="23"/>
      <c r="O76" s="23"/>
      <c r="P76" s="24"/>
      <c r="Q76" s="24"/>
      <c r="R76" s="24"/>
      <c r="S76" s="24"/>
      <c r="T76" s="24"/>
      <c r="U76" s="24"/>
      <c r="V76" s="24"/>
      <c r="W76" s="24"/>
      <c r="X76" s="24"/>
      <c r="Y76" s="24"/>
      <c r="Z76" s="24"/>
    </row>
    <row r="77" ht="15.75" customHeight="1">
      <c r="A77" s="23" t="s">
        <v>10809</v>
      </c>
      <c r="B77" s="23" t="s">
        <v>10810</v>
      </c>
      <c r="C77" s="23" t="s">
        <v>10811</v>
      </c>
      <c r="D77" s="23" t="s">
        <v>10812</v>
      </c>
      <c r="E77" s="23" t="s">
        <v>55</v>
      </c>
      <c r="F77" s="23" t="s">
        <v>55</v>
      </c>
      <c r="G77" s="23" t="s">
        <v>10813</v>
      </c>
      <c r="H77" s="23" t="s">
        <v>10814</v>
      </c>
      <c r="I77" s="23" t="s">
        <v>10279</v>
      </c>
      <c r="J77" s="23" t="s">
        <v>10815</v>
      </c>
      <c r="K77" s="23"/>
      <c r="L77" s="23"/>
      <c r="M77" s="23"/>
      <c r="N77" s="23"/>
      <c r="O77" s="23"/>
      <c r="P77" s="24"/>
      <c r="Q77" s="24"/>
      <c r="R77" s="24"/>
      <c r="S77" s="24"/>
      <c r="T77" s="24"/>
      <c r="U77" s="24"/>
      <c r="V77" s="24"/>
      <c r="W77" s="24"/>
      <c r="X77" s="24"/>
      <c r="Y77" s="24"/>
      <c r="Z77" s="24"/>
    </row>
    <row r="78" ht="15.75" customHeight="1">
      <c r="A78" s="23" t="s">
        <v>10816</v>
      </c>
      <c r="B78" s="23" t="s">
        <v>10817</v>
      </c>
      <c r="C78" s="23" t="s">
        <v>10818</v>
      </c>
      <c r="D78" s="23" t="s">
        <v>10819</v>
      </c>
      <c r="E78" s="23" t="s">
        <v>10820</v>
      </c>
      <c r="F78" s="23" t="s">
        <v>926</v>
      </c>
      <c r="G78" s="23" t="s">
        <v>10821</v>
      </c>
      <c r="H78" s="23" t="s">
        <v>10822</v>
      </c>
      <c r="I78" s="23" t="s">
        <v>10279</v>
      </c>
      <c r="J78" s="23" t="s">
        <v>10823</v>
      </c>
      <c r="K78" s="23"/>
      <c r="L78" s="23"/>
      <c r="M78" s="23"/>
      <c r="N78" s="23"/>
      <c r="O78" s="23"/>
      <c r="P78" s="24"/>
      <c r="Q78" s="24"/>
      <c r="R78" s="24"/>
      <c r="S78" s="24"/>
      <c r="T78" s="24"/>
      <c r="U78" s="24"/>
      <c r="V78" s="24"/>
      <c r="W78" s="24"/>
      <c r="X78" s="24"/>
      <c r="Y78" s="24"/>
      <c r="Z78" s="24"/>
    </row>
    <row r="79" ht="15.75" customHeight="1">
      <c r="A79" s="23" t="s">
        <v>10824</v>
      </c>
      <c r="B79" s="23" t="s">
        <v>10825</v>
      </c>
      <c r="C79" s="23" t="s">
        <v>10826</v>
      </c>
      <c r="D79" s="23" t="s">
        <v>10827</v>
      </c>
      <c r="E79" s="23" t="s">
        <v>10828</v>
      </c>
      <c r="F79" s="23" t="s">
        <v>1612</v>
      </c>
      <c r="G79" s="23" t="s">
        <v>10829</v>
      </c>
      <c r="H79" s="23" t="s">
        <v>10830</v>
      </c>
      <c r="I79" s="23" t="s">
        <v>10279</v>
      </c>
      <c r="J79" s="23" t="s">
        <v>10831</v>
      </c>
      <c r="K79" s="23"/>
      <c r="L79" s="23"/>
      <c r="M79" s="23"/>
      <c r="N79" s="23"/>
      <c r="O79" s="23"/>
      <c r="P79" s="24"/>
      <c r="Q79" s="24"/>
      <c r="R79" s="24"/>
      <c r="S79" s="24"/>
      <c r="T79" s="24"/>
      <c r="U79" s="24"/>
      <c r="V79" s="24"/>
      <c r="W79" s="24"/>
      <c r="X79" s="24"/>
      <c r="Y79" s="24"/>
      <c r="Z79" s="24"/>
    </row>
    <row r="80" ht="15.75" customHeight="1">
      <c r="A80" s="23" t="s">
        <v>10832</v>
      </c>
      <c r="B80" s="23" t="s">
        <v>10833</v>
      </c>
      <c r="C80" s="23" t="s">
        <v>10834</v>
      </c>
      <c r="D80" s="23" t="s">
        <v>10835</v>
      </c>
      <c r="E80" s="23" t="s">
        <v>55</v>
      </c>
      <c r="F80" s="23" t="s">
        <v>55</v>
      </c>
      <c r="G80" s="23" t="s">
        <v>10836</v>
      </c>
      <c r="H80" s="23"/>
      <c r="I80" s="23" t="s">
        <v>10279</v>
      </c>
      <c r="J80" s="23" t="s">
        <v>10837</v>
      </c>
      <c r="K80" s="23"/>
      <c r="L80" s="23"/>
      <c r="M80" s="23"/>
      <c r="N80" s="23"/>
      <c r="O80" s="23"/>
      <c r="P80" s="24"/>
      <c r="Q80" s="24"/>
      <c r="R80" s="24"/>
      <c r="S80" s="24"/>
      <c r="T80" s="24"/>
      <c r="U80" s="24"/>
      <c r="V80" s="24"/>
      <c r="W80" s="24"/>
      <c r="X80" s="24"/>
      <c r="Y80" s="24"/>
      <c r="Z80" s="24"/>
    </row>
    <row r="81" ht="15.75" customHeight="1">
      <c r="A81" s="23" t="s">
        <v>10838</v>
      </c>
      <c r="B81" s="23" t="s">
        <v>10839</v>
      </c>
      <c r="C81" s="23" t="s">
        <v>10840</v>
      </c>
      <c r="D81" s="23" t="s">
        <v>10841</v>
      </c>
      <c r="E81" s="23" t="s">
        <v>10842</v>
      </c>
      <c r="F81" s="23" t="s">
        <v>5048</v>
      </c>
      <c r="G81" s="23" t="s">
        <v>10843</v>
      </c>
      <c r="H81" s="23" t="s">
        <v>10844</v>
      </c>
      <c r="I81" s="23" t="s">
        <v>10279</v>
      </c>
      <c r="J81" s="23" t="s">
        <v>10845</v>
      </c>
      <c r="K81" s="23"/>
      <c r="L81" s="23"/>
      <c r="M81" s="23"/>
      <c r="N81" s="23"/>
      <c r="O81" s="23"/>
      <c r="P81" s="24"/>
      <c r="Q81" s="24"/>
      <c r="R81" s="24"/>
      <c r="S81" s="24"/>
      <c r="T81" s="24"/>
      <c r="U81" s="24"/>
      <c r="V81" s="24"/>
      <c r="W81" s="24"/>
      <c r="X81" s="24"/>
      <c r="Y81" s="24"/>
      <c r="Z81" s="24"/>
    </row>
    <row r="82" ht="15.75" customHeight="1">
      <c r="A82" s="23" t="s">
        <v>10846</v>
      </c>
      <c r="B82" s="23" t="s">
        <v>10847</v>
      </c>
      <c r="C82" s="23" t="s">
        <v>10848</v>
      </c>
      <c r="D82" s="23" t="s">
        <v>10849</v>
      </c>
      <c r="E82" s="23" t="s">
        <v>55</v>
      </c>
      <c r="F82" s="23" t="s">
        <v>55</v>
      </c>
      <c r="G82" s="23" t="s">
        <v>10850</v>
      </c>
      <c r="H82" s="23" t="s">
        <v>10851</v>
      </c>
      <c r="I82" s="23" t="s">
        <v>10279</v>
      </c>
      <c r="J82" s="23" t="s">
        <v>10852</v>
      </c>
      <c r="K82" s="23"/>
      <c r="L82" s="23"/>
      <c r="M82" s="23"/>
      <c r="N82" s="23"/>
      <c r="O82" s="23"/>
      <c r="P82" s="24"/>
      <c r="Q82" s="24"/>
      <c r="R82" s="24"/>
      <c r="S82" s="24"/>
      <c r="T82" s="24"/>
      <c r="U82" s="24"/>
      <c r="V82" s="24"/>
      <c r="W82" s="24"/>
      <c r="X82" s="24"/>
      <c r="Y82" s="24"/>
      <c r="Z82" s="24"/>
    </row>
    <row r="83" ht="15.75" customHeight="1">
      <c r="A83" s="23" t="s">
        <v>10853</v>
      </c>
      <c r="B83" s="23" t="s">
        <v>10854</v>
      </c>
      <c r="C83" s="23" t="s">
        <v>10855</v>
      </c>
      <c r="D83" s="23" t="s">
        <v>10856</v>
      </c>
      <c r="E83" s="23" t="s">
        <v>7382</v>
      </c>
      <c r="F83" s="23" t="s">
        <v>1009</v>
      </c>
      <c r="G83" s="23" t="s">
        <v>10857</v>
      </c>
      <c r="H83" s="23" t="s">
        <v>10858</v>
      </c>
      <c r="I83" s="23" t="s">
        <v>10279</v>
      </c>
      <c r="J83" s="23" t="s">
        <v>10859</v>
      </c>
      <c r="K83" s="23"/>
      <c r="L83" s="23"/>
      <c r="M83" s="23"/>
      <c r="N83" s="23"/>
      <c r="O83" s="23"/>
      <c r="P83" s="24"/>
      <c r="Q83" s="24"/>
      <c r="R83" s="24"/>
      <c r="S83" s="24"/>
      <c r="T83" s="24"/>
      <c r="U83" s="24"/>
      <c r="V83" s="24"/>
      <c r="W83" s="24"/>
      <c r="X83" s="24"/>
      <c r="Y83" s="24"/>
      <c r="Z83" s="24"/>
    </row>
    <row r="84" ht="15.75" customHeight="1">
      <c r="A84" s="23" t="s">
        <v>10860</v>
      </c>
      <c r="B84" s="23" t="s">
        <v>10861</v>
      </c>
      <c r="C84" s="23" t="s">
        <v>10862</v>
      </c>
      <c r="D84" s="23" t="s">
        <v>10863</v>
      </c>
      <c r="E84" s="23" t="s">
        <v>100</v>
      </c>
      <c r="F84" s="23" t="s">
        <v>100</v>
      </c>
      <c r="G84" s="23" t="s">
        <v>10864</v>
      </c>
      <c r="H84" s="23" t="s">
        <v>10865</v>
      </c>
      <c r="I84" s="23" t="s">
        <v>10279</v>
      </c>
      <c r="J84" s="23" t="s">
        <v>10866</v>
      </c>
      <c r="K84" s="23"/>
      <c r="L84" s="23"/>
      <c r="M84" s="23"/>
      <c r="N84" s="23"/>
      <c r="O84" s="23"/>
      <c r="P84" s="24"/>
      <c r="Q84" s="24"/>
      <c r="R84" s="24"/>
      <c r="S84" s="24"/>
      <c r="T84" s="24"/>
      <c r="U84" s="24"/>
      <c r="V84" s="24"/>
      <c r="W84" s="24"/>
      <c r="X84" s="24"/>
      <c r="Y84" s="24"/>
      <c r="Z84" s="24"/>
    </row>
    <row r="85" ht="15.75" customHeight="1">
      <c r="A85" s="23" t="s">
        <v>10867</v>
      </c>
      <c r="B85" s="23" t="s">
        <v>10868</v>
      </c>
      <c r="C85" s="23" t="s">
        <v>10869</v>
      </c>
      <c r="D85" s="23" t="s">
        <v>10870</v>
      </c>
      <c r="E85" s="23" t="s">
        <v>3081</v>
      </c>
      <c r="F85" s="23" t="s">
        <v>926</v>
      </c>
      <c r="G85" s="23" t="s">
        <v>10871</v>
      </c>
      <c r="H85" s="23"/>
      <c r="I85" s="23" t="s">
        <v>10279</v>
      </c>
      <c r="J85" s="23" t="s">
        <v>10872</v>
      </c>
      <c r="K85" s="23"/>
      <c r="L85" s="23"/>
      <c r="M85" s="23"/>
      <c r="N85" s="23"/>
      <c r="O85" s="23"/>
      <c r="P85" s="24"/>
      <c r="Q85" s="24"/>
      <c r="R85" s="24"/>
      <c r="S85" s="24"/>
      <c r="T85" s="24"/>
      <c r="U85" s="24"/>
      <c r="V85" s="24"/>
      <c r="W85" s="24"/>
      <c r="X85" s="24"/>
      <c r="Y85" s="24"/>
      <c r="Z85" s="24"/>
    </row>
    <row r="86" ht="15.75" customHeight="1">
      <c r="A86" s="23" t="s">
        <v>10873</v>
      </c>
      <c r="B86" s="23" t="s">
        <v>10874</v>
      </c>
      <c r="C86" s="23"/>
      <c r="D86" s="23" t="s">
        <v>10875</v>
      </c>
      <c r="E86" s="23" t="s">
        <v>10876</v>
      </c>
      <c r="F86" s="23" t="s">
        <v>610</v>
      </c>
      <c r="G86" s="23" t="s">
        <v>10877</v>
      </c>
      <c r="H86" s="23" t="s">
        <v>10878</v>
      </c>
      <c r="I86" s="23" t="s">
        <v>10279</v>
      </c>
      <c r="J86" s="23" t="s">
        <v>10299</v>
      </c>
      <c r="K86" s="23"/>
      <c r="L86" s="23"/>
      <c r="M86" s="23"/>
      <c r="N86" s="23"/>
      <c r="O86" s="23"/>
      <c r="P86" s="24"/>
      <c r="Q86" s="24"/>
      <c r="R86" s="24"/>
      <c r="S86" s="24"/>
      <c r="T86" s="24"/>
      <c r="U86" s="24"/>
      <c r="V86" s="24"/>
      <c r="W86" s="24"/>
      <c r="X86" s="24"/>
      <c r="Y86" s="24"/>
      <c r="Z86" s="24"/>
    </row>
    <row r="87" ht="15.75" customHeight="1">
      <c r="A87" s="23" t="s">
        <v>10879</v>
      </c>
      <c r="B87" s="23" t="s">
        <v>10880</v>
      </c>
      <c r="C87" s="23"/>
      <c r="D87" s="23" t="s">
        <v>10881</v>
      </c>
      <c r="E87" s="23" t="s">
        <v>231</v>
      </c>
      <c r="F87" s="23" t="s">
        <v>231</v>
      </c>
      <c r="G87" s="23" t="s">
        <v>10882</v>
      </c>
      <c r="H87" s="23" t="s">
        <v>10883</v>
      </c>
      <c r="I87" s="23" t="s">
        <v>10279</v>
      </c>
      <c r="J87" s="23" t="s">
        <v>10884</v>
      </c>
      <c r="K87" s="23"/>
      <c r="L87" s="23"/>
      <c r="M87" s="23"/>
      <c r="N87" s="23"/>
      <c r="O87" s="23"/>
      <c r="P87" s="24"/>
      <c r="Q87" s="24"/>
      <c r="R87" s="24"/>
      <c r="S87" s="24"/>
      <c r="T87" s="24"/>
      <c r="U87" s="24"/>
      <c r="V87" s="24"/>
      <c r="W87" s="24"/>
      <c r="X87" s="24"/>
      <c r="Y87" s="24"/>
      <c r="Z87" s="24"/>
    </row>
    <row r="88" ht="15.75" customHeight="1">
      <c r="A88" s="23" t="s">
        <v>10885</v>
      </c>
      <c r="B88" s="23" t="s">
        <v>10886</v>
      </c>
      <c r="C88" s="23" t="s">
        <v>10887</v>
      </c>
      <c r="D88" s="23" t="s">
        <v>10888</v>
      </c>
      <c r="E88" s="23" t="s">
        <v>10889</v>
      </c>
      <c r="F88" s="23" t="s">
        <v>55</v>
      </c>
      <c r="G88" s="23" t="s">
        <v>10890</v>
      </c>
      <c r="H88" s="23" t="s">
        <v>10891</v>
      </c>
      <c r="I88" s="23" t="s">
        <v>10279</v>
      </c>
      <c r="J88" s="23" t="s">
        <v>10892</v>
      </c>
      <c r="K88" s="23"/>
      <c r="L88" s="23"/>
      <c r="M88" s="23"/>
      <c r="N88" s="23"/>
      <c r="O88" s="23"/>
      <c r="P88" s="24"/>
      <c r="Q88" s="24"/>
      <c r="R88" s="24"/>
      <c r="S88" s="24"/>
      <c r="T88" s="24"/>
      <c r="U88" s="24"/>
      <c r="V88" s="24"/>
      <c r="W88" s="24"/>
      <c r="X88" s="24"/>
      <c r="Y88" s="24"/>
      <c r="Z88" s="24"/>
    </row>
    <row r="89" ht="15.75" customHeight="1">
      <c r="A89" s="23" t="s">
        <v>10893</v>
      </c>
      <c r="B89" s="23" t="s">
        <v>10894</v>
      </c>
      <c r="C89" s="23" t="s">
        <v>10895</v>
      </c>
      <c r="D89" s="23" t="s">
        <v>10896</v>
      </c>
      <c r="E89" s="23" t="s">
        <v>10897</v>
      </c>
      <c r="F89" s="23" t="s">
        <v>231</v>
      </c>
      <c r="G89" s="23" t="s">
        <v>10898</v>
      </c>
      <c r="H89" s="23" t="s">
        <v>10899</v>
      </c>
      <c r="I89" s="23" t="s">
        <v>10279</v>
      </c>
      <c r="J89" s="23" t="s">
        <v>10280</v>
      </c>
      <c r="K89" s="23"/>
      <c r="L89" s="23"/>
      <c r="M89" s="23"/>
      <c r="N89" s="23"/>
      <c r="O89" s="23"/>
      <c r="P89" s="24"/>
      <c r="Q89" s="24"/>
      <c r="R89" s="24"/>
      <c r="S89" s="24"/>
      <c r="T89" s="24"/>
      <c r="U89" s="24"/>
      <c r="V89" s="24"/>
      <c r="W89" s="24"/>
      <c r="X89" s="24"/>
      <c r="Y89" s="24"/>
      <c r="Z89" s="24"/>
    </row>
    <row r="90" ht="15.75" customHeight="1">
      <c r="A90" s="23" t="s">
        <v>10900</v>
      </c>
      <c r="B90" s="23" t="s">
        <v>10901</v>
      </c>
      <c r="C90" s="23" t="s">
        <v>10902</v>
      </c>
      <c r="D90" s="23" t="s">
        <v>10903</v>
      </c>
      <c r="E90" s="23" t="s">
        <v>10904</v>
      </c>
      <c r="F90" s="23" t="s">
        <v>129</v>
      </c>
      <c r="G90" s="23" t="s">
        <v>10905</v>
      </c>
      <c r="H90" s="23"/>
      <c r="I90" s="23" t="s">
        <v>10279</v>
      </c>
      <c r="J90" s="23" t="s">
        <v>10280</v>
      </c>
      <c r="K90" s="23"/>
      <c r="L90" s="23"/>
      <c r="M90" s="23"/>
      <c r="N90" s="23"/>
      <c r="O90" s="23"/>
      <c r="P90" s="24"/>
      <c r="Q90" s="24"/>
      <c r="R90" s="24"/>
      <c r="S90" s="24"/>
      <c r="T90" s="24"/>
      <c r="U90" s="24"/>
      <c r="V90" s="24"/>
      <c r="W90" s="24"/>
      <c r="X90" s="24"/>
      <c r="Y90" s="24"/>
      <c r="Z90" s="24"/>
    </row>
    <row r="91" ht="15.75" customHeight="1">
      <c r="A91" s="23" t="s">
        <v>10906</v>
      </c>
      <c r="B91" s="23" t="s">
        <v>10907</v>
      </c>
      <c r="C91" s="23" t="s">
        <v>10908</v>
      </c>
      <c r="D91" s="23" t="s">
        <v>10909</v>
      </c>
      <c r="E91" s="23" t="s">
        <v>231</v>
      </c>
      <c r="F91" s="23" t="s">
        <v>231</v>
      </c>
      <c r="G91" s="23" t="s">
        <v>10910</v>
      </c>
      <c r="H91" s="23" t="s">
        <v>10911</v>
      </c>
      <c r="I91" s="23" t="s">
        <v>10279</v>
      </c>
      <c r="J91" s="23" t="s">
        <v>10394</v>
      </c>
      <c r="K91" s="23" t="s">
        <v>10912</v>
      </c>
      <c r="L91" s="23" t="s">
        <v>10913</v>
      </c>
      <c r="M91" s="23"/>
      <c r="N91" s="23"/>
      <c r="O91" s="23"/>
      <c r="P91" s="24"/>
      <c r="Q91" s="24"/>
      <c r="R91" s="24"/>
      <c r="S91" s="24"/>
      <c r="T91" s="24"/>
      <c r="U91" s="24"/>
      <c r="V91" s="24"/>
      <c r="W91" s="24"/>
      <c r="X91" s="24"/>
      <c r="Y91" s="24"/>
      <c r="Z91" s="24"/>
    </row>
    <row r="92" ht="15.75" customHeight="1">
      <c r="A92" s="23" t="s">
        <v>10914</v>
      </c>
      <c r="B92" s="23" t="s">
        <v>10915</v>
      </c>
      <c r="C92" s="23" t="s">
        <v>10916</v>
      </c>
      <c r="D92" s="23" t="s">
        <v>10917</v>
      </c>
      <c r="E92" s="23" t="s">
        <v>10918</v>
      </c>
      <c r="F92" s="23" t="s">
        <v>129</v>
      </c>
      <c r="G92" s="23" t="s">
        <v>10919</v>
      </c>
      <c r="H92" s="23" t="s">
        <v>10920</v>
      </c>
      <c r="I92" s="23" t="s">
        <v>10279</v>
      </c>
      <c r="J92" s="23" t="s">
        <v>10921</v>
      </c>
      <c r="K92" s="23"/>
      <c r="L92" s="23"/>
      <c r="M92" s="23"/>
      <c r="N92" s="23"/>
      <c r="O92" s="23"/>
      <c r="P92" s="24"/>
      <c r="Q92" s="24"/>
      <c r="R92" s="24"/>
      <c r="S92" s="24"/>
      <c r="T92" s="24"/>
      <c r="U92" s="24"/>
      <c r="V92" s="24"/>
      <c r="W92" s="24"/>
      <c r="X92" s="24"/>
      <c r="Y92" s="24"/>
      <c r="Z92" s="24"/>
    </row>
    <row r="93" ht="15.75" customHeight="1">
      <c r="A93" s="23" t="s">
        <v>10922</v>
      </c>
      <c r="B93" s="23" t="s">
        <v>10923</v>
      </c>
      <c r="C93" s="23" t="s">
        <v>10924</v>
      </c>
      <c r="D93" s="23" t="s">
        <v>10925</v>
      </c>
      <c r="E93" s="23" t="s">
        <v>231</v>
      </c>
      <c r="F93" s="23" t="s">
        <v>231</v>
      </c>
      <c r="G93" s="23" t="s">
        <v>10926</v>
      </c>
      <c r="H93" s="23" t="s">
        <v>10927</v>
      </c>
      <c r="I93" s="23" t="s">
        <v>10279</v>
      </c>
      <c r="J93" s="23" t="s">
        <v>10928</v>
      </c>
      <c r="K93" s="23"/>
      <c r="L93" s="23"/>
      <c r="M93" s="23"/>
      <c r="N93" s="23"/>
      <c r="O93" s="23"/>
      <c r="P93" s="24"/>
      <c r="Q93" s="24"/>
      <c r="R93" s="24"/>
      <c r="S93" s="24"/>
      <c r="T93" s="24"/>
      <c r="U93" s="24"/>
      <c r="V93" s="24"/>
      <c r="W93" s="24"/>
      <c r="X93" s="24"/>
      <c r="Y93" s="24"/>
      <c r="Z93" s="24"/>
    </row>
    <row r="94" ht="15.75" customHeight="1">
      <c r="A94" s="23" t="s">
        <v>10929</v>
      </c>
      <c r="B94" s="23" t="s">
        <v>10930</v>
      </c>
      <c r="C94" s="23" t="s">
        <v>10931</v>
      </c>
      <c r="D94" s="23" t="s">
        <v>10932</v>
      </c>
      <c r="E94" s="23" t="s">
        <v>10933</v>
      </c>
      <c r="F94" s="23" t="s">
        <v>231</v>
      </c>
      <c r="G94" s="23" t="s">
        <v>10934</v>
      </c>
      <c r="H94" s="23" t="s">
        <v>10935</v>
      </c>
      <c r="I94" s="23" t="s">
        <v>10279</v>
      </c>
      <c r="J94" s="23" t="s">
        <v>10936</v>
      </c>
      <c r="K94" s="23"/>
      <c r="L94" s="23"/>
      <c r="M94" s="23"/>
      <c r="N94" s="23"/>
      <c r="O94" s="23"/>
      <c r="P94" s="24"/>
      <c r="Q94" s="24"/>
      <c r="R94" s="24"/>
      <c r="S94" s="24"/>
      <c r="T94" s="24"/>
      <c r="U94" s="24"/>
      <c r="V94" s="24"/>
      <c r="W94" s="24"/>
      <c r="X94" s="24"/>
      <c r="Y94" s="24"/>
      <c r="Z94" s="24"/>
    </row>
    <row r="95" ht="15.75" customHeight="1">
      <c r="A95" s="23" t="s">
        <v>10937</v>
      </c>
      <c r="B95" s="23" t="s">
        <v>10938</v>
      </c>
      <c r="C95" s="23" t="s">
        <v>10939</v>
      </c>
      <c r="D95" s="23" t="s">
        <v>10940</v>
      </c>
      <c r="E95" s="23" t="s">
        <v>10941</v>
      </c>
      <c r="F95" s="23" t="s">
        <v>129</v>
      </c>
      <c r="G95" s="23" t="s">
        <v>10942</v>
      </c>
      <c r="H95" s="23" t="s">
        <v>10943</v>
      </c>
      <c r="I95" s="23" t="s">
        <v>10279</v>
      </c>
      <c r="J95" s="23" t="s">
        <v>10944</v>
      </c>
      <c r="K95" s="23"/>
      <c r="L95" s="23"/>
      <c r="M95" s="23"/>
      <c r="N95" s="23"/>
      <c r="O95" s="23"/>
      <c r="P95" s="24"/>
      <c r="Q95" s="24"/>
      <c r="R95" s="24"/>
      <c r="S95" s="24"/>
      <c r="T95" s="24"/>
      <c r="U95" s="24"/>
      <c r="V95" s="24"/>
      <c r="W95" s="24"/>
      <c r="X95" s="24"/>
      <c r="Y95" s="24"/>
      <c r="Z95" s="24"/>
    </row>
    <row r="96" ht="15.75" customHeight="1">
      <c r="A96" s="23" t="s">
        <v>10945</v>
      </c>
      <c r="B96" s="23" t="s">
        <v>10946</v>
      </c>
      <c r="C96" s="23" t="s">
        <v>10947</v>
      </c>
      <c r="D96" s="23" t="s">
        <v>10948</v>
      </c>
      <c r="E96" s="23" t="s">
        <v>10949</v>
      </c>
      <c r="F96" s="23" t="s">
        <v>253</v>
      </c>
      <c r="G96" s="23" t="s">
        <v>10950</v>
      </c>
      <c r="H96" s="23" t="s">
        <v>10951</v>
      </c>
      <c r="I96" s="23" t="s">
        <v>10279</v>
      </c>
      <c r="J96" s="23" t="s">
        <v>10459</v>
      </c>
      <c r="K96" s="23"/>
      <c r="L96" s="23"/>
      <c r="M96" s="23"/>
      <c r="N96" s="23"/>
      <c r="O96" s="23"/>
      <c r="P96" s="24"/>
      <c r="Q96" s="24"/>
      <c r="R96" s="24"/>
      <c r="S96" s="24"/>
      <c r="T96" s="24"/>
      <c r="U96" s="24"/>
      <c r="V96" s="24"/>
      <c r="W96" s="24"/>
      <c r="X96" s="24"/>
      <c r="Y96" s="24"/>
      <c r="Z96" s="24"/>
    </row>
    <row r="97" ht="15.75" customHeight="1">
      <c r="A97" s="23" t="s">
        <v>10952</v>
      </c>
      <c r="B97" s="23" t="s">
        <v>10953</v>
      </c>
      <c r="C97" s="23" t="s">
        <v>10954</v>
      </c>
      <c r="D97" s="23" t="s">
        <v>10955</v>
      </c>
      <c r="E97" s="23" t="s">
        <v>7295</v>
      </c>
      <c r="F97" s="23" t="s">
        <v>10698</v>
      </c>
      <c r="G97" s="23" t="s">
        <v>10956</v>
      </c>
      <c r="H97" s="23" t="s">
        <v>10957</v>
      </c>
      <c r="I97" s="23" t="s">
        <v>10279</v>
      </c>
      <c r="J97" s="23" t="s">
        <v>10958</v>
      </c>
      <c r="K97" s="23" t="s">
        <v>10959</v>
      </c>
      <c r="L97" s="23" t="s">
        <v>10960</v>
      </c>
      <c r="M97" s="23"/>
      <c r="N97" s="23"/>
      <c r="O97" s="23"/>
      <c r="P97" s="24"/>
      <c r="Q97" s="24"/>
      <c r="R97" s="24"/>
      <c r="S97" s="24"/>
      <c r="T97" s="24"/>
      <c r="U97" s="24"/>
      <c r="V97" s="24"/>
      <c r="W97" s="24"/>
      <c r="X97" s="24"/>
      <c r="Y97" s="24"/>
      <c r="Z97" s="24"/>
    </row>
    <row r="98" ht="15.75" customHeight="1">
      <c r="A98" s="23" t="s">
        <v>10961</v>
      </c>
      <c r="B98" s="23"/>
      <c r="C98" s="23" t="s">
        <v>10962</v>
      </c>
      <c r="D98" s="23" t="s">
        <v>10963</v>
      </c>
      <c r="E98" s="23" t="s">
        <v>55</v>
      </c>
      <c r="F98" s="23" t="s">
        <v>55</v>
      </c>
      <c r="G98" s="23" t="s">
        <v>10964</v>
      </c>
      <c r="H98" s="23" t="s">
        <v>10965</v>
      </c>
      <c r="I98" s="23" t="s">
        <v>10279</v>
      </c>
      <c r="J98" s="23" t="s">
        <v>10394</v>
      </c>
      <c r="K98" s="23" t="s">
        <v>10966</v>
      </c>
      <c r="L98" s="23" t="s">
        <v>10964</v>
      </c>
      <c r="M98" s="23"/>
      <c r="N98" s="23"/>
      <c r="O98" s="23"/>
      <c r="P98" s="24"/>
      <c r="Q98" s="24"/>
      <c r="R98" s="24"/>
      <c r="S98" s="24"/>
      <c r="T98" s="24"/>
      <c r="U98" s="24"/>
      <c r="V98" s="24"/>
      <c r="W98" s="24"/>
      <c r="X98" s="24"/>
      <c r="Y98" s="24"/>
      <c r="Z98" s="24"/>
    </row>
    <row r="99" ht="15.75" customHeight="1">
      <c r="A99" s="23" t="s">
        <v>10967</v>
      </c>
      <c r="B99" s="23" t="s">
        <v>10968</v>
      </c>
      <c r="C99" s="23" t="s">
        <v>10969</v>
      </c>
      <c r="D99" s="23" t="s">
        <v>10970</v>
      </c>
      <c r="E99" s="23" t="s">
        <v>55</v>
      </c>
      <c r="F99" s="23" t="s">
        <v>55</v>
      </c>
      <c r="G99" s="23" t="s">
        <v>10971</v>
      </c>
      <c r="H99" s="23" t="s">
        <v>10972</v>
      </c>
      <c r="I99" s="23" t="s">
        <v>10279</v>
      </c>
      <c r="J99" s="23" t="s">
        <v>10973</v>
      </c>
      <c r="K99" s="23"/>
      <c r="L99" s="23"/>
      <c r="M99" s="23"/>
      <c r="N99" s="23"/>
      <c r="O99" s="23"/>
      <c r="P99" s="24"/>
      <c r="Q99" s="24"/>
      <c r="R99" s="24"/>
      <c r="S99" s="24"/>
      <c r="T99" s="24"/>
      <c r="U99" s="24"/>
      <c r="V99" s="24"/>
      <c r="W99" s="24"/>
      <c r="X99" s="24"/>
      <c r="Y99" s="24"/>
      <c r="Z99" s="24"/>
    </row>
    <row r="100" ht="15.75" customHeight="1">
      <c r="A100" s="23" t="s">
        <v>10974</v>
      </c>
      <c r="B100" s="23" t="s">
        <v>10975</v>
      </c>
      <c r="C100" s="23"/>
      <c r="D100" s="23" t="s">
        <v>10976</v>
      </c>
      <c r="E100" s="23" t="s">
        <v>231</v>
      </c>
      <c r="F100" s="23" t="s">
        <v>231</v>
      </c>
      <c r="G100" s="23" t="s">
        <v>10977</v>
      </c>
      <c r="H100" s="23" t="s">
        <v>10978</v>
      </c>
      <c r="I100" s="23" t="s">
        <v>10279</v>
      </c>
      <c r="J100" s="23" t="s">
        <v>10979</v>
      </c>
      <c r="K100" s="23"/>
      <c r="L100" s="23"/>
      <c r="M100" s="23"/>
      <c r="N100" s="23"/>
      <c r="O100" s="23"/>
      <c r="P100" s="24"/>
      <c r="Q100" s="24"/>
      <c r="R100" s="24"/>
      <c r="S100" s="24"/>
      <c r="T100" s="24"/>
      <c r="U100" s="24"/>
      <c r="V100" s="24"/>
      <c r="W100" s="24"/>
      <c r="X100" s="24"/>
      <c r="Y100" s="24"/>
      <c r="Z100" s="24"/>
    </row>
    <row r="101" ht="15.75" customHeight="1">
      <c r="A101" s="23" t="s">
        <v>10980</v>
      </c>
      <c r="B101" s="23" t="s">
        <v>10981</v>
      </c>
      <c r="C101" s="23" t="s">
        <v>10982</v>
      </c>
      <c r="D101" s="23" t="s">
        <v>10983</v>
      </c>
      <c r="E101" s="23" t="s">
        <v>231</v>
      </c>
      <c r="F101" s="23" t="s">
        <v>231</v>
      </c>
      <c r="G101" s="23" t="s">
        <v>10984</v>
      </c>
      <c r="H101" s="23" t="s">
        <v>10985</v>
      </c>
      <c r="I101" s="23" t="s">
        <v>10279</v>
      </c>
      <c r="J101" s="23" t="s">
        <v>10986</v>
      </c>
      <c r="K101" s="23" t="s">
        <v>10987</v>
      </c>
      <c r="L101" s="23" t="s">
        <v>10988</v>
      </c>
      <c r="M101" s="23"/>
      <c r="N101" s="23"/>
      <c r="O101" s="23"/>
      <c r="P101" s="24"/>
      <c r="Q101" s="24"/>
      <c r="R101" s="24"/>
      <c r="S101" s="24"/>
      <c r="T101" s="24"/>
      <c r="U101" s="24"/>
      <c r="V101" s="24"/>
      <c r="W101" s="24"/>
      <c r="X101" s="24"/>
      <c r="Y101" s="24"/>
      <c r="Z101" s="24"/>
    </row>
    <row r="102" ht="15.75" customHeight="1">
      <c r="A102" s="23" t="s">
        <v>10989</v>
      </c>
      <c r="B102" s="23" t="s">
        <v>10990</v>
      </c>
      <c r="C102" s="23" t="s">
        <v>10991</v>
      </c>
      <c r="D102" s="23" t="s">
        <v>10992</v>
      </c>
      <c r="E102" s="23" t="s">
        <v>10993</v>
      </c>
      <c r="F102" s="23" t="s">
        <v>731</v>
      </c>
      <c r="G102" s="23" t="s">
        <v>10994</v>
      </c>
      <c r="H102" s="23" t="s">
        <v>10995</v>
      </c>
      <c r="I102" s="23" t="s">
        <v>10279</v>
      </c>
      <c r="J102" s="23" t="s">
        <v>10996</v>
      </c>
      <c r="K102" s="23"/>
      <c r="L102" s="23"/>
      <c r="M102" s="23"/>
      <c r="N102" s="23"/>
      <c r="O102" s="23"/>
      <c r="P102" s="24"/>
      <c r="Q102" s="24"/>
      <c r="R102" s="24"/>
      <c r="S102" s="24"/>
      <c r="T102" s="24"/>
      <c r="U102" s="24"/>
      <c r="V102" s="24"/>
      <c r="W102" s="24"/>
      <c r="X102" s="24"/>
      <c r="Y102" s="24"/>
      <c r="Z102" s="24"/>
    </row>
    <row r="103" ht="15.75" customHeight="1">
      <c r="A103" s="23" t="s">
        <v>10997</v>
      </c>
      <c r="B103" s="23" t="s">
        <v>10998</v>
      </c>
      <c r="C103" s="23" t="s">
        <v>10999</v>
      </c>
      <c r="D103" s="23" t="s">
        <v>11000</v>
      </c>
      <c r="E103" s="23" t="s">
        <v>55</v>
      </c>
      <c r="F103" s="23" t="s">
        <v>55</v>
      </c>
      <c r="G103" s="23" t="s">
        <v>11001</v>
      </c>
      <c r="H103" s="23" t="s">
        <v>11002</v>
      </c>
      <c r="I103" s="23" t="s">
        <v>10279</v>
      </c>
      <c r="J103" s="23" t="s">
        <v>10280</v>
      </c>
      <c r="K103" s="23"/>
      <c r="L103" s="23"/>
      <c r="M103" s="23"/>
      <c r="N103" s="23"/>
      <c r="O103" s="23"/>
      <c r="P103" s="24"/>
      <c r="Q103" s="24"/>
      <c r="R103" s="24"/>
      <c r="S103" s="24"/>
      <c r="T103" s="24"/>
      <c r="U103" s="24"/>
      <c r="V103" s="24"/>
      <c r="W103" s="24"/>
      <c r="X103" s="24"/>
      <c r="Y103" s="24"/>
      <c r="Z103" s="24"/>
    </row>
    <row r="104" ht="15.75" customHeight="1">
      <c r="A104" s="23" t="s">
        <v>11003</v>
      </c>
      <c r="B104" s="23" t="s">
        <v>11004</v>
      </c>
      <c r="C104" s="23"/>
      <c r="D104" s="23" t="s">
        <v>11005</v>
      </c>
      <c r="E104" s="23" t="s">
        <v>11006</v>
      </c>
      <c r="F104" s="23"/>
      <c r="G104" s="23" t="s">
        <v>11007</v>
      </c>
      <c r="H104" s="23" t="s">
        <v>11008</v>
      </c>
      <c r="I104" s="23" t="s">
        <v>10279</v>
      </c>
      <c r="J104" s="23" t="s">
        <v>11009</v>
      </c>
      <c r="K104" s="23"/>
      <c r="L104" s="23"/>
      <c r="M104" s="23"/>
      <c r="N104" s="23"/>
      <c r="O104" s="23"/>
      <c r="P104" s="24"/>
      <c r="Q104" s="24"/>
      <c r="R104" s="24"/>
      <c r="S104" s="24"/>
      <c r="T104" s="24"/>
      <c r="U104" s="24"/>
      <c r="V104" s="24"/>
      <c r="W104" s="24"/>
      <c r="X104" s="24"/>
      <c r="Y104" s="24"/>
      <c r="Z104" s="24"/>
    </row>
    <row r="105" ht="15.75" customHeight="1">
      <c r="A105" s="23" t="s">
        <v>11010</v>
      </c>
      <c r="B105" s="23" t="s">
        <v>11011</v>
      </c>
      <c r="C105" s="23" t="s">
        <v>11012</v>
      </c>
      <c r="D105" s="23" t="s">
        <v>11013</v>
      </c>
      <c r="E105" s="23" t="s">
        <v>2162</v>
      </c>
      <c r="F105" s="23" t="s">
        <v>2162</v>
      </c>
      <c r="G105" s="23" t="s">
        <v>11014</v>
      </c>
      <c r="H105" s="23" t="s">
        <v>11015</v>
      </c>
      <c r="I105" s="23" t="s">
        <v>10279</v>
      </c>
      <c r="J105" s="23" t="s">
        <v>11016</v>
      </c>
      <c r="K105" s="23"/>
      <c r="L105" s="23"/>
      <c r="M105" s="23"/>
      <c r="N105" s="23"/>
      <c r="O105" s="23"/>
      <c r="P105" s="24"/>
      <c r="Q105" s="24"/>
      <c r="R105" s="24"/>
      <c r="S105" s="24"/>
      <c r="T105" s="24"/>
      <c r="U105" s="24"/>
      <c r="V105" s="24"/>
      <c r="W105" s="24"/>
      <c r="X105" s="24"/>
      <c r="Y105" s="24"/>
      <c r="Z105" s="24"/>
    </row>
    <row r="106" ht="15.75" customHeight="1">
      <c r="A106" s="23" t="s">
        <v>11017</v>
      </c>
      <c r="B106" s="23" t="s">
        <v>11018</v>
      </c>
      <c r="C106" s="23" t="s">
        <v>11019</v>
      </c>
      <c r="D106" s="23" t="s">
        <v>11020</v>
      </c>
      <c r="E106" s="23" t="s">
        <v>231</v>
      </c>
      <c r="F106" s="23" t="s">
        <v>231</v>
      </c>
      <c r="G106" s="23" t="s">
        <v>11021</v>
      </c>
      <c r="H106" s="23" t="s">
        <v>11022</v>
      </c>
      <c r="I106" s="23" t="s">
        <v>10279</v>
      </c>
      <c r="J106" s="23" t="s">
        <v>10521</v>
      </c>
      <c r="K106" s="23"/>
      <c r="L106" s="23"/>
      <c r="M106" s="23"/>
      <c r="N106" s="23"/>
      <c r="O106" s="23"/>
      <c r="P106" s="24"/>
      <c r="Q106" s="24"/>
      <c r="R106" s="24"/>
      <c r="S106" s="24"/>
      <c r="T106" s="24"/>
      <c r="U106" s="24"/>
      <c r="V106" s="24"/>
      <c r="W106" s="24"/>
      <c r="X106" s="24"/>
      <c r="Y106" s="24"/>
      <c r="Z106" s="24"/>
    </row>
    <row r="107" ht="15.75" customHeight="1">
      <c r="A107" s="23" t="s">
        <v>11023</v>
      </c>
      <c r="B107" s="23"/>
      <c r="C107" s="23" t="s">
        <v>11024</v>
      </c>
      <c r="D107" s="23" t="s">
        <v>11025</v>
      </c>
      <c r="E107" s="23" t="s">
        <v>11026</v>
      </c>
      <c r="F107" s="23" t="s">
        <v>231</v>
      </c>
      <c r="G107" s="23" t="s">
        <v>11027</v>
      </c>
      <c r="H107" s="23" t="s">
        <v>11028</v>
      </c>
      <c r="I107" s="23" t="s">
        <v>10279</v>
      </c>
      <c r="J107" s="23" t="s">
        <v>11029</v>
      </c>
      <c r="K107" s="23"/>
      <c r="L107" s="23"/>
      <c r="M107" s="23"/>
      <c r="N107" s="23"/>
      <c r="O107" s="23"/>
      <c r="P107" s="24"/>
      <c r="Q107" s="24"/>
      <c r="R107" s="24"/>
      <c r="S107" s="24"/>
      <c r="T107" s="24"/>
      <c r="U107" s="24"/>
      <c r="V107" s="24"/>
      <c r="W107" s="24"/>
      <c r="X107" s="24"/>
      <c r="Y107" s="24"/>
      <c r="Z107" s="24"/>
    </row>
    <row r="108" ht="15.75" customHeight="1">
      <c r="A108" s="23" t="s">
        <v>11030</v>
      </c>
      <c r="B108" s="23" t="s">
        <v>11031</v>
      </c>
      <c r="C108" s="23" t="s">
        <v>11032</v>
      </c>
      <c r="D108" s="23" t="s">
        <v>11033</v>
      </c>
      <c r="E108" s="23" t="s">
        <v>7295</v>
      </c>
      <c r="F108" s="23" t="s">
        <v>10698</v>
      </c>
      <c r="G108" s="23" t="s">
        <v>11034</v>
      </c>
      <c r="H108" s="23" t="s">
        <v>11035</v>
      </c>
      <c r="I108" s="23" t="s">
        <v>10279</v>
      </c>
      <c r="J108" s="23" t="s">
        <v>10280</v>
      </c>
      <c r="K108" s="23"/>
      <c r="L108" s="23"/>
      <c r="M108" s="23"/>
      <c r="N108" s="23"/>
      <c r="O108" s="23"/>
      <c r="P108" s="24"/>
      <c r="Q108" s="24"/>
      <c r="R108" s="24"/>
      <c r="S108" s="24"/>
      <c r="T108" s="24"/>
      <c r="U108" s="24"/>
      <c r="V108" s="24"/>
      <c r="W108" s="24"/>
      <c r="X108" s="24"/>
      <c r="Y108" s="24"/>
      <c r="Z108" s="24"/>
    </row>
    <row r="109" ht="15.75" customHeight="1">
      <c r="A109" s="23" t="s">
        <v>11036</v>
      </c>
      <c r="B109" s="23" t="s">
        <v>11037</v>
      </c>
      <c r="C109" s="23"/>
      <c r="D109" s="23" t="s">
        <v>11038</v>
      </c>
      <c r="E109" s="23" t="s">
        <v>129</v>
      </c>
      <c r="F109" s="23" t="s">
        <v>129</v>
      </c>
      <c r="G109" s="23" t="s">
        <v>10495</v>
      </c>
      <c r="H109" s="23"/>
      <c r="I109" s="23" t="s">
        <v>10279</v>
      </c>
      <c r="J109" s="23" t="s">
        <v>10280</v>
      </c>
      <c r="K109" s="23"/>
      <c r="L109" s="23"/>
      <c r="M109" s="23"/>
      <c r="N109" s="23"/>
      <c r="O109" s="23"/>
      <c r="P109" s="24"/>
      <c r="Q109" s="24"/>
      <c r="R109" s="24"/>
      <c r="S109" s="24"/>
      <c r="T109" s="24"/>
      <c r="U109" s="24"/>
      <c r="V109" s="24"/>
      <c r="W109" s="24"/>
      <c r="X109" s="24"/>
      <c r="Y109" s="24"/>
      <c r="Z109" s="24"/>
    </row>
    <row r="110" ht="15.75" customHeight="1">
      <c r="A110" s="23" t="s">
        <v>11039</v>
      </c>
      <c r="B110" s="23" t="s">
        <v>11040</v>
      </c>
      <c r="C110" s="23" t="s">
        <v>11041</v>
      </c>
      <c r="D110" s="23" t="s">
        <v>11042</v>
      </c>
      <c r="E110" s="23" t="s">
        <v>11043</v>
      </c>
      <c r="F110" s="23" t="s">
        <v>231</v>
      </c>
      <c r="G110" s="23" t="s">
        <v>11044</v>
      </c>
      <c r="H110" s="23" t="s">
        <v>11045</v>
      </c>
      <c r="I110" s="23" t="s">
        <v>10279</v>
      </c>
      <c r="J110" s="23" t="s">
        <v>10280</v>
      </c>
      <c r="K110" s="23"/>
      <c r="L110" s="23"/>
      <c r="M110" s="23"/>
      <c r="N110" s="23"/>
      <c r="O110" s="23"/>
      <c r="P110" s="24"/>
      <c r="Q110" s="24"/>
      <c r="R110" s="24"/>
      <c r="S110" s="24"/>
      <c r="T110" s="24"/>
      <c r="U110" s="24"/>
      <c r="V110" s="24"/>
      <c r="W110" s="24"/>
      <c r="X110" s="24"/>
      <c r="Y110" s="24"/>
      <c r="Z110" s="24"/>
    </row>
    <row r="111" ht="15.75" customHeight="1">
      <c r="A111" s="23" t="s">
        <v>11046</v>
      </c>
      <c r="B111" s="23" t="s">
        <v>11047</v>
      </c>
      <c r="C111" s="23" t="s">
        <v>11048</v>
      </c>
      <c r="D111" s="23" t="s">
        <v>11049</v>
      </c>
      <c r="E111" s="23" t="s">
        <v>231</v>
      </c>
      <c r="F111" s="23" t="s">
        <v>231</v>
      </c>
      <c r="G111" s="23" t="s">
        <v>11050</v>
      </c>
      <c r="H111" s="23" t="s">
        <v>11051</v>
      </c>
      <c r="I111" s="23" t="s">
        <v>10279</v>
      </c>
      <c r="J111" s="23" t="s">
        <v>11052</v>
      </c>
      <c r="K111" s="23"/>
      <c r="L111" s="23"/>
      <c r="M111" s="23"/>
      <c r="N111" s="23"/>
      <c r="O111" s="23"/>
      <c r="P111" s="24"/>
      <c r="Q111" s="24"/>
      <c r="R111" s="24"/>
      <c r="S111" s="24"/>
      <c r="T111" s="24"/>
      <c r="U111" s="24"/>
      <c r="V111" s="24"/>
      <c r="W111" s="24"/>
      <c r="X111" s="24"/>
      <c r="Y111" s="24"/>
      <c r="Z111" s="24"/>
    </row>
    <row r="112" ht="15.75" customHeight="1">
      <c r="A112" s="23" t="s">
        <v>11053</v>
      </c>
      <c r="B112" s="23" t="s">
        <v>11054</v>
      </c>
      <c r="C112" s="23" t="s">
        <v>11055</v>
      </c>
      <c r="D112" s="23" t="s">
        <v>11056</v>
      </c>
      <c r="E112" s="23" t="s">
        <v>11057</v>
      </c>
      <c r="F112" s="23" t="s">
        <v>3736</v>
      </c>
      <c r="G112" s="23" t="s">
        <v>11058</v>
      </c>
      <c r="H112" s="23" t="s">
        <v>11059</v>
      </c>
      <c r="I112" s="23" t="s">
        <v>10279</v>
      </c>
      <c r="J112" s="23" t="s">
        <v>11060</v>
      </c>
      <c r="K112" s="23"/>
      <c r="L112" s="23"/>
      <c r="M112" s="23"/>
      <c r="N112" s="23"/>
      <c r="O112" s="23"/>
      <c r="P112" s="24"/>
      <c r="Q112" s="24"/>
      <c r="R112" s="24"/>
      <c r="S112" s="24"/>
      <c r="T112" s="24"/>
      <c r="U112" s="24"/>
      <c r="V112" s="24"/>
      <c r="W112" s="24"/>
      <c r="X112" s="24"/>
      <c r="Y112" s="24"/>
      <c r="Z112" s="24"/>
    </row>
    <row r="113" ht="15.75" customHeight="1">
      <c r="A113" s="23" t="s">
        <v>11061</v>
      </c>
      <c r="B113" s="23" t="s">
        <v>11062</v>
      </c>
      <c r="C113" s="23"/>
      <c r="D113" s="23" t="s">
        <v>11063</v>
      </c>
      <c r="E113" s="23" t="s">
        <v>813</v>
      </c>
      <c r="F113" s="23" t="s">
        <v>813</v>
      </c>
      <c r="G113" s="23" t="s">
        <v>11064</v>
      </c>
      <c r="H113" s="23" t="s">
        <v>11065</v>
      </c>
      <c r="I113" s="23" t="s">
        <v>10279</v>
      </c>
      <c r="J113" s="23" t="s">
        <v>10280</v>
      </c>
      <c r="K113" s="23"/>
      <c r="L113" s="23"/>
      <c r="M113" s="23"/>
      <c r="N113" s="23"/>
      <c r="O113" s="23"/>
      <c r="P113" s="24"/>
      <c r="Q113" s="24"/>
      <c r="R113" s="24"/>
      <c r="S113" s="24"/>
      <c r="T113" s="24"/>
      <c r="U113" s="24"/>
      <c r="V113" s="24"/>
      <c r="W113" s="24"/>
      <c r="X113" s="24"/>
      <c r="Y113" s="24"/>
      <c r="Z113" s="24"/>
    </row>
    <row r="114" ht="15.75" customHeight="1">
      <c r="A114" s="23" t="s">
        <v>11066</v>
      </c>
      <c r="B114" s="23" t="s">
        <v>11067</v>
      </c>
      <c r="C114" s="23" t="s">
        <v>11068</v>
      </c>
      <c r="D114" s="23" t="s">
        <v>11069</v>
      </c>
      <c r="E114" s="23" t="s">
        <v>5480</v>
      </c>
      <c r="F114" s="23" t="s">
        <v>5480</v>
      </c>
      <c r="G114" s="23" t="s">
        <v>11070</v>
      </c>
      <c r="H114" s="23" t="s">
        <v>11071</v>
      </c>
      <c r="I114" s="23" t="s">
        <v>10279</v>
      </c>
      <c r="J114" s="23" t="s">
        <v>11072</v>
      </c>
      <c r="K114" s="23"/>
      <c r="L114" s="23"/>
      <c r="M114" s="23"/>
      <c r="N114" s="23"/>
      <c r="O114" s="23"/>
      <c r="P114" s="24"/>
      <c r="Q114" s="24"/>
      <c r="R114" s="24"/>
      <c r="S114" s="24"/>
      <c r="T114" s="24"/>
      <c r="U114" s="24"/>
      <c r="V114" s="24"/>
      <c r="W114" s="24"/>
      <c r="X114" s="24"/>
      <c r="Y114" s="24"/>
      <c r="Z114" s="24"/>
    </row>
    <row r="115" ht="15.75" customHeight="1">
      <c r="A115" s="23" t="s">
        <v>11073</v>
      </c>
      <c r="B115" s="23" t="s">
        <v>11074</v>
      </c>
      <c r="C115" s="23" t="s">
        <v>11075</v>
      </c>
      <c r="D115" s="23" t="s">
        <v>11076</v>
      </c>
      <c r="E115" s="23" t="s">
        <v>55</v>
      </c>
      <c r="F115" s="23" t="s">
        <v>55</v>
      </c>
      <c r="G115" s="23" t="s">
        <v>11077</v>
      </c>
      <c r="H115" s="23" t="s">
        <v>11078</v>
      </c>
      <c r="I115" s="23" t="s">
        <v>10279</v>
      </c>
      <c r="J115" s="23" t="s">
        <v>10590</v>
      </c>
      <c r="K115" s="23"/>
      <c r="L115" s="23"/>
      <c r="M115" s="23"/>
      <c r="N115" s="23"/>
      <c r="O115" s="23"/>
      <c r="P115" s="24"/>
      <c r="Q115" s="24"/>
      <c r="R115" s="24"/>
      <c r="S115" s="24"/>
      <c r="T115" s="24"/>
      <c r="U115" s="24"/>
      <c r="V115" s="24"/>
      <c r="W115" s="24"/>
      <c r="X115" s="24"/>
      <c r="Y115" s="24"/>
      <c r="Z115" s="24"/>
    </row>
    <row r="116" ht="15.75" customHeight="1">
      <c r="A116" s="23" t="s">
        <v>11079</v>
      </c>
      <c r="B116" s="23" t="s">
        <v>11080</v>
      </c>
      <c r="C116" s="23" t="s">
        <v>11081</v>
      </c>
      <c r="D116" s="23" t="s">
        <v>11082</v>
      </c>
      <c r="E116" s="23" t="s">
        <v>129</v>
      </c>
      <c r="F116" s="23" t="s">
        <v>129</v>
      </c>
      <c r="G116" s="23" t="s">
        <v>11083</v>
      </c>
      <c r="H116" s="23" t="s">
        <v>11084</v>
      </c>
      <c r="I116" s="23" t="s">
        <v>10279</v>
      </c>
      <c r="J116" s="23" t="s">
        <v>10394</v>
      </c>
      <c r="K116" s="23"/>
      <c r="L116" s="23"/>
      <c r="M116" s="23"/>
      <c r="N116" s="23"/>
      <c r="O116" s="23"/>
      <c r="P116" s="24"/>
      <c r="Q116" s="24"/>
      <c r="R116" s="24"/>
      <c r="S116" s="24"/>
      <c r="T116" s="24"/>
      <c r="U116" s="24"/>
      <c r="V116" s="24"/>
      <c r="W116" s="24"/>
      <c r="X116" s="24"/>
      <c r="Y116" s="24"/>
      <c r="Z116" s="24"/>
    </row>
    <row r="117" ht="15.75" customHeight="1">
      <c r="A117" s="23" t="s">
        <v>11085</v>
      </c>
      <c r="B117" s="23" t="s">
        <v>11086</v>
      </c>
      <c r="C117" s="23"/>
      <c r="D117" s="23" t="s">
        <v>11087</v>
      </c>
      <c r="E117" s="23" t="s">
        <v>813</v>
      </c>
      <c r="F117" s="23" t="s">
        <v>813</v>
      </c>
      <c r="G117" s="23" t="s">
        <v>11088</v>
      </c>
      <c r="H117" s="23"/>
      <c r="I117" s="23" t="s">
        <v>10279</v>
      </c>
      <c r="J117" s="23" t="s">
        <v>10394</v>
      </c>
      <c r="K117" s="23"/>
      <c r="L117" s="23"/>
      <c r="M117" s="23"/>
      <c r="N117" s="23"/>
      <c r="O117" s="23"/>
      <c r="P117" s="24"/>
      <c r="Q117" s="24"/>
      <c r="R117" s="24"/>
      <c r="S117" s="24"/>
      <c r="T117" s="24"/>
      <c r="U117" s="24"/>
      <c r="V117" s="24"/>
      <c r="W117" s="24"/>
      <c r="X117" s="24"/>
      <c r="Y117" s="24"/>
      <c r="Z117" s="24"/>
    </row>
    <row r="118" ht="15.75" customHeight="1">
      <c r="A118" s="23" t="s">
        <v>11089</v>
      </c>
      <c r="B118" s="23" t="s">
        <v>11090</v>
      </c>
      <c r="C118" s="23" t="s">
        <v>11091</v>
      </c>
      <c r="D118" s="23" t="s">
        <v>11092</v>
      </c>
      <c r="E118" s="23" t="s">
        <v>813</v>
      </c>
      <c r="F118" s="23" t="s">
        <v>813</v>
      </c>
      <c r="G118" s="23" t="s">
        <v>11093</v>
      </c>
      <c r="H118" s="23" t="s">
        <v>11094</v>
      </c>
      <c r="I118" s="23" t="s">
        <v>10279</v>
      </c>
      <c r="J118" s="23" t="s">
        <v>10321</v>
      </c>
      <c r="K118" s="23" t="s">
        <v>11095</v>
      </c>
      <c r="L118" s="23" t="s">
        <v>11096</v>
      </c>
      <c r="M118" s="23" t="s">
        <v>11097</v>
      </c>
      <c r="N118" s="23" t="s">
        <v>11098</v>
      </c>
      <c r="O118" s="23" t="s">
        <v>11099</v>
      </c>
      <c r="P118" s="24"/>
      <c r="Q118" s="24"/>
      <c r="R118" s="24"/>
      <c r="S118" s="24"/>
      <c r="T118" s="24"/>
      <c r="U118" s="24"/>
      <c r="V118" s="24"/>
      <c r="W118" s="24"/>
      <c r="X118" s="24"/>
      <c r="Y118" s="24"/>
      <c r="Z118" s="24"/>
    </row>
    <row r="119" ht="15.75" customHeight="1">
      <c r="A119" s="23" t="s">
        <v>11100</v>
      </c>
      <c r="B119" s="23" t="s">
        <v>11101</v>
      </c>
      <c r="C119" s="23" t="s">
        <v>11102</v>
      </c>
      <c r="D119" s="23" t="s">
        <v>11103</v>
      </c>
      <c r="E119" s="23" t="s">
        <v>55</v>
      </c>
      <c r="F119" s="23" t="s">
        <v>55</v>
      </c>
      <c r="G119" s="23" t="s">
        <v>11104</v>
      </c>
      <c r="H119" s="23" t="s">
        <v>11105</v>
      </c>
      <c r="I119" s="23" t="s">
        <v>10279</v>
      </c>
      <c r="J119" s="23" t="s">
        <v>10280</v>
      </c>
      <c r="K119" s="23" t="s">
        <v>11106</v>
      </c>
      <c r="L119" s="23" t="s">
        <v>11107</v>
      </c>
      <c r="M119" s="23"/>
      <c r="N119" s="23"/>
      <c r="O119" s="23"/>
      <c r="P119" s="24"/>
      <c r="Q119" s="24"/>
      <c r="R119" s="24"/>
      <c r="S119" s="24"/>
      <c r="T119" s="24"/>
      <c r="U119" s="24"/>
      <c r="V119" s="24"/>
      <c r="W119" s="24"/>
      <c r="X119" s="24"/>
      <c r="Y119" s="24"/>
      <c r="Z119" s="24"/>
    </row>
    <row r="120" ht="15.75" customHeight="1">
      <c r="A120" s="23" t="s">
        <v>11108</v>
      </c>
      <c r="B120" s="23" t="s">
        <v>11109</v>
      </c>
      <c r="C120" s="23" t="s">
        <v>11110</v>
      </c>
      <c r="D120" s="23" t="s">
        <v>11111</v>
      </c>
      <c r="E120" s="23" t="s">
        <v>395</v>
      </c>
      <c r="F120" s="23" t="s">
        <v>395</v>
      </c>
      <c r="G120" s="23" t="s">
        <v>11112</v>
      </c>
      <c r="H120" s="23" t="s">
        <v>11113</v>
      </c>
      <c r="I120" s="23" t="s">
        <v>10279</v>
      </c>
      <c r="J120" s="23" t="s">
        <v>11114</v>
      </c>
      <c r="K120" s="23"/>
      <c r="L120" s="23"/>
      <c r="M120" s="23"/>
      <c r="N120" s="23"/>
      <c r="O120" s="23"/>
      <c r="P120" s="24"/>
      <c r="Q120" s="24"/>
      <c r="R120" s="24"/>
      <c r="S120" s="24"/>
      <c r="T120" s="24"/>
      <c r="U120" s="24"/>
      <c r="V120" s="24"/>
      <c r="W120" s="24"/>
      <c r="X120" s="24"/>
      <c r="Y120" s="24"/>
      <c r="Z120" s="24"/>
    </row>
    <row r="121" ht="15.75" customHeight="1">
      <c r="A121" s="23" t="s">
        <v>11115</v>
      </c>
      <c r="B121" s="23" t="s">
        <v>11116</v>
      </c>
      <c r="C121" s="23" t="s">
        <v>11117</v>
      </c>
      <c r="D121" s="23" t="s">
        <v>11118</v>
      </c>
      <c r="E121" s="23" t="s">
        <v>11119</v>
      </c>
      <c r="F121" s="23" t="s">
        <v>231</v>
      </c>
      <c r="G121" s="23" t="s">
        <v>11120</v>
      </c>
      <c r="H121" s="23" t="s">
        <v>11121</v>
      </c>
      <c r="I121" s="23" t="s">
        <v>10279</v>
      </c>
      <c r="J121" s="23" t="s">
        <v>10280</v>
      </c>
      <c r="K121" s="23"/>
      <c r="L121" s="23"/>
      <c r="M121" s="23"/>
      <c r="N121" s="23"/>
      <c r="O121" s="23"/>
      <c r="P121" s="24"/>
      <c r="Q121" s="24"/>
      <c r="R121" s="24"/>
      <c r="S121" s="24"/>
      <c r="T121" s="24"/>
      <c r="U121" s="24"/>
      <c r="V121" s="24"/>
      <c r="W121" s="24"/>
      <c r="X121" s="24"/>
      <c r="Y121" s="24"/>
      <c r="Z121" s="24"/>
    </row>
    <row r="122" ht="15.75" customHeight="1">
      <c r="A122" s="23" t="s">
        <v>11122</v>
      </c>
      <c r="B122" s="23" t="s">
        <v>11123</v>
      </c>
      <c r="C122" s="23" t="s">
        <v>11124</v>
      </c>
      <c r="D122" s="23" t="s">
        <v>11125</v>
      </c>
      <c r="E122" s="23" t="s">
        <v>55</v>
      </c>
      <c r="F122" s="23" t="s">
        <v>55</v>
      </c>
      <c r="G122" s="23" t="s">
        <v>11126</v>
      </c>
      <c r="H122" s="23" t="s">
        <v>11127</v>
      </c>
      <c r="I122" s="23" t="s">
        <v>10279</v>
      </c>
      <c r="J122" s="23" t="s">
        <v>11128</v>
      </c>
      <c r="K122" s="23"/>
      <c r="L122" s="23"/>
      <c r="M122" s="23"/>
      <c r="N122" s="23"/>
      <c r="O122" s="23"/>
      <c r="P122" s="24"/>
      <c r="Q122" s="24"/>
      <c r="R122" s="24"/>
      <c r="S122" s="24"/>
      <c r="T122" s="24"/>
      <c r="U122" s="24"/>
      <c r="V122" s="24"/>
      <c r="W122" s="24"/>
      <c r="X122" s="24"/>
      <c r="Y122" s="24"/>
      <c r="Z122" s="24"/>
    </row>
    <row r="123" ht="15.75" customHeight="1">
      <c r="A123" s="23" t="s">
        <v>11129</v>
      </c>
      <c r="B123" s="23" t="s">
        <v>11130</v>
      </c>
      <c r="C123" s="23" t="s">
        <v>11131</v>
      </c>
      <c r="D123" s="23" t="s">
        <v>11132</v>
      </c>
      <c r="E123" s="23" t="s">
        <v>55</v>
      </c>
      <c r="F123" s="23" t="s">
        <v>55</v>
      </c>
      <c r="G123" s="23" t="s">
        <v>11133</v>
      </c>
      <c r="H123" s="23" t="s">
        <v>11134</v>
      </c>
      <c r="I123" s="23" t="s">
        <v>10279</v>
      </c>
      <c r="J123" s="23" t="s">
        <v>10394</v>
      </c>
      <c r="K123" s="23"/>
      <c r="L123" s="23"/>
      <c r="M123" s="23"/>
      <c r="N123" s="23"/>
      <c r="O123" s="23"/>
      <c r="P123" s="24"/>
      <c r="Q123" s="24"/>
      <c r="R123" s="24"/>
      <c r="S123" s="24"/>
      <c r="T123" s="24"/>
      <c r="U123" s="24"/>
      <c r="V123" s="24"/>
      <c r="W123" s="24"/>
      <c r="X123" s="24"/>
      <c r="Y123" s="24"/>
      <c r="Z123" s="24"/>
    </row>
    <row r="124" ht="15.75" customHeight="1">
      <c r="A124" s="23" t="s">
        <v>11135</v>
      </c>
      <c r="B124" s="23" t="s">
        <v>11136</v>
      </c>
      <c r="C124" s="23" t="s">
        <v>11137</v>
      </c>
      <c r="D124" s="23" t="s">
        <v>11138</v>
      </c>
      <c r="E124" s="23" t="s">
        <v>813</v>
      </c>
      <c r="F124" s="23" t="s">
        <v>813</v>
      </c>
      <c r="G124" s="23" t="s">
        <v>11139</v>
      </c>
      <c r="H124" s="23"/>
      <c r="I124" s="23" t="s">
        <v>10279</v>
      </c>
      <c r="J124" s="23" t="s">
        <v>10280</v>
      </c>
      <c r="K124" s="23"/>
      <c r="L124" s="23"/>
      <c r="M124" s="23"/>
      <c r="N124" s="23"/>
      <c r="O124" s="23"/>
      <c r="P124" s="24"/>
      <c r="Q124" s="24"/>
      <c r="R124" s="24"/>
      <c r="S124" s="24"/>
      <c r="T124" s="24"/>
      <c r="U124" s="24"/>
      <c r="V124" s="24"/>
      <c r="W124" s="24"/>
      <c r="X124" s="24"/>
      <c r="Y124" s="24"/>
      <c r="Z124" s="24"/>
    </row>
    <row r="125" ht="15.75" customHeight="1">
      <c r="A125" s="23" t="s">
        <v>11140</v>
      </c>
      <c r="B125" s="23" t="s">
        <v>11141</v>
      </c>
      <c r="C125" s="23" t="s">
        <v>11142</v>
      </c>
      <c r="D125" s="23" t="s">
        <v>11143</v>
      </c>
      <c r="E125" s="23" t="s">
        <v>55</v>
      </c>
      <c r="F125" s="23" t="s">
        <v>55</v>
      </c>
      <c r="G125" s="23" t="s">
        <v>11144</v>
      </c>
      <c r="H125" s="23" t="s">
        <v>11145</v>
      </c>
      <c r="I125" s="23" t="s">
        <v>10279</v>
      </c>
      <c r="J125" s="23" t="s">
        <v>11146</v>
      </c>
      <c r="K125" s="23" t="s">
        <v>11147</v>
      </c>
      <c r="L125" s="23" t="s">
        <v>11148</v>
      </c>
      <c r="M125" s="23" t="s">
        <v>11149</v>
      </c>
      <c r="N125" s="23" t="s">
        <v>11150</v>
      </c>
      <c r="O125" s="23" t="s">
        <v>11151</v>
      </c>
      <c r="P125" s="24"/>
      <c r="Q125" s="24"/>
      <c r="R125" s="24"/>
      <c r="S125" s="24"/>
      <c r="T125" s="24"/>
      <c r="U125" s="24"/>
      <c r="V125" s="24"/>
      <c r="W125" s="24"/>
      <c r="X125" s="24"/>
      <c r="Y125" s="24"/>
      <c r="Z125" s="24"/>
    </row>
    <row r="126" ht="15.75" customHeight="1">
      <c r="A126" s="23" t="s">
        <v>11152</v>
      </c>
      <c r="B126" s="23" t="s">
        <v>11153</v>
      </c>
      <c r="C126" s="23" t="s">
        <v>11154</v>
      </c>
      <c r="D126" s="23" t="s">
        <v>11155</v>
      </c>
      <c r="E126" s="23" t="s">
        <v>3008</v>
      </c>
      <c r="F126" s="23" t="s">
        <v>3008</v>
      </c>
      <c r="G126" s="23" t="s">
        <v>11156</v>
      </c>
      <c r="H126" s="23" t="s">
        <v>11157</v>
      </c>
      <c r="I126" s="23" t="s">
        <v>10279</v>
      </c>
      <c r="J126" s="23" t="s">
        <v>10394</v>
      </c>
      <c r="K126" s="23"/>
      <c r="L126" s="23"/>
      <c r="M126" s="23"/>
      <c r="N126" s="23"/>
      <c r="O126" s="23"/>
      <c r="P126" s="24"/>
      <c r="Q126" s="24"/>
      <c r="R126" s="24"/>
      <c r="S126" s="24"/>
      <c r="T126" s="24"/>
      <c r="U126" s="24"/>
      <c r="V126" s="24"/>
      <c r="W126" s="24"/>
      <c r="X126" s="24"/>
      <c r="Y126" s="24"/>
      <c r="Z126" s="24"/>
    </row>
    <row r="127" ht="15.75" customHeight="1">
      <c r="A127" s="23" t="s">
        <v>11158</v>
      </c>
      <c r="B127" s="23" t="s">
        <v>11159</v>
      </c>
      <c r="C127" s="23" t="s">
        <v>11160</v>
      </c>
      <c r="D127" s="23" t="s">
        <v>11161</v>
      </c>
      <c r="E127" s="23" t="s">
        <v>231</v>
      </c>
      <c r="F127" s="23" t="s">
        <v>231</v>
      </c>
      <c r="G127" s="23" t="s">
        <v>11162</v>
      </c>
      <c r="H127" s="23" t="s">
        <v>11163</v>
      </c>
      <c r="I127" s="23" t="s">
        <v>10279</v>
      </c>
      <c r="J127" s="23" t="s">
        <v>10280</v>
      </c>
      <c r="K127" s="23"/>
      <c r="L127" s="23"/>
      <c r="M127" s="23"/>
      <c r="N127" s="23"/>
      <c r="O127" s="23"/>
      <c r="P127" s="24"/>
      <c r="Q127" s="24"/>
      <c r="R127" s="24"/>
      <c r="S127" s="24"/>
      <c r="T127" s="24"/>
      <c r="U127" s="24"/>
      <c r="V127" s="24"/>
      <c r="W127" s="24"/>
      <c r="X127" s="24"/>
      <c r="Y127" s="24"/>
      <c r="Z127" s="24"/>
    </row>
    <row r="128" ht="15.75" customHeight="1">
      <c r="A128" s="23" t="s">
        <v>11164</v>
      </c>
      <c r="B128" s="23" t="s">
        <v>11165</v>
      </c>
      <c r="C128" s="23" t="s">
        <v>11166</v>
      </c>
      <c r="D128" s="23" t="s">
        <v>11167</v>
      </c>
      <c r="E128" s="23" t="s">
        <v>55</v>
      </c>
      <c r="F128" s="23" t="s">
        <v>55</v>
      </c>
      <c r="G128" s="23" t="s">
        <v>11168</v>
      </c>
      <c r="H128" s="23" t="s">
        <v>11169</v>
      </c>
      <c r="I128" s="23" t="s">
        <v>10279</v>
      </c>
      <c r="J128" s="23" t="s">
        <v>10280</v>
      </c>
      <c r="K128" s="23"/>
      <c r="L128" s="23"/>
      <c r="M128" s="23"/>
      <c r="N128" s="23"/>
      <c r="O128" s="23"/>
      <c r="P128" s="24"/>
      <c r="Q128" s="24"/>
      <c r="R128" s="24"/>
      <c r="S128" s="24"/>
      <c r="T128" s="24"/>
      <c r="U128" s="24"/>
      <c r="V128" s="24"/>
      <c r="W128" s="24"/>
      <c r="X128" s="24"/>
      <c r="Y128" s="24"/>
      <c r="Z128" s="24"/>
    </row>
    <row r="129" ht="15.75" customHeight="1">
      <c r="A129" s="23" t="s">
        <v>11170</v>
      </c>
      <c r="B129" s="23" t="s">
        <v>11171</v>
      </c>
      <c r="C129" s="23"/>
      <c r="D129" s="23" t="s">
        <v>11172</v>
      </c>
      <c r="E129" s="23" t="s">
        <v>55</v>
      </c>
      <c r="F129" s="23" t="s">
        <v>55</v>
      </c>
      <c r="G129" s="23" t="s">
        <v>11173</v>
      </c>
      <c r="H129" s="23"/>
      <c r="I129" s="23" t="s">
        <v>10279</v>
      </c>
      <c r="J129" s="23" t="s">
        <v>10280</v>
      </c>
      <c r="K129" s="23" t="s">
        <v>11174</v>
      </c>
      <c r="L129" s="23" t="s">
        <v>11175</v>
      </c>
      <c r="M129" s="23" t="s">
        <v>11176</v>
      </c>
      <c r="N129" s="23" t="s">
        <v>11177</v>
      </c>
      <c r="O129" s="23" t="s">
        <v>11178</v>
      </c>
      <c r="P129" s="24"/>
      <c r="Q129" s="24"/>
      <c r="R129" s="24"/>
      <c r="S129" s="24"/>
      <c r="T129" s="24"/>
      <c r="U129" s="24"/>
      <c r="V129" s="24"/>
      <c r="W129" s="24"/>
      <c r="X129" s="24"/>
      <c r="Y129" s="24"/>
      <c r="Z129" s="24"/>
    </row>
    <row r="130" ht="15.75" customHeight="1">
      <c r="A130" s="23" t="s">
        <v>11179</v>
      </c>
      <c r="B130" s="23" t="s">
        <v>11180</v>
      </c>
      <c r="C130" s="23" t="s">
        <v>11181</v>
      </c>
      <c r="D130" s="23" t="s">
        <v>11182</v>
      </c>
      <c r="E130" s="23" t="s">
        <v>55</v>
      </c>
      <c r="F130" s="23" t="s">
        <v>55</v>
      </c>
      <c r="G130" s="23" t="s">
        <v>11183</v>
      </c>
      <c r="H130" s="23" t="s">
        <v>11184</v>
      </c>
      <c r="I130" s="23" t="s">
        <v>10279</v>
      </c>
      <c r="J130" s="23" t="s">
        <v>10328</v>
      </c>
      <c r="K130" s="23"/>
      <c r="L130" s="23"/>
      <c r="M130" s="23"/>
      <c r="N130" s="23"/>
      <c r="O130" s="23"/>
      <c r="P130" s="24"/>
      <c r="Q130" s="24"/>
      <c r="R130" s="24"/>
      <c r="S130" s="24"/>
      <c r="T130" s="24"/>
      <c r="U130" s="24"/>
      <c r="V130" s="24"/>
      <c r="W130" s="24"/>
      <c r="X130" s="24"/>
      <c r="Y130" s="24"/>
      <c r="Z130" s="24"/>
    </row>
    <row r="131" ht="15.75" customHeight="1">
      <c r="A131" s="23" t="s">
        <v>11185</v>
      </c>
      <c r="B131" s="23" t="s">
        <v>11186</v>
      </c>
      <c r="C131" s="23"/>
      <c r="D131" s="23" t="s">
        <v>11187</v>
      </c>
      <c r="E131" s="23" t="s">
        <v>100</v>
      </c>
      <c r="F131" s="23" t="s">
        <v>100</v>
      </c>
      <c r="G131" s="23" t="s">
        <v>11188</v>
      </c>
      <c r="H131" s="23" t="s">
        <v>11189</v>
      </c>
      <c r="I131" s="23" t="s">
        <v>10279</v>
      </c>
      <c r="J131" s="23" t="s">
        <v>10521</v>
      </c>
      <c r="K131" s="23"/>
      <c r="L131" s="23"/>
      <c r="M131" s="23"/>
      <c r="N131" s="23"/>
      <c r="O131" s="23"/>
      <c r="P131" s="24"/>
      <c r="Q131" s="24"/>
      <c r="R131" s="24"/>
      <c r="S131" s="24"/>
      <c r="T131" s="24"/>
      <c r="U131" s="24"/>
      <c r="V131" s="24"/>
      <c r="W131" s="24"/>
      <c r="X131" s="24"/>
      <c r="Y131" s="24"/>
      <c r="Z131" s="24"/>
    </row>
    <row r="132" ht="15.75" customHeight="1">
      <c r="A132" s="23" t="s">
        <v>11190</v>
      </c>
      <c r="B132" s="23" t="s">
        <v>11191</v>
      </c>
      <c r="C132" s="23" t="s">
        <v>11192</v>
      </c>
      <c r="D132" s="23" t="s">
        <v>11193</v>
      </c>
      <c r="E132" s="23" t="s">
        <v>1612</v>
      </c>
      <c r="F132" s="23" t="s">
        <v>1612</v>
      </c>
      <c r="G132" s="23" t="s">
        <v>11194</v>
      </c>
      <c r="H132" s="23" t="s">
        <v>11195</v>
      </c>
      <c r="I132" s="23" t="s">
        <v>10279</v>
      </c>
      <c r="J132" s="23" t="s">
        <v>11196</v>
      </c>
      <c r="K132" s="23" t="s">
        <v>11197</v>
      </c>
      <c r="L132" s="23" t="s">
        <v>11198</v>
      </c>
      <c r="M132" s="23" t="s">
        <v>11199</v>
      </c>
      <c r="N132" s="23" t="s">
        <v>11200</v>
      </c>
      <c r="O132" s="23" t="s">
        <v>11201</v>
      </c>
      <c r="P132" s="24"/>
      <c r="Q132" s="24"/>
      <c r="R132" s="24"/>
      <c r="S132" s="24"/>
      <c r="T132" s="24"/>
      <c r="U132" s="24"/>
      <c r="V132" s="24"/>
      <c r="W132" s="24"/>
      <c r="X132" s="24"/>
      <c r="Y132" s="24"/>
      <c r="Z132" s="24"/>
    </row>
    <row r="133" ht="15.75" customHeight="1">
      <c r="A133" s="23" t="s">
        <v>11202</v>
      </c>
      <c r="B133" s="23"/>
      <c r="C133" s="23" t="s">
        <v>11203</v>
      </c>
      <c r="D133" s="23" t="s">
        <v>11204</v>
      </c>
      <c r="E133" s="23" t="s">
        <v>3008</v>
      </c>
      <c r="F133" s="23" t="s">
        <v>3008</v>
      </c>
      <c r="G133" s="23" t="s">
        <v>11205</v>
      </c>
      <c r="H133" s="23" t="s">
        <v>11206</v>
      </c>
      <c r="I133" s="23" t="s">
        <v>10279</v>
      </c>
      <c r="J133" s="23" t="s">
        <v>10734</v>
      </c>
      <c r="K133" s="23" t="s">
        <v>11207</v>
      </c>
      <c r="L133" s="23" t="s">
        <v>11208</v>
      </c>
      <c r="M133" s="23"/>
      <c r="N133" s="23"/>
      <c r="O133" s="23"/>
      <c r="P133" s="24"/>
      <c r="Q133" s="24"/>
      <c r="R133" s="24"/>
      <c r="S133" s="24"/>
      <c r="T133" s="24"/>
      <c r="U133" s="24"/>
      <c r="V133" s="24"/>
      <c r="W133" s="24"/>
      <c r="X133" s="24"/>
      <c r="Y133" s="24"/>
      <c r="Z133" s="24"/>
    </row>
    <row r="134" ht="15.75" customHeight="1">
      <c r="A134" s="23" t="s">
        <v>11209</v>
      </c>
      <c r="B134" s="23" t="s">
        <v>11210</v>
      </c>
      <c r="C134" s="23" t="s">
        <v>11211</v>
      </c>
      <c r="D134" s="23" t="s">
        <v>11212</v>
      </c>
      <c r="E134" s="23" t="s">
        <v>11213</v>
      </c>
      <c r="F134" s="23" t="s">
        <v>1612</v>
      </c>
      <c r="G134" s="23" t="s">
        <v>11214</v>
      </c>
      <c r="H134" s="23" t="s">
        <v>11215</v>
      </c>
      <c r="I134" s="23" t="s">
        <v>10279</v>
      </c>
      <c r="J134" s="23" t="s">
        <v>10280</v>
      </c>
      <c r="K134" s="23"/>
      <c r="L134" s="23"/>
      <c r="M134" s="23"/>
      <c r="N134" s="23"/>
      <c r="O134" s="23"/>
      <c r="P134" s="24"/>
      <c r="Q134" s="24"/>
      <c r="R134" s="24"/>
      <c r="S134" s="24"/>
      <c r="T134" s="24"/>
      <c r="U134" s="24"/>
      <c r="V134" s="24"/>
      <c r="W134" s="24"/>
      <c r="X134" s="24"/>
      <c r="Y134" s="24"/>
      <c r="Z134" s="24"/>
    </row>
    <row r="135" ht="15.75" customHeight="1">
      <c r="A135" s="23" t="s">
        <v>11216</v>
      </c>
      <c r="B135" s="23" t="s">
        <v>11217</v>
      </c>
      <c r="C135" s="23"/>
      <c r="D135" s="23" t="s">
        <v>11218</v>
      </c>
      <c r="E135" s="23" t="s">
        <v>3767</v>
      </c>
      <c r="F135" s="23" t="s">
        <v>253</v>
      </c>
      <c r="G135" s="23" t="s">
        <v>11219</v>
      </c>
      <c r="H135" s="23" t="s">
        <v>11220</v>
      </c>
      <c r="I135" s="23" t="s">
        <v>10279</v>
      </c>
      <c r="J135" s="23" t="s">
        <v>10590</v>
      </c>
      <c r="K135" s="23"/>
      <c r="L135" s="23"/>
      <c r="M135" s="23"/>
      <c r="N135" s="23"/>
      <c r="O135" s="23"/>
      <c r="P135" s="24"/>
      <c r="Q135" s="24"/>
      <c r="R135" s="24"/>
      <c r="S135" s="24"/>
      <c r="T135" s="24"/>
      <c r="U135" s="24"/>
      <c r="V135" s="24"/>
      <c r="W135" s="24"/>
      <c r="X135" s="24"/>
      <c r="Y135" s="24"/>
      <c r="Z135" s="24"/>
    </row>
    <row r="136" ht="15.75" customHeight="1">
      <c r="A136" s="23" t="s">
        <v>11221</v>
      </c>
      <c r="B136" s="23" t="s">
        <v>11222</v>
      </c>
      <c r="C136" s="23" t="s">
        <v>11223</v>
      </c>
      <c r="D136" s="23" t="s">
        <v>11224</v>
      </c>
      <c r="E136" s="23" t="s">
        <v>11225</v>
      </c>
      <c r="F136" s="23" t="s">
        <v>100</v>
      </c>
      <c r="G136" s="23" t="s">
        <v>11226</v>
      </c>
      <c r="H136" s="23" t="s">
        <v>11227</v>
      </c>
      <c r="I136" s="23" t="s">
        <v>10279</v>
      </c>
      <c r="J136" s="23" t="s">
        <v>10280</v>
      </c>
      <c r="K136" s="23" t="s">
        <v>11228</v>
      </c>
      <c r="L136" s="23" t="s">
        <v>11229</v>
      </c>
      <c r="M136" s="23" t="s">
        <v>11230</v>
      </c>
      <c r="N136" s="23" t="s">
        <v>11231</v>
      </c>
      <c r="O136" s="23" t="s">
        <v>11232</v>
      </c>
      <c r="P136" s="24"/>
      <c r="Q136" s="24"/>
      <c r="R136" s="24"/>
      <c r="S136" s="24"/>
      <c r="T136" s="24"/>
      <c r="U136" s="24"/>
      <c r="V136" s="24"/>
      <c r="W136" s="24"/>
      <c r="X136" s="24"/>
      <c r="Y136" s="24"/>
      <c r="Z136" s="24"/>
    </row>
    <row r="137" ht="15.75" customHeight="1">
      <c r="A137" s="23" t="s">
        <v>11233</v>
      </c>
      <c r="B137" s="23" t="s">
        <v>11234</v>
      </c>
      <c r="C137" s="23" t="s">
        <v>11235</v>
      </c>
      <c r="D137" s="23" t="s">
        <v>11236</v>
      </c>
      <c r="E137" s="23" t="s">
        <v>231</v>
      </c>
      <c r="F137" s="23" t="s">
        <v>231</v>
      </c>
      <c r="G137" s="23" t="s">
        <v>11237</v>
      </c>
      <c r="H137" s="23" t="s">
        <v>11238</v>
      </c>
      <c r="I137" s="23" t="s">
        <v>10279</v>
      </c>
      <c r="J137" s="23" t="s">
        <v>11239</v>
      </c>
      <c r="K137" s="23"/>
      <c r="L137" s="23"/>
      <c r="M137" s="23"/>
      <c r="N137" s="23"/>
      <c r="O137" s="23"/>
      <c r="P137" s="24"/>
      <c r="Q137" s="24"/>
      <c r="R137" s="24"/>
      <c r="S137" s="24"/>
      <c r="T137" s="24"/>
      <c r="U137" s="24"/>
      <c r="V137" s="24"/>
      <c r="W137" s="24"/>
      <c r="X137" s="24"/>
      <c r="Y137" s="24"/>
      <c r="Z137" s="24"/>
    </row>
    <row r="138" ht="15.75" customHeight="1">
      <c r="A138" s="23" t="s">
        <v>11240</v>
      </c>
      <c r="B138" s="23" t="s">
        <v>11241</v>
      </c>
      <c r="C138" s="23" t="s">
        <v>11242</v>
      </c>
      <c r="D138" s="23" t="s">
        <v>11243</v>
      </c>
      <c r="E138" s="23" t="s">
        <v>11244</v>
      </c>
      <c r="F138" s="23" t="s">
        <v>601</v>
      </c>
      <c r="G138" s="23" t="s">
        <v>11245</v>
      </c>
      <c r="H138" s="23" t="s">
        <v>11246</v>
      </c>
      <c r="I138" s="23" t="s">
        <v>10279</v>
      </c>
      <c r="J138" s="23" t="s">
        <v>11247</v>
      </c>
      <c r="K138" s="23"/>
      <c r="L138" s="23"/>
      <c r="M138" s="23"/>
      <c r="N138" s="23"/>
      <c r="O138" s="23"/>
      <c r="P138" s="24"/>
      <c r="Q138" s="24"/>
      <c r="R138" s="24"/>
      <c r="S138" s="24"/>
      <c r="T138" s="24"/>
      <c r="U138" s="24"/>
      <c r="V138" s="24"/>
      <c r="W138" s="24"/>
      <c r="X138" s="24"/>
      <c r="Y138" s="24"/>
      <c r="Z138" s="24"/>
    </row>
    <row r="139" ht="15.75" customHeight="1">
      <c r="A139" s="23" t="s">
        <v>11248</v>
      </c>
      <c r="B139" s="23" t="s">
        <v>11249</v>
      </c>
      <c r="C139" s="23" t="s">
        <v>11250</v>
      </c>
      <c r="D139" s="23" t="s">
        <v>11251</v>
      </c>
      <c r="E139" s="23" t="s">
        <v>11252</v>
      </c>
      <c r="F139" s="23" t="s">
        <v>580</v>
      </c>
      <c r="G139" s="23" t="s">
        <v>11253</v>
      </c>
      <c r="H139" s="23" t="s">
        <v>11254</v>
      </c>
      <c r="I139" s="23" t="s">
        <v>10279</v>
      </c>
      <c r="J139" s="23" t="s">
        <v>10280</v>
      </c>
      <c r="K139" s="23"/>
      <c r="L139" s="23"/>
      <c r="M139" s="23"/>
      <c r="N139" s="23"/>
      <c r="O139" s="23"/>
      <c r="P139" s="24"/>
      <c r="Q139" s="24"/>
      <c r="R139" s="24"/>
      <c r="S139" s="24"/>
      <c r="T139" s="24"/>
      <c r="U139" s="24"/>
      <c r="V139" s="24"/>
      <c r="W139" s="24"/>
      <c r="X139" s="24"/>
      <c r="Y139" s="24"/>
      <c r="Z139" s="24"/>
    </row>
    <row r="140" ht="15.75" customHeight="1">
      <c r="A140" s="23" t="s">
        <v>11255</v>
      </c>
      <c r="B140" s="23" t="s">
        <v>11256</v>
      </c>
      <c r="C140" s="23"/>
      <c r="D140" s="23" t="s">
        <v>11257</v>
      </c>
      <c r="E140" s="23" t="s">
        <v>2154</v>
      </c>
      <c r="F140" s="23" t="s">
        <v>2154</v>
      </c>
      <c r="G140" s="23" t="s">
        <v>11258</v>
      </c>
      <c r="H140" s="23" t="s">
        <v>11259</v>
      </c>
      <c r="I140" s="23" t="s">
        <v>10279</v>
      </c>
      <c r="J140" s="23" t="s">
        <v>11260</v>
      </c>
      <c r="K140" s="23"/>
      <c r="L140" s="23"/>
      <c r="M140" s="23"/>
      <c r="N140" s="23"/>
      <c r="O140" s="23"/>
      <c r="P140" s="24"/>
      <c r="Q140" s="24"/>
      <c r="R140" s="24"/>
      <c r="S140" s="24"/>
      <c r="T140" s="24"/>
      <c r="U140" s="24"/>
      <c r="V140" s="24"/>
      <c r="W140" s="24"/>
      <c r="X140" s="24"/>
      <c r="Y140" s="24"/>
      <c r="Z140" s="24"/>
    </row>
    <row r="141" ht="15.75" customHeight="1">
      <c r="A141" s="23" t="s">
        <v>11261</v>
      </c>
      <c r="B141" s="23" t="s">
        <v>11262</v>
      </c>
      <c r="C141" s="23" t="s">
        <v>11263</v>
      </c>
      <c r="D141" s="23" t="s">
        <v>11264</v>
      </c>
      <c r="E141" s="23" t="s">
        <v>2162</v>
      </c>
      <c r="F141" s="23" t="s">
        <v>2162</v>
      </c>
      <c r="G141" s="23" t="s">
        <v>11265</v>
      </c>
      <c r="H141" s="23" t="s">
        <v>11266</v>
      </c>
      <c r="I141" s="23" t="s">
        <v>10279</v>
      </c>
      <c r="J141" s="23" t="s">
        <v>11267</v>
      </c>
      <c r="K141" s="23"/>
      <c r="L141" s="23"/>
      <c r="M141" s="23"/>
      <c r="N141" s="23"/>
      <c r="O141" s="23"/>
      <c r="P141" s="24"/>
      <c r="Q141" s="24"/>
      <c r="R141" s="24"/>
      <c r="S141" s="24"/>
      <c r="T141" s="24"/>
      <c r="U141" s="24"/>
      <c r="V141" s="24"/>
      <c r="W141" s="24"/>
      <c r="X141" s="24"/>
      <c r="Y141" s="24"/>
      <c r="Z141" s="24"/>
    </row>
    <row r="142" ht="15.75" customHeight="1">
      <c r="A142" s="23" t="s">
        <v>11268</v>
      </c>
      <c r="B142" s="23" t="s">
        <v>11269</v>
      </c>
      <c r="C142" s="23" t="s">
        <v>11270</v>
      </c>
      <c r="D142" s="23" t="s">
        <v>11271</v>
      </c>
      <c r="E142" s="23" t="s">
        <v>11272</v>
      </c>
      <c r="F142" s="23" t="s">
        <v>253</v>
      </c>
      <c r="G142" s="23" t="s">
        <v>11273</v>
      </c>
      <c r="H142" s="23" t="s">
        <v>11274</v>
      </c>
      <c r="I142" s="23" t="s">
        <v>10279</v>
      </c>
      <c r="J142" s="23" t="s">
        <v>10569</v>
      </c>
      <c r="K142" s="23"/>
      <c r="L142" s="23"/>
      <c r="M142" s="23"/>
      <c r="N142" s="23"/>
      <c r="O142" s="23"/>
      <c r="P142" s="24"/>
      <c r="Q142" s="24"/>
      <c r="R142" s="24"/>
      <c r="S142" s="24"/>
      <c r="T142" s="24"/>
      <c r="U142" s="24"/>
      <c r="V142" s="24"/>
      <c r="W142" s="24"/>
      <c r="X142" s="24"/>
      <c r="Y142" s="24"/>
      <c r="Z142" s="24"/>
    </row>
    <row r="143" ht="15.75" customHeight="1">
      <c r="A143" s="23" t="s">
        <v>11275</v>
      </c>
      <c r="B143" s="23" t="s">
        <v>11276</v>
      </c>
      <c r="C143" s="23" t="s">
        <v>11277</v>
      </c>
      <c r="D143" s="23" t="s">
        <v>11278</v>
      </c>
      <c r="E143" s="23" t="s">
        <v>11279</v>
      </c>
      <c r="F143" s="23" t="s">
        <v>55</v>
      </c>
      <c r="G143" s="23" t="s">
        <v>11280</v>
      </c>
      <c r="H143" s="23" t="s">
        <v>11281</v>
      </c>
      <c r="I143" s="23" t="s">
        <v>10279</v>
      </c>
      <c r="J143" s="23" t="s">
        <v>11282</v>
      </c>
      <c r="K143" s="23"/>
      <c r="L143" s="23"/>
      <c r="M143" s="23"/>
      <c r="N143" s="23"/>
      <c r="O143" s="23"/>
      <c r="P143" s="24"/>
      <c r="Q143" s="24"/>
      <c r="R143" s="24"/>
      <c r="S143" s="24"/>
      <c r="T143" s="24"/>
      <c r="U143" s="24"/>
      <c r="V143" s="24"/>
      <c r="W143" s="24"/>
      <c r="X143" s="24"/>
      <c r="Y143" s="24"/>
      <c r="Z143" s="24"/>
    </row>
    <row r="144" ht="15.75" customHeight="1">
      <c r="A144" s="23" t="s">
        <v>11283</v>
      </c>
      <c r="B144" s="23" t="s">
        <v>11284</v>
      </c>
      <c r="C144" s="23" t="s">
        <v>11285</v>
      </c>
      <c r="D144" s="23" t="s">
        <v>11286</v>
      </c>
      <c r="E144" s="23" t="s">
        <v>55</v>
      </c>
      <c r="F144" s="23" t="s">
        <v>55</v>
      </c>
      <c r="G144" s="23" t="s">
        <v>11287</v>
      </c>
      <c r="H144" s="23" t="s">
        <v>11288</v>
      </c>
      <c r="I144" s="23" t="s">
        <v>10279</v>
      </c>
      <c r="J144" s="23" t="s">
        <v>10321</v>
      </c>
      <c r="K144" s="23"/>
      <c r="L144" s="23"/>
      <c r="M144" s="23"/>
      <c r="N144" s="23"/>
      <c r="O144" s="23"/>
      <c r="P144" s="24"/>
      <c r="Q144" s="24"/>
      <c r="R144" s="24"/>
      <c r="S144" s="24"/>
      <c r="T144" s="24"/>
      <c r="U144" s="24"/>
      <c r="V144" s="24"/>
      <c r="W144" s="24"/>
      <c r="X144" s="24"/>
      <c r="Y144" s="24"/>
      <c r="Z144" s="24"/>
    </row>
    <row r="145" ht="15.75" customHeight="1">
      <c r="A145" s="23" t="s">
        <v>11289</v>
      </c>
      <c r="B145" s="23" t="s">
        <v>11290</v>
      </c>
      <c r="C145" s="23" t="s">
        <v>11291</v>
      </c>
      <c r="D145" s="23" t="s">
        <v>11292</v>
      </c>
      <c r="E145" s="23" t="s">
        <v>55</v>
      </c>
      <c r="F145" s="23" t="s">
        <v>55</v>
      </c>
      <c r="G145" s="23" t="s">
        <v>11293</v>
      </c>
      <c r="H145" s="23" t="s">
        <v>11294</v>
      </c>
      <c r="I145" s="23" t="s">
        <v>10279</v>
      </c>
      <c r="J145" s="23" t="s">
        <v>10328</v>
      </c>
      <c r="K145" s="23"/>
      <c r="L145" s="23"/>
      <c r="M145" s="23"/>
      <c r="N145" s="23"/>
      <c r="O145" s="23"/>
      <c r="P145" s="24"/>
      <c r="Q145" s="24"/>
      <c r="R145" s="24"/>
      <c r="S145" s="24"/>
      <c r="T145" s="24"/>
      <c r="U145" s="24"/>
      <c r="V145" s="24"/>
      <c r="W145" s="24"/>
      <c r="X145" s="24"/>
      <c r="Y145" s="24"/>
      <c r="Z145" s="24"/>
    </row>
    <row r="146" ht="15.75" customHeight="1">
      <c r="A146" s="23" t="s">
        <v>11295</v>
      </c>
      <c r="B146" s="23" t="s">
        <v>11296</v>
      </c>
      <c r="C146" s="23" t="s">
        <v>11297</v>
      </c>
      <c r="D146" s="23" t="s">
        <v>11298</v>
      </c>
      <c r="E146" s="23" t="s">
        <v>55</v>
      </c>
      <c r="F146" s="23" t="s">
        <v>55</v>
      </c>
      <c r="G146" s="23" t="s">
        <v>11299</v>
      </c>
      <c r="H146" s="23" t="s">
        <v>11300</v>
      </c>
      <c r="I146" s="23" t="s">
        <v>10279</v>
      </c>
      <c r="J146" s="23" t="s">
        <v>11301</v>
      </c>
      <c r="K146" s="23"/>
      <c r="L146" s="23"/>
      <c r="M146" s="23"/>
      <c r="N146" s="23"/>
      <c r="O146" s="23"/>
      <c r="P146" s="24"/>
      <c r="Q146" s="24"/>
      <c r="R146" s="24"/>
      <c r="S146" s="24"/>
      <c r="T146" s="24"/>
      <c r="U146" s="24"/>
      <c r="V146" s="24"/>
      <c r="W146" s="24"/>
      <c r="X146" s="24"/>
      <c r="Y146" s="24"/>
      <c r="Z146" s="24"/>
    </row>
    <row r="147" ht="15.75" customHeight="1">
      <c r="A147" s="23" t="s">
        <v>11302</v>
      </c>
      <c r="B147" s="23" t="s">
        <v>11303</v>
      </c>
      <c r="C147" s="23" t="s">
        <v>11304</v>
      </c>
      <c r="D147" s="23" t="s">
        <v>11305</v>
      </c>
      <c r="E147" s="23" t="s">
        <v>11306</v>
      </c>
      <c r="F147" s="23" t="s">
        <v>406</v>
      </c>
      <c r="G147" s="23" t="s">
        <v>11307</v>
      </c>
      <c r="H147" s="23" t="s">
        <v>11308</v>
      </c>
      <c r="I147" s="23" t="s">
        <v>10279</v>
      </c>
      <c r="J147" s="23" t="s">
        <v>10387</v>
      </c>
      <c r="K147" s="23"/>
      <c r="L147" s="23"/>
      <c r="M147" s="23"/>
      <c r="N147" s="23"/>
      <c r="O147" s="23"/>
      <c r="P147" s="24"/>
      <c r="Q147" s="24"/>
      <c r="R147" s="24"/>
      <c r="S147" s="24"/>
      <c r="T147" s="24"/>
      <c r="U147" s="24"/>
      <c r="V147" s="24"/>
      <c r="W147" s="24"/>
      <c r="X147" s="24"/>
      <c r="Y147" s="24"/>
      <c r="Z147" s="24"/>
    </row>
    <row r="148" ht="15.75" customHeight="1">
      <c r="A148" s="23" t="s">
        <v>11309</v>
      </c>
      <c r="B148" s="23" t="s">
        <v>11310</v>
      </c>
      <c r="C148" s="23" t="s">
        <v>11311</v>
      </c>
      <c r="D148" s="23" t="s">
        <v>11312</v>
      </c>
      <c r="E148" s="23" t="s">
        <v>813</v>
      </c>
      <c r="F148" s="23" t="s">
        <v>813</v>
      </c>
      <c r="G148" s="23" t="s">
        <v>11313</v>
      </c>
      <c r="H148" s="23" t="s">
        <v>11314</v>
      </c>
      <c r="I148" s="23" t="s">
        <v>10279</v>
      </c>
      <c r="J148" s="23" t="s">
        <v>10314</v>
      </c>
      <c r="K148" s="23"/>
      <c r="L148" s="23"/>
      <c r="M148" s="23"/>
      <c r="N148" s="23"/>
      <c r="O148" s="23"/>
      <c r="P148" s="24"/>
      <c r="Q148" s="24"/>
      <c r="R148" s="24"/>
      <c r="S148" s="24"/>
      <c r="T148" s="24"/>
      <c r="U148" s="24"/>
      <c r="V148" s="24"/>
      <c r="W148" s="24"/>
      <c r="X148" s="24"/>
      <c r="Y148" s="24"/>
      <c r="Z148" s="24"/>
    </row>
    <row r="149" ht="15.75" customHeight="1">
      <c r="A149" s="23" t="s">
        <v>11315</v>
      </c>
      <c r="B149" s="23" t="s">
        <v>11316</v>
      </c>
      <c r="C149" s="23" t="s">
        <v>11317</v>
      </c>
      <c r="D149" s="23" t="s">
        <v>11318</v>
      </c>
      <c r="E149" s="23" t="s">
        <v>55</v>
      </c>
      <c r="F149" s="23" t="s">
        <v>55</v>
      </c>
      <c r="G149" s="23" t="s">
        <v>11319</v>
      </c>
      <c r="H149" s="23" t="s">
        <v>11320</v>
      </c>
      <c r="I149" s="23" t="s">
        <v>10279</v>
      </c>
      <c r="J149" s="23" t="s">
        <v>11321</v>
      </c>
      <c r="K149" s="23"/>
      <c r="L149" s="23"/>
      <c r="M149" s="23"/>
      <c r="N149" s="23"/>
      <c r="O149" s="23"/>
      <c r="P149" s="24"/>
      <c r="Q149" s="24"/>
      <c r="R149" s="24"/>
      <c r="S149" s="24"/>
      <c r="T149" s="24"/>
      <c r="U149" s="24"/>
      <c r="V149" s="24"/>
      <c r="W149" s="24"/>
      <c r="X149" s="24"/>
      <c r="Y149" s="24"/>
      <c r="Z149" s="24"/>
    </row>
    <row r="150" ht="15.75" customHeight="1">
      <c r="A150" s="23" t="s">
        <v>11322</v>
      </c>
      <c r="B150" s="23" t="s">
        <v>11323</v>
      </c>
      <c r="C150" s="23" t="s">
        <v>11324</v>
      </c>
      <c r="D150" s="23" t="s">
        <v>11325</v>
      </c>
      <c r="E150" s="23" t="s">
        <v>55</v>
      </c>
      <c r="F150" s="23" t="s">
        <v>55</v>
      </c>
      <c r="G150" s="23" t="s">
        <v>11326</v>
      </c>
      <c r="H150" s="23" t="s">
        <v>11327</v>
      </c>
      <c r="I150" s="23" t="s">
        <v>10279</v>
      </c>
      <c r="J150" s="23" t="s">
        <v>10741</v>
      </c>
      <c r="K150" s="23"/>
      <c r="L150" s="23"/>
      <c r="M150" s="23"/>
      <c r="N150" s="23"/>
      <c r="O150" s="23"/>
      <c r="P150" s="24"/>
      <c r="Q150" s="24"/>
      <c r="R150" s="24"/>
      <c r="S150" s="24"/>
      <c r="T150" s="24"/>
      <c r="U150" s="24"/>
      <c r="V150" s="24"/>
      <c r="W150" s="24"/>
      <c r="X150" s="24"/>
      <c r="Y150" s="24"/>
      <c r="Z150" s="24"/>
    </row>
    <row r="151" ht="15.75" customHeight="1">
      <c r="A151" s="23" t="s">
        <v>11328</v>
      </c>
      <c r="B151" s="23" t="s">
        <v>11329</v>
      </c>
      <c r="C151" s="23" t="s">
        <v>11330</v>
      </c>
      <c r="D151" s="23" t="s">
        <v>11331</v>
      </c>
      <c r="E151" s="23" t="s">
        <v>1171</v>
      </c>
      <c r="F151" s="23" t="s">
        <v>1171</v>
      </c>
      <c r="G151" s="23" t="s">
        <v>11332</v>
      </c>
      <c r="H151" s="23" t="s">
        <v>11333</v>
      </c>
      <c r="I151" s="23" t="s">
        <v>10279</v>
      </c>
      <c r="J151" s="23" t="s">
        <v>10280</v>
      </c>
      <c r="K151" s="23"/>
      <c r="L151" s="23"/>
      <c r="M151" s="23"/>
      <c r="N151" s="23"/>
      <c r="O151" s="23"/>
      <c r="P151" s="24"/>
      <c r="Q151" s="24"/>
      <c r="R151" s="24"/>
      <c r="S151" s="24"/>
      <c r="T151" s="24"/>
      <c r="U151" s="24"/>
      <c r="V151" s="24"/>
      <c r="W151" s="24"/>
      <c r="X151" s="24"/>
      <c r="Y151" s="24"/>
      <c r="Z151" s="24"/>
    </row>
    <row r="152" ht="15.75" customHeight="1">
      <c r="A152" s="23" t="s">
        <v>11334</v>
      </c>
      <c r="B152" s="23"/>
      <c r="C152" s="23" t="s">
        <v>11335</v>
      </c>
      <c r="D152" s="23" t="s">
        <v>11336</v>
      </c>
      <c r="E152" s="23" t="s">
        <v>11337</v>
      </c>
      <c r="F152" s="23" t="s">
        <v>1014</v>
      </c>
      <c r="G152" s="23" t="s">
        <v>11338</v>
      </c>
      <c r="H152" s="23" t="s">
        <v>11339</v>
      </c>
      <c r="I152" s="23" t="s">
        <v>10279</v>
      </c>
      <c r="J152" s="23" t="s">
        <v>10280</v>
      </c>
      <c r="K152" s="23" t="s">
        <v>11340</v>
      </c>
      <c r="L152" s="23" t="s">
        <v>11341</v>
      </c>
      <c r="M152" s="23" t="s">
        <v>11335</v>
      </c>
      <c r="N152" s="23" t="s">
        <v>11342</v>
      </c>
      <c r="O152" s="23" t="s">
        <v>11343</v>
      </c>
      <c r="P152" s="24"/>
      <c r="Q152" s="24"/>
      <c r="R152" s="24"/>
      <c r="S152" s="24"/>
      <c r="T152" s="24"/>
      <c r="U152" s="24"/>
      <c r="V152" s="24"/>
      <c r="W152" s="24"/>
      <c r="X152" s="24"/>
      <c r="Y152" s="24"/>
      <c r="Z152" s="24"/>
    </row>
    <row r="153" ht="15.75" customHeight="1">
      <c r="A153" s="23" t="s">
        <v>11344</v>
      </c>
      <c r="B153" s="23"/>
      <c r="C153" s="23"/>
      <c r="D153" s="23" t="s">
        <v>11345</v>
      </c>
      <c r="E153" s="23" t="s">
        <v>3757</v>
      </c>
      <c r="F153" s="23" t="s">
        <v>219</v>
      </c>
      <c r="G153" s="23" t="s">
        <v>11346</v>
      </c>
      <c r="H153" s="23" t="s">
        <v>11347</v>
      </c>
      <c r="I153" s="23" t="s">
        <v>10279</v>
      </c>
      <c r="J153" s="23" t="s">
        <v>10328</v>
      </c>
      <c r="K153" s="23" t="s">
        <v>11348</v>
      </c>
      <c r="L153" s="23" t="s">
        <v>11349</v>
      </c>
      <c r="M153" s="23"/>
      <c r="N153" s="23"/>
      <c r="O153" s="23"/>
      <c r="P153" s="24"/>
      <c r="Q153" s="24"/>
      <c r="R153" s="24"/>
      <c r="S153" s="24"/>
      <c r="T153" s="24"/>
      <c r="U153" s="24"/>
      <c r="V153" s="24"/>
      <c r="W153" s="24"/>
      <c r="X153" s="24"/>
      <c r="Y153" s="24"/>
      <c r="Z153" s="24"/>
    </row>
    <row r="154" ht="15.75" customHeight="1">
      <c r="A154" s="23" t="s">
        <v>11350</v>
      </c>
      <c r="B154" s="23" t="s">
        <v>11351</v>
      </c>
      <c r="C154" s="23" t="s">
        <v>11352</v>
      </c>
      <c r="D154" s="23" t="s">
        <v>11353</v>
      </c>
      <c r="E154" s="23" t="s">
        <v>4660</v>
      </c>
      <c r="F154" s="23" t="s">
        <v>1462</v>
      </c>
      <c r="G154" s="23" t="s">
        <v>11354</v>
      </c>
      <c r="H154" s="23" t="s">
        <v>11355</v>
      </c>
      <c r="I154" s="23" t="s">
        <v>10279</v>
      </c>
      <c r="J154" s="23" t="s">
        <v>10328</v>
      </c>
      <c r="K154" s="23"/>
      <c r="L154" s="23"/>
      <c r="M154" s="23"/>
      <c r="N154" s="23"/>
      <c r="O154" s="23"/>
      <c r="P154" s="24"/>
      <c r="Q154" s="24"/>
      <c r="R154" s="24"/>
      <c r="S154" s="24"/>
      <c r="T154" s="24"/>
      <c r="U154" s="24"/>
      <c r="V154" s="24"/>
      <c r="W154" s="24"/>
      <c r="X154" s="24"/>
      <c r="Y154" s="24"/>
      <c r="Z154" s="24"/>
    </row>
    <row r="155" ht="15.75" customHeight="1">
      <c r="A155" s="23" t="s">
        <v>11356</v>
      </c>
      <c r="B155" s="23"/>
      <c r="C155" s="23"/>
      <c r="D155" s="23" t="s">
        <v>11357</v>
      </c>
      <c r="E155" s="23" t="s">
        <v>231</v>
      </c>
      <c r="F155" s="23" t="s">
        <v>231</v>
      </c>
      <c r="G155" s="23" t="s">
        <v>11358</v>
      </c>
      <c r="H155" s="23" t="s">
        <v>11359</v>
      </c>
      <c r="I155" s="23" t="s">
        <v>10279</v>
      </c>
      <c r="J155" s="23" t="s">
        <v>11360</v>
      </c>
      <c r="K155" s="23" t="s">
        <v>11361</v>
      </c>
      <c r="L155" s="23" t="s">
        <v>11362</v>
      </c>
      <c r="M155" s="23" t="s">
        <v>11363</v>
      </c>
      <c r="N155" s="23" t="s">
        <v>11364</v>
      </c>
      <c r="O155" s="23" t="s">
        <v>11365</v>
      </c>
      <c r="P155" s="24"/>
      <c r="Q155" s="24"/>
      <c r="R155" s="24"/>
      <c r="S155" s="24"/>
      <c r="T155" s="24"/>
      <c r="U155" s="24"/>
      <c r="V155" s="24"/>
      <c r="W155" s="24"/>
      <c r="X155" s="24"/>
      <c r="Y155" s="24"/>
      <c r="Z155" s="24"/>
    </row>
    <row r="156" ht="15.75" customHeight="1">
      <c r="A156" s="23" t="s">
        <v>11366</v>
      </c>
      <c r="B156" s="23" t="s">
        <v>11367</v>
      </c>
      <c r="C156" s="23" t="s">
        <v>11368</v>
      </c>
      <c r="D156" s="23" t="s">
        <v>11369</v>
      </c>
      <c r="E156" s="23" t="s">
        <v>813</v>
      </c>
      <c r="F156" s="23" t="s">
        <v>813</v>
      </c>
      <c r="G156" s="23" t="s">
        <v>11370</v>
      </c>
      <c r="H156" s="23" t="s">
        <v>11371</v>
      </c>
      <c r="I156" s="23" t="s">
        <v>10279</v>
      </c>
      <c r="J156" s="23" t="s">
        <v>10280</v>
      </c>
      <c r="K156" s="23"/>
      <c r="L156" s="23"/>
      <c r="M156" s="23"/>
      <c r="N156" s="23"/>
      <c r="O156" s="23"/>
      <c r="P156" s="24"/>
      <c r="Q156" s="24"/>
      <c r="R156" s="24"/>
      <c r="S156" s="24"/>
      <c r="T156" s="24"/>
      <c r="U156" s="24"/>
      <c r="V156" s="24"/>
      <c r="W156" s="24"/>
      <c r="X156" s="24"/>
      <c r="Y156" s="24"/>
      <c r="Z156" s="24"/>
    </row>
    <row r="157" ht="15.75" customHeight="1">
      <c r="A157" s="23" t="s">
        <v>11372</v>
      </c>
      <c r="B157" s="23" t="s">
        <v>11373</v>
      </c>
      <c r="C157" s="23" t="s">
        <v>11374</v>
      </c>
      <c r="D157" s="23" t="s">
        <v>11375</v>
      </c>
      <c r="E157" s="23" t="s">
        <v>55</v>
      </c>
      <c r="F157" s="23" t="s">
        <v>55</v>
      </c>
      <c r="G157" s="23" t="s">
        <v>11376</v>
      </c>
      <c r="H157" s="23" t="s">
        <v>11377</v>
      </c>
      <c r="I157" s="23" t="s">
        <v>10279</v>
      </c>
      <c r="J157" s="23" t="s">
        <v>11072</v>
      </c>
      <c r="K157" s="23"/>
      <c r="L157" s="23"/>
      <c r="M157" s="23"/>
      <c r="N157" s="23"/>
      <c r="O157" s="23"/>
      <c r="P157" s="24"/>
      <c r="Q157" s="24"/>
      <c r="R157" s="24"/>
      <c r="S157" s="24"/>
      <c r="T157" s="24"/>
      <c r="U157" s="24"/>
      <c r="V157" s="24"/>
      <c r="W157" s="24"/>
      <c r="X157" s="24"/>
      <c r="Y157" s="24"/>
      <c r="Z157" s="24"/>
    </row>
    <row r="158" ht="15.75" customHeight="1">
      <c r="A158" s="23" t="s">
        <v>11378</v>
      </c>
      <c r="B158" s="23" t="s">
        <v>11379</v>
      </c>
      <c r="C158" s="23" t="s">
        <v>11380</v>
      </c>
      <c r="D158" s="23" t="s">
        <v>11381</v>
      </c>
      <c r="E158" s="23" t="s">
        <v>1014</v>
      </c>
      <c r="F158" s="23" t="s">
        <v>1014</v>
      </c>
      <c r="G158" s="23" t="s">
        <v>11382</v>
      </c>
      <c r="H158" s="23" t="s">
        <v>11383</v>
      </c>
      <c r="I158" s="23" t="s">
        <v>10279</v>
      </c>
      <c r="J158" s="23" t="s">
        <v>10569</v>
      </c>
      <c r="K158" s="23"/>
      <c r="L158" s="23"/>
      <c r="M158" s="23"/>
      <c r="N158" s="23"/>
      <c r="O158" s="23"/>
      <c r="P158" s="24"/>
      <c r="Q158" s="24"/>
      <c r="R158" s="24"/>
      <c r="S158" s="24"/>
      <c r="T158" s="24"/>
      <c r="U158" s="24"/>
      <c r="V158" s="24"/>
      <c r="W158" s="24"/>
      <c r="X158" s="24"/>
      <c r="Y158" s="24"/>
      <c r="Z158" s="24"/>
    </row>
    <row r="159" ht="15.75" customHeight="1">
      <c r="A159" s="23" t="s">
        <v>11384</v>
      </c>
      <c r="B159" s="23" t="s">
        <v>11385</v>
      </c>
      <c r="C159" s="23" t="s">
        <v>11386</v>
      </c>
      <c r="D159" s="23" t="s">
        <v>11387</v>
      </c>
      <c r="E159" s="23" t="s">
        <v>231</v>
      </c>
      <c r="F159" s="23" t="s">
        <v>813</v>
      </c>
      <c r="G159" s="23" t="s">
        <v>11388</v>
      </c>
      <c r="H159" s="23" t="s">
        <v>11389</v>
      </c>
      <c r="I159" s="23" t="s">
        <v>10279</v>
      </c>
      <c r="J159" s="23" t="s">
        <v>10394</v>
      </c>
      <c r="K159" s="23"/>
      <c r="L159" s="23"/>
      <c r="M159" s="23"/>
      <c r="N159" s="23"/>
      <c r="O159" s="23"/>
      <c r="P159" s="24"/>
      <c r="Q159" s="24"/>
      <c r="R159" s="24"/>
      <c r="S159" s="24"/>
      <c r="T159" s="24"/>
      <c r="U159" s="24"/>
      <c r="V159" s="24"/>
      <c r="W159" s="24"/>
      <c r="X159" s="24"/>
      <c r="Y159" s="24"/>
      <c r="Z159" s="24"/>
    </row>
    <row r="160" ht="15.75" customHeight="1">
      <c r="A160" s="22" t="s">
        <v>11390</v>
      </c>
      <c r="B160" s="22"/>
      <c r="C160" s="22" t="s">
        <v>11391</v>
      </c>
      <c r="D160" s="22" t="s">
        <v>11392</v>
      </c>
      <c r="E160" s="22" t="s">
        <v>231</v>
      </c>
      <c r="F160" s="22" t="s">
        <v>231</v>
      </c>
      <c r="G160" s="22" t="s">
        <v>10385</v>
      </c>
      <c r="H160" s="22" t="s">
        <v>11393</v>
      </c>
      <c r="I160" s="22" t="s">
        <v>10279</v>
      </c>
      <c r="J160" s="22" t="s">
        <v>10280</v>
      </c>
      <c r="K160" s="22" t="s">
        <v>11394</v>
      </c>
      <c r="L160" s="22" t="s">
        <v>11395</v>
      </c>
      <c r="M160" s="22" t="s">
        <v>11396</v>
      </c>
      <c r="N160" s="22" t="s">
        <v>11397</v>
      </c>
      <c r="O160" s="22" t="s">
        <v>11398</v>
      </c>
    </row>
    <row r="161" ht="15.75" customHeight="1">
      <c r="A161" s="20" t="s">
        <v>11399</v>
      </c>
      <c r="B161" s="20" t="s">
        <v>11400</v>
      </c>
      <c r="C161" s="20" t="s">
        <v>11401</v>
      </c>
      <c r="D161" s="20" t="s">
        <v>11402</v>
      </c>
      <c r="E161" s="20" t="s">
        <v>231</v>
      </c>
      <c r="F161" s="20" t="s">
        <v>231</v>
      </c>
      <c r="G161" s="20" t="s">
        <v>11403</v>
      </c>
      <c r="H161" s="20" t="s">
        <v>11404</v>
      </c>
      <c r="I161" s="20" t="s">
        <v>10279</v>
      </c>
      <c r="J161" s="21" t="s">
        <v>11405</v>
      </c>
      <c r="K161" s="21" t="s">
        <v>11406</v>
      </c>
      <c r="L161" s="21" t="s">
        <v>11407</v>
      </c>
      <c r="M161" s="21" t="s">
        <v>11408</v>
      </c>
      <c r="N161" s="21" t="s">
        <v>11409</v>
      </c>
      <c r="O161" s="21" t="s">
        <v>11410</v>
      </c>
    </row>
    <row r="162" ht="15.75" customHeight="1">
      <c r="A162" s="22" t="s">
        <v>11411</v>
      </c>
      <c r="B162" s="22" t="s">
        <v>11412</v>
      </c>
      <c r="C162" s="22"/>
      <c r="D162" s="22" t="s">
        <v>11413</v>
      </c>
      <c r="E162" s="22" t="s">
        <v>55</v>
      </c>
      <c r="F162" s="22" t="s">
        <v>55</v>
      </c>
      <c r="G162" s="22" t="s">
        <v>11414</v>
      </c>
      <c r="H162" s="22" t="s">
        <v>11415</v>
      </c>
      <c r="I162" s="22" t="s">
        <v>10279</v>
      </c>
      <c r="J162" s="22" t="s">
        <v>10459</v>
      </c>
      <c r="K162" s="22"/>
      <c r="L162" s="22"/>
      <c r="M162" s="22"/>
      <c r="N162" s="22"/>
      <c r="O162" s="22"/>
    </row>
    <row r="163" ht="15.75" customHeight="1">
      <c r="A163" s="20" t="s">
        <v>11416</v>
      </c>
      <c r="B163" s="20" t="s">
        <v>11417</v>
      </c>
      <c r="C163" s="20" t="s">
        <v>11418</v>
      </c>
      <c r="D163" s="20" t="s">
        <v>11419</v>
      </c>
      <c r="E163" s="20" t="s">
        <v>11420</v>
      </c>
      <c r="F163" s="20" t="s">
        <v>231</v>
      </c>
      <c r="G163" s="20" t="s">
        <v>11421</v>
      </c>
      <c r="H163" s="20" t="s">
        <v>11422</v>
      </c>
      <c r="I163" s="20" t="s">
        <v>10279</v>
      </c>
      <c r="J163" s="21" t="s">
        <v>11196</v>
      </c>
      <c r="K163" s="21"/>
      <c r="L163" s="21"/>
      <c r="M163" s="21"/>
      <c r="N163" s="21"/>
      <c r="O163" s="21"/>
    </row>
    <row r="164" ht="15.75" customHeight="1">
      <c r="A164" s="22" t="s">
        <v>11423</v>
      </c>
      <c r="B164" s="22" t="s">
        <v>11424</v>
      </c>
      <c r="C164" s="22" t="s">
        <v>11425</v>
      </c>
      <c r="D164" s="22" t="s">
        <v>11426</v>
      </c>
      <c r="E164" s="22" t="s">
        <v>231</v>
      </c>
      <c r="F164" s="22" t="s">
        <v>231</v>
      </c>
      <c r="G164" s="22" t="s">
        <v>11427</v>
      </c>
      <c r="H164" s="22" t="s">
        <v>11428</v>
      </c>
      <c r="I164" s="22" t="s">
        <v>10279</v>
      </c>
      <c r="J164" s="22" t="s">
        <v>11429</v>
      </c>
      <c r="K164" s="22"/>
      <c r="L164" s="22"/>
      <c r="M164" s="22"/>
      <c r="N164" s="22"/>
      <c r="O164" s="22"/>
    </row>
    <row r="165" ht="15.75" customHeight="1">
      <c r="A165" s="20" t="s">
        <v>11430</v>
      </c>
      <c r="B165" s="20" t="s">
        <v>11431</v>
      </c>
      <c r="C165" s="20" t="s">
        <v>11432</v>
      </c>
      <c r="D165" s="20" t="s">
        <v>11433</v>
      </c>
      <c r="E165" s="20" t="s">
        <v>129</v>
      </c>
      <c r="F165" s="20" t="s">
        <v>129</v>
      </c>
      <c r="G165" s="20" t="s">
        <v>11434</v>
      </c>
      <c r="H165" s="20" t="s">
        <v>11435</v>
      </c>
      <c r="I165" s="20" t="s">
        <v>10279</v>
      </c>
      <c r="J165" s="21" t="s">
        <v>10280</v>
      </c>
      <c r="K165" s="21" t="s">
        <v>11228</v>
      </c>
      <c r="L165" s="21" t="s">
        <v>11229</v>
      </c>
      <c r="M165" s="21" t="s">
        <v>11230</v>
      </c>
      <c r="N165" s="21" t="s">
        <v>11231</v>
      </c>
      <c r="O165" s="21" t="s">
        <v>11232</v>
      </c>
    </row>
    <row r="166" ht="15.75" customHeight="1">
      <c r="A166" s="22" t="s">
        <v>11436</v>
      </c>
      <c r="B166" s="22" t="s">
        <v>11437</v>
      </c>
      <c r="C166" s="22" t="s">
        <v>11438</v>
      </c>
      <c r="D166" s="22" t="s">
        <v>11439</v>
      </c>
      <c r="E166" s="22" t="s">
        <v>100</v>
      </c>
      <c r="F166" s="22" t="s">
        <v>100</v>
      </c>
      <c r="G166" s="22" t="s">
        <v>11440</v>
      </c>
      <c r="H166" s="22" t="s">
        <v>11441</v>
      </c>
      <c r="I166" s="22" t="s">
        <v>10279</v>
      </c>
      <c r="J166" s="22" t="s">
        <v>11442</v>
      </c>
      <c r="K166" s="22"/>
      <c r="L166" s="22"/>
      <c r="M166" s="22"/>
      <c r="N166" s="22"/>
      <c r="O166" s="22"/>
    </row>
    <row r="167" ht="15.75" customHeight="1">
      <c r="A167" s="20" t="s">
        <v>11443</v>
      </c>
      <c r="B167" s="20" t="s">
        <v>11444</v>
      </c>
      <c r="C167" s="20" t="s">
        <v>11445</v>
      </c>
      <c r="D167" s="20" t="s">
        <v>11446</v>
      </c>
      <c r="E167" s="20" t="s">
        <v>813</v>
      </c>
      <c r="F167" s="20" t="s">
        <v>813</v>
      </c>
      <c r="G167" s="20" t="s">
        <v>11447</v>
      </c>
      <c r="H167" s="20" t="s">
        <v>11448</v>
      </c>
      <c r="I167" s="20" t="s">
        <v>10279</v>
      </c>
      <c r="J167" s="21" t="s">
        <v>10314</v>
      </c>
      <c r="K167" s="21"/>
      <c r="L167" s="21"/>
      <c r="M167" s="21"/>
      <c r="N167" s="21"/>
      <c r="O167" s="21"/>
    </row>
    <row r="168" ht="15.75" customHeight="1">
      <c r="A168" s="22" t="s">
        <v>11449</v>
      </c>
      <c r="B168" s="22" t="s">
        <v>11450</v>
      </c>
      <c r="C168" s="22" t="s">
        <v>11451</v>
      </c>
      <c r="D168" s="22" t="s">
        <v>11452</v>
      </c>
      <c r="E168" s="22" t="s">
        <v>11453</v>
      </c>
      <c r="F168" s="22" t="s">
        <v>3736</v>
      </c>
      <c r="G168" s="22" t="s">
        <v>11454</v>
      </c>
      <c r="H168" s="22" t="s">
        <v>11455</v>
      </c>
      <c r="I168" s="22" t="s">
        <v>10279</v>
      </c>
      <c r="J168" s="22" t="s">
        <v>10321</v>
      </c>
      <c r="K168" s="22"/>
      <c r="L168" s="22"/>
      <c r="M168" s="22"/>
      <c r="N168" s="22"/>
      <c r="O168" s="22"/>
    </row>
    <row r="169" ht="15.75" customHeight="1">
      <c r="A169" s="20" t="s">
        <v>11456</v>
      </c>
      <c r="B169" s="20" t="s">
        <v>11457</v>
      </c>
      <c r="C169" s="20" t="s">
        <v>11458</v>
      </c>
      <c r="D169" s="20" t="s">
        <v>11459</v>
      </c>
      <c r="E169" s="20" t="s">
        <v>2162</v>
      </c>
      <c r="F169" s="20" t="s">
        <v>2162</v>
      </c>
      <c r="G169" s="20" t="s">
        <v>11460</v>
      </c>
      <c r="H169" s="20" t="s">
        <v>11461</v>
      </c>
      <c r="I169" s="20" t="s">
        <v>10279</v>
      </c>
      <c r="J169" s="21" t="s">
        <v>11462</v>
      </c>
      <c r="K169" s="21"/>
      <c r="L169" s="21"/>
      <c r="M169" s="21"/>
      <c r="N169" s="21"/>
      <c r="O169" s="21"/>
    </row>
    <row r="170" ht="15.75" customHeight="1">
      <c r="A170" s="22" t="s">
        <v>11463</v>
      </c>
      <c r="B170" s="22" t="s">
        <v>11464</v>
      </c>
      <c r="C170" s="22" t="s">
        <v>11465</v>
      </c>
      <c r="D170" s="22" t="s">
        <v>11466</v>
      </c>
      <c r="E170" s="22" t="s">
        <v>11467</v>
      </c>
      <c r="F170" s="22" t="s">
        <v>1014</v>
      </c>
      <c r="G170" s="22" t="s">
        <v>11468</v>
      </c>
      <c r="H170" s="22" t="s">
        <v>11469</v>
      </c>
      <c r="I170" s="22" t="s">
        <v>10279</v>
      </c>
      <c r="J170" s="22" t="s">
        <v>10280</v>
      </c>
      <c r="K170" s="22"/>
      <c r="L170" s="22"/>
      <c r="M170" s="22"/>
      <c r="N170" s="22"/>
      <c r="O170" s="22"/>
    </row>
    <row r="171" ht="15.75" customHeight="1">
      <c r="A171" s="20" t="s">
        <v>11470</v>
      </c>
      <c r="B171" s="20" t="s">
        <v>11471</v>
      </c>
      <c r="C171" s="20" t="s">
        <v>11472</v>
      </c>
      <c r="D171" s="20" t="s">
        <v>11473</v>
      </c>
      <c r="E171" s="20" t="s">
        <v>129</v>
      </c>
      <c r="F171" s="20" t="s">
        <v>129</v>
      </c>
      <c r="G171" s="20" t="s">
        <v>11474</v>
      </c>
      <c r="H171" s="20" t="s">
        <v>11475</v>
      </c>
      <c r="I171" s="20" t="s">
        <v>10279</v>
      </c>
      <c r="J171" s="21" t="s">
        <v>10321</v>
      </c>
      <c r="K171" s="21" t="s">
        <v>11476</v>
      </c>
      <c r="L171" s="21" t="s">
        <v>11477</v>
      </c>
      <c r="M171" s="21" t="s">
        <v>11478</v>
      </c>
      <c r="N171" s="21" t="s">
        <v>11479</v>
      </c>
      <c r="O171" s="21" t="s">
        <v>11480</v>
      </c>
    </row>
    <row r="172" ht="15.75" customHeight="1">
      <c r="A172" s="22" t="s">
        <v>11481</v>
      </c>
      <c r="B172" s="22" t="s">
        <v>11482</v>
      </c>
      <c r="C172" s="22" t="s">
        <v>11483</v>
      </c>
      <c r="D172" s="22" t="s">
        <v>11484</v>
      </c>
      <c r="E172" s="22" t="s">
        <v>11485</v>
      </c>
      <c r="F172" s="22" t="s">
        <v>10698</v>
      </c>
      <c r="G172" s="22" t="s">
        <v>11486</v>
      </c>
      <c r="H172" s="22" t="s">
        <v>11487</v>
      </c>
      <c r="I172" s="22" t="s">
        <v>10279</v>
      </c>
      <c r="J172" s="22" t="s">
        <v>10314</v>
      </c>
      <c r="K172" s="22" t="s">
        <v>11488</v>
      </c>
      <c r="L172" s="22" t="s">
        <v>11489</v>
      </c>
      <c r="M172" s="22"/>
      <c r="N172" s="22"/>
      <c r="O172" s="22"/>
    </row>
    <row r="173" ht="15.75" customHeight="1">
      <c r="A173" s="20" t="s">
        <v>11490</v>
      </c>
      <c r="B173" s="20" t="s">
        <v>11491</v>
      </c>
      <c r="C173" s="20" t="s">
        <v>11492</v>
      </c>
      <c r="D173" s="20" t="s">
        <v>11493</v>
      </c>
      <c r="E173" s="20" t="s">
        <v>55</v>
      </c>
      <c r="F173" s="20" t="s">
        <v>55</v>
      </c>
      <c r="G173" s="20" t="s">
        <v>11494</v>
      </c>
      <c r="H173" s="20" t="s">
        <v>11490</v>
      </c>
      <c r="I173" s="20" t="s">
        <v>10279</v>
      </c>
      <c r="J173" s="21" t="s">
        <v>10280</v>
      </c>
      <c r="K173" s="21" t="s">
        <v>11495</v>
      </c>
      <c r="L173" s="21"/>
      <c r="M173" s="21" t="s">
        <v>11496</v>
      </c>
      <c r="N173" s="21" t="s">
        <v>11497</v>
      </c>
      <c r="O173" s="21" t="s">
        <v>11498</v>
      </c>
    </row>
    <row r="174" ht="15.75" customHeight="1">
      <c r="A174" s="22" t="s">
        <v>11499</v>
      </c>
      <c r="B174" s="22" t="s">
        <v>11500</v>
      </c>
      <c r="C174" s="22" t="s">
        <v>11501</v>
      </c>
      <c r="D174" s="22" t="s">
        <v>11502</v>
      </c>
      <c r="E174" s="22" t="s">
        <v>55</v>
      </c>
      <c r="F174" s="22" t="s">
        <v>55</v>
      </c>
      <c r="G174" s="22" t="s">
        <v>11503</v>
      </c>
      <c r="H174" s="22" t="s">
        <v>11504</v>
      </c>
      <c r="I174" s="22" t="s">
        <v>10279</v>
      </c>
      <c r="J174" s="22" t="s">
        <v>11505</v>
      </c>
      <c r="K174" s="22"/>
      <c r="L174" s="22"/>
      <c r="M174" s="22"/>
      <c r="N174" s="22"/>
      <c r="O174" s="22"/>
    </row>
    <row r="175" ht="15.75" customHeight="1">
      <c r="A175" s="20" t="s">
        <v>11506</v>
      </c>
      <c r="B175" s="20" t="s">
        <v>11507</v>
      </c>
      <c r="C175" s="20"/>
      <c r="D175" s="20" t="s">
        <v>11508</v>
      </c>
      <c r="E175" s="20" t="s">
        <v>100</v>
      </c>
      <c r="F175" s="20" t="s">
        <v>100</v>
      </c>
      <c r="G175" s="20" t="s">
        <v>11509</v>
      </c>
      <c r="H175" s="20" t="s">
        <v>11510</v>
      </c>
      <c r="I175" s="20" t="s">
        <v>10279</v>
      </c>
      <c r="J175" s="21" t="s">
        <v>10280</v>
      </c>
      <c r="K175" s="21"/>
      <c r="L175" s="21"/>
      <c r="M175" s="21"/>
      <c r="N175" s="21"/>
      <c r="O175" s="21"/>
    </row>
    <row r="176" ht="15.75" customHeight="1">
      <c r="A176" s="22" t="s">
        <v>11511</v>
      </c>
      <c r="B176" s="22" t="s">
        <v>11512</v>
      </c>
      <c r="C176" s="22" t="s">
        <v>11513</v>
      </c>
      <c r="D176" s="22" t="s">
        <v>11514</v>
      </c>
      <c r="E176" s="22" t="s">
        <v>813</v>
      </c>
      <c r="F176" s="22" t="s">
        <v>813</v>
      </c>
      <c r="G176" s="22" t="s">
        <v>11515</v>
      </c>
      <c r="H176" s="22" t="s">
        <v>11516</v>
      </c>
      <c r="I176" s="22" t="s">
        <v>10279</v>
      </c>
      <c r="J176" s="22" t="s">
        <v>10411</v>
      </c>
      <c r="K176" s="22"/>
      <c r="L176" s="22"/>
      <c r="M176" s="22"/>
      <c r="N176" s="22"/>
      <c r="O176" s="22"/>
    </row>
    <row r="177" ht="15.75" customHeight="1">
      <c r="A177" s="20" t="s">
        <v>11517</v>
      </c>
      <c r="B177" s="20" t="s">
        <v>11518</v>
      </c>
      <c r="C177" s="20" t="s">
        <v>11519</v>
      </c>
      <c r="D177" s="20" t="s">
        <v>11520</v>
      </c>
      <c r="E177" s="20" t="s">
        <v>11006</v>
      </c>
      <c r="F177" s="20"/>
      <c r="G177" s="20" t="s">
        <v>11007</v>
      </c>
      <c r="H177" s="20"/>
      <c r="I177" s="20" t="s">
        <v>10279</v>
      </c>
      <c r="J177" s="21" t="s">
        <v>10280</v>
      </c>
      <c r="K177" s="21"/>
      <c r="L177" s="21"/>
      <c r="M177" s="21"/>
      <c r="N177" s="21"/>
      <c r="O177" s="21"/>
    </row>
    <row r="178" ht="15.75" customHeight="1">
      <c r="A178" s="22" t="s">
        <v>11521</v>
      </c>
      <c r="B178" s="22" t="s">
        <v>11522</v>
      </c>
      <c r="C178" s="22" t="s">
        <v>11523</v>
      </c>
      <c r="D178" s="22" t="s">
        <v>11524</v>
      </c>
      <c r="E178" s="22" t="s">
        <v>698</v>
      </c>
      <c r="F178" s="22" t="s">
        <v>731</v>
      </c>
      <c r="G178" s="22" t="s">
        <v>11525</v>
      </c>
      <c r="H178" s="22" t="s">
        <v>11526</v>
      </c>
      <c r="I178" s="22" t="s">
        <v>10279</v>
      </c>
      <c r="J178" s="22" t="s">
        <v>11527</v>
      </c>
      <c r="K178" s="22" t="s">
        <v>11528</v>
      </c>
      <c r="L178" s="22" t="s">
        <v>11529</v>
      </c>
      <c r="M178" s="22"/>
      <c r="N178" s="22"/>
      <c r="O178" s="22"/>
    </row>
    <row r="179" ht="15.75" customHeight="1">
      <c r="A179" s="20" t="s">
        <v>11530</v>
      </c>
      <c r="B179" s="20" t="s">
        <v>11531</v>
      </c>
      <c r="C179" s="20" t="s">
        <v>11532</v>
      </c>
      <c r="D179" s="20" t="s">
        <v>11533</v>
      </c>
      <c r="E179" s="20" t="s">
        <v>7410</v>
      </c>
      <c r="F179" s="20" t="s">
        <v>4846</v>
      </c>
      <c r="G179" s="20" t="s">
        <v>11534</v>
      </c>
      <c r="H179" s="20" t="s">
        <v>11535</v>
      </c>
      <c r="I179" s="20" t="s">
        <v>10279</v>
      </c>
      <c r="J179" s="21" t="s">
        <v>10280</v>
      </c>
      <c r="K179" s="21"/>
      <c r="L179" s="21"/>
      <c r="M179" s="21"/>
      <c r="N179" s="21"/>
      <c r="O179" s="21"/>
    </row>
    <row r="180" ht="15.75" customHeight="1">
      <c r="A180" s="22" t="s">
        <v>11536</v>
      </c>
      <c r="B180" s="22" t="s">
        <v>11537</v>
      </c>
      <c r="C180" s="22" t="s">
        <v>11538</v>
      </c>
      <c r="D180" s="22" t="s">
        <v>11539</v>
      </c>
      <c r="E180" s="22" t="s">
        <v>231</v>
      </c>
      <c r="F180" s="22" t="s">
        <v>231</v>
      </c>
      <c r="G180" s="22" t="s">
        <v>11540</v>
      </c>
      <c r="H180" s="22" t="s">
        <v>11541</v>
      </c>
      <c r="I180" s="22" t="s">
        <v>10279</v>
      </c>
      <c r="J180" s="22" t="s">
        <v>10996</v>
      </c>
      <c r="K180" s="22"/>
      <c r="L180" s="22"/>
      <c r="M180" s="22"/>
      <c r="N180" s="22"/>
      <c r="O180" s="22"/>
    </row>
    <row r="181" ht="15.75" customHeight="1">
      <c r="A181" s="20" t="s">
        <v>11542</v>
      </c>
      <c r="B181" s="20" t="s">
        <v>11543</v>
      </c>
      <c r="C181" s="20" t="s">
        <v>11544</v>
      </c>
      <c r="D181" s="20" t="s">
        <v>11545</v>
      </c>
      <c r="E181" s="20" t="s">
        <v>7324</v>
      </c>
      <c r="F181" s="20" t="s">
        <v>4123</v>
      </c>
      <c r="G181" s="20" t="s">
        <v>11546</v>
      </c>
      <c r="H181" s="20" t="s">
        <v>11547</v>
      </c>
      <c r="I181" s="20" t="s">
        <v>10279</v>
      </c>
      <c r="J181" s="21" t="s">
        <v>11548</v>
      </c>
      <c r="K181" s="21"/>
      <c r="L181" s="21"/>
      <c r="M181" s="21"/>
      <c r="N181" s="21"/>
      <c r="O181" s="21"/>
    </row>
    <row r="182" ht="15.75" customHeight="1">
      <c r="A182" s="22" t="s">
        <v>11549</v>
      </c>
      <c r="B182" s="22" t="s">
        <v>11550</v>
      </c>
      <c r="C182" s="22" t="s">
        <v>11551</v>
      </c>
      <c r="D182" s="22" t="s">
        <v>11552</v>
      </c>
      <c r="E182" s="22" t="s">
        <v>55</v>
      </c>
      <c r="F182" s="22" t="s">
        <v>55</v>
      </c>
      <c r="G182" s="22" t="s">
        <v>11553</v>
      </c>
      <c r="H182" s="22" t="s">
        <v>11554</v>
      </c>
      <c r="I182" s="22" t="s">
        <v>10279</v>
      </c>
      <c r="J182" s="22" t="s">
        <v>11555</v>
      </c>
      <c r="K182" s="22"/>
      <c r="L182" s="22"/>
      <c r="M182" s="22"/>
      <c r="N182" s="22"/>
      <c r="O182" s="22"/>
    </row>
    <row r="183" ht="15.75" customHeight="1">
      <c r="A183" s="20" t="s">
        <v>11556</v>
      </c>
      <c r="B183" s="20" t="s">
        <v>11557</v>
      </c>
      <c r="C183" s="20" t="s">
        <v>11558</v>
      </c>
      <c r="D183" s="20" t="s">
        <v>11559</v>
      </c>
      <c r="E183" s="20" t="s">
        <v>231</v>
      </c>
      <c r="F183" s="20" t="s">
        <v>231</v>
      </c>
      <c r="G183" s="20" t="s">
        <v>11560</v>
      </c>
      <c r="H183" s="20" t="s">
        <v>11561</v>
      </c>
      <c r="I183" s="20" t="s">
        <v>10279</v>
      </c>
      <c r="J183" s="21" t="s">
        <v>10280</v>
      </c>
      <c r="K183" s="21"/>
      <c r="L183" s="21"/>
      <c r="M183" s="21"/>
      <c r="N183" s="21"/>
      <c r="O183" s="21"/>
    </row>
    <row r="184" ht="15.75" customHeight="1">
      <c r="A184" s="22" t="s">
        <v>11562</v>
      </c>
      <c r="B184" s="22" t="s">
        <v>11563</v>
      </c>
      <c r="C184" s="22" t="s">
        <v>11564</v>
      </c>
      <c r="D184" s="22" t="s">
        <v>11565</v>
      </c>
      <c r="E184" s="22" t="s">
        <v>231</v>
      </c>
      <c r="F184" s="22" t="s">
        <v>231</v>
      </c>
      <c r="G184" s="22" t="s">
        <v>11566</v>
      </c>
      <c r="H184" s="22"/>
      <c r="I184" s="22" t="s">
        <v>10279</v>
      </c>
      <c r="J184" s="22" t="s">
        <v>10328</v>
      </c>
      <c r="K184" s="22"/>
      <c r="L184" s="22"/>
      <c r="M184" s="22"/>
      <c r="N184" s="22"/>
      <c r="O184" s="22"/>
    </row>
    <row r="185" ht="15.75" customHeight="1">
      <c r="A185" s="20" t="s">
        <v>11567</v>
      </c>
      <c r="B185" s="20" t="s">
        <v>11568</v>
      </c>
      <c r="C185" s="20"/>
      <c r="D185" s="20" t="s">
        <v>11569</v>
      </c>
      <c r="E185" s="20" t="s">
        <v>11570</v>
      </c>
      <c r="F185" s="20" t="s">
        <v>731</v>
      </c>
      <c r="G185" s="20" t="s">
        <v>11571</v>
      </c>
      <c r="H185" s="20" t="s">
        <v>11572</v>
      </c>
      <c r="I185" s="20" t="s">
        <v>10279</v>
      </c>
      <c r="J185" s="21" t="s">
        <v>10459</v>
      </c>
      <c r="K185" s="21"/>
      <c r="L185" s="21"/>
      <c r="M185" s="21"/>
      <c r="N185" s="21"/>
      <c r="O185" s="21"/>
    </row>
    <row r="186" ht="15.75" customHeight="1">
      <c r="A186" s="22" t="s">
        <v>11573</v>
      </c>
      <c r="B186" s="22" t="s">
        <v>11574</v>
      </c>
      <c r="C186" s="22" t="s">
        <v>11575</v>
      </c>
      <c r="D186" s="22" t="s">
        <v>11576</v>
      </c>
      <c r="E186" s="22" t="s">
        <v>55</v>
      </c>
      <c r="F186" s="22" t="s">
        <v>55</v>
      </c>
      <c r="G186" s="22" t="s">
        <v>11577</v>
      </c>
      <c r="H186" s="22" t="s">
        <v>11578</v>
      </c>
      <c r="I186" s="22" t="s">
        <v>10279</v>
      </c>
      <c r="J186" s="22" t="s">
        <v>10321</v>
      </c>
      <c r="K186" s="22"/>
      <c r="L186" s="22"/>
      <c r="M186" s="22"/>
      <c r="N186" s="22"/>
      <c r="O186" s="22"/>
    </row>
    <row r="187" ht="15.75" customHeight="1">
      <c r="A187" s="20" t="s">
        <v>11579</v>
      </c>
      <c r="B187" s="20" t="s">
        <v>11580</v>
      </c>
      <c r="C187" s="20" t="s">
        <v>11581</v>
      </c>
      <c r="D187" s="20" t="s">
        <v>11582</v>
      </c>
      <c r="E187" s="20" t="s">
        <v>55</v>
      </c>
      <c r="F187" s="20" t="s">
        <v>55</v>
      </c>
      <c r="G187" s="20" t="s">
        <v>11583</v>
      </c>
      <c r="H187" s="20" t="s">
        <v>11584</v>
      </c>
      <c r="I187" s="20" t="s">
        <v>10279</v>
      </c>
      <c r="J187" s="21" t="s">
        <v>11585</v>
      </c>
      <c r="K187" s="21"/>
      <c r="L187" s="21"/>
      <c r="M187" s="21"/>
      <c r="N187" s="21"/>
      <c r="O187" s="21"/>
    </row>
    <row r="188" ht="15.75" customHeight="1">
      <c r="A188" s="22" t="s">
        <v>11586</v>
      </c>
      <c r="B188" s="22" t="s">
        <v>11587</v>
      </c>
      <c r="C188" s="22" t="s">
        <v>11588</v>
      </c>
      <c r="D188" s="22" t="s">
        <v>11589</v>
      </c>
      <c r="E188" s="22" t="s">
        <v>7295</v>
      </c>
      <c r="F188" s="22" t="s">
        <v>10698</v>
      </c>
      <c r="G188" s="22" t="s">
        <v>11590</v>
      </c>
      <c r="H188" s="22" t="s">
        <v>11591</v>
      </c>
      <c r="I188" s="22" t="s">
        <v>10279</v>
      </c>
      <c r="J188" s="22" t="s">
        <v>10521</v>
      </c>
      <c r="K188" s="22" t="s">
        <v>11592</v>
      </c>
      <c r="L188" s="22" t="s">
        <v>11593</v>
      </c>
      <c r="M188" s="22"/>
      <c r="N188" s="22"/>
      <c r="O188" s="22"/>
    </row>
    <row r="189" ht="15.75" customHeight="1">
      <c r="A189" s="20" t="s">
        <v>11594</v>
      </c>
      <c r="B189" s="20" t="s">
        <v>11595</v>
      </c>
      <c r="C189" s="20" t="s">
        <v>11596</v>
      </c>
      <c r="D189" s="20" t="s">
        <v>11597</v>
      </c>
      <c r="E189" s="20" t="s">
        <v>55</v>
      </c>
      <c r="F189" s="20" t="s">
        <v>55</v>
      </c>
      <c r="G189" s="20" t="s">
        <v>11598</v>
      </c>
      <c r="H189" s="20" t="s">
        <v>11599</v>
      </c>
      <c r="I189" s="20" t="s">
        <v>10279</v>
      </c>
      <c r="J189" s="21" t="s">
        <v>10623</v>
      </c>
      <c r="K189" s="21"/>
      <c r="L189" s="21"/>
      <c r="M189" s="21"/>
      <c r="N189" s="21"/>
      <c r="O189" s="21"/>
    </row>
    <row r="190" ht="15.75" customHeight="1">
      <c r="A190" s="22" t="s">
        <v>11600</v>
      </c>
      <c r="B190" s="22" t="s">
        <v>11601</v>
      </c>
      <c r="C190" s="22" t="s">
        <v>11602</v>
      </c>
      <c r="D190" s="22" t="s">
        <v>11603</v>
      </c>
      <c r="E190" s="22" t="s">
        <v>7469</v>
      </c>
      <c r="F190" s="22" t="s">
        <v>1612</v>
      </c>
      <c r="G190" s="22" t="s">
        <v>11604</v>
      </c>
      <c r="H190" s="22" t="s">
        <v>11605</v>
      </c>
      <c r="I190" s="22" t="s">
        <v>10279</v>
      </c>
      <c r="J190" s="22" t="s">
        <v>10590</v>
      </c>
      <c r="K190" s="22"/>
      <c r="L190" s="22"/>
      <c r="M190" s="22"/>
      <c r="N190" s="22"/>
      <c r="O190" s="22"/>
    </row>
    <row r="191" ht="15.75" customHeight="1">
      <c r="A191" s="20" t="s">
        <v>11606</v>
      </c>
      <c r="B191" s="20"/>
      <c r="C191" s="20"/>
      <c r="D191" s="20" t="s">
        <v>11607</v>
      </c>
      <c r="E191" s="20" t="s">
        <v>698</v>
      </c>
      <c r="F191" s="20" t="s">
        <v>731</v>
      </c>
      <c r="G191" s="20" t="s">
        <v>11608</v>
      </c>
      <c r="H191" s="20" t="s">
        <v>11609</v>
      </c>
      <c r="I191" s="20" t="s">
        <v>10279</v>
      </c>
      <c r="J191" s="21" t="s">
        <v>10280</v>
      </c>
      <c r="K191" s="21" t="s">
        <v>11610</v>
      </c>
      <c r="L191" s="21" t="s">
        <v>11611</v>
      </c>
      <c r="M191" s="21"/>
      <c r="N191" s="21"/>
      <c r="O191" s="21"/>
    </row>
    <row r="192" ht="15.75" customHeight="1">
      <c r="A192" s="22" t="s">
        <v>11612</v>
      </c>
      <c r="B192" s="22" t="s">
        <v>11613</v>
      </c>
      <c r="C192" s="22" t="s">
        <v>11614</v>
      </c>
      <c r="D192" s="22" t="s">
        <v>11615</v>
      </c>
      <c r="E192" s="22" t="s">
        <v>55</v>
      </c>
      <c r="F192" s="22" t="s">
        <v>55</v>
      </c>
      <c r="G192" s="22" t="s">
        <v>11616</v>
      </c>
      <c r="H192" s="22" t="s">
        <v>11617</v>
      </c>
      <c r="I192" s="22" t="s">
        <v>10279</v>
      </c>
      <c r="J192" s="22" t="s">
        <v>10328</v>
      </c>
      <c r="K192" s="22"/>
      <c r="L192" s="22"/>
      <c r="M192" s="22"/>
      <c r="N192" s="22"/>
      <c r="O192" s="22"/>
    </row>
    <row r="193" ht="15.75" customHeight="1">
      <c r="A193" s="20" t="s">
        <v>11618</v>
      </c>
      <c r="B193" s="20" t="s">
        <v>11619</v>
      </c>
      <c r="C193" s="20" t="s">
        <v>11620</v>
      </c>
      <c r="D193" s="20" t="s">
        <v>11621</v>
      </c>
      <c r="E193" s="20" t="s">
        <v>55</v>
      </c>
      <c r="F193" s="20" t="s">
        <v>55</v>
      </c>
      <c r="G193" s="20" t="s">
        <v>11622</v>
      </c>
      <c r="H193" s="20" t="s">
        <v>11623</v>
      </c>
      <c r="I193" s="20" t="s">
        <v>10279</v>
      </c>
      <c r="J193" s="21" t="s">
        <v>10321</v>
      </c>
      <c r="K193" s="21"/>
      <c r="L193" s="21"/>
      <c r="M193" s="21"/>
      <c r="N193" s="21"/>
      <c r="O193" s="21"/>
    </row>
    <row r="194" ht="15.75" customHeight="1">
      <c r="A194" s="22" t="s">
        <v>11624</v>
      </c>
      <c r="B194" s="22" t="s">
        <v>11625</v>
      </c>
      <c r="C194" s="22"/>
      <c r="D194" s="22" t="s">
        <v>11626</v>
      </c>
      <c r="E194" s="22" t="s">
        <v>2162</v>
      </c>
      <c r="F194" s="22" t="s">
        <v>2162</v>
      </c>
      <c r="G194" s="22" t="s">
        <v>11627</v>
      </c>
      <c r="H194" s="22" t="s">
        <v>11628</v>
      </c>
      <c r="I194" s="22" t="s">
        <v>10279</v>
      </c>
      <c r="J194" s="22" t="s">
        <v>10459</v>
      </c>
      <c r="K194" s="22"/>
      <c r="L194" s="22"/>
      <c r="M194" s="22"/>
      <c r="N194" s="22"/>
      <c r="O194" s="22"/>
    </row>
    <row r="195" ht="15.75" customHeight="1">
      <c r="A195" s="20" t="s">
        <v>11629</v>
      </c>
      <c r="B195" s="20" t="s">
        <v>11630</v>
      </c>
      <c r="C195" s="20"/>
      <c r="D195" s="20" t="s">
        <v>11631</v>
      </c>
      <c r="E195" s="20" t="s">
        <v>163</v>
      </c>
      <c r="F195" s="20" t="s">
        <v>163</v>
      </c>
      <c r="G195" s="20" t="s">
        <v>11632</v>
      </c>
      <c r="H195" s="20" t="s">
        <v>11633</v>
      </c>
      <c r="I195" s="20" t="s">
        <v>10279</v>
      </c>
      <c r="J195" s="21" t="s">
        <v>11060</v>
      </c>
      <c r="K195" s="21"/>
      <c r="L195" s="21"/>
      <c r="M195" s="21"/>
      <c r="N195" s="21"/>
      <c r="O195" s="21"/>
    </row>
    <row r="196" ht="15.75" customHeight="1">
      <c r="A196" s="22" t="s">
        <v>11634</v>
      </c>
      <c r="B196" s="22" t="s">
        <v>11635</v>
      </c>
      <c r="C196" s="22" t="s">
        <v>11636</v>
      </c>
      <c r="D196" s="22" t="s">
        <v>11637</v>
      </c>
      <c r="E196" s="22" t="s">
        <v>55</v>
      </c>
      <c r="F196" s="22" t="s">
        <v>55</v>
      </c>
      <c r="G196" s="22" t="s">
        <v>11638</v>
      </c>
      <c r="H196" s="22" t="s">
        <v>11639</v>
      </c>
      <c r="I196" s="22" t="s">
        <v>10279</v>
      </c>
      <c r="J196" s="22" t="s">
        <v>11640</v>
      </c>
      <c r="K196" s="22"/>
      <c r="L196" s="22"/>
      <c r="M196" s="22"/>
      <c r="N196" s="22"/>
      <c r="O196" s="22"/>
    </row>
    <row r="197" ht="15.75" customHeight="1">
      <c r="A197" s="20" t="s">
        <v>11641</v>
      </c>
      <c r="B197" s="20" t="s">
        <v>11642</v>
      </c>
      <c r="C197" s="20" t="s">
        <v>11643</v>
      </c>
      <c r="D197" s="20" t="s">
        <v>11644</v>
      </c>
      <c r="E197" s="20" t="s">
        <v>55</v>
      </c>
      <c r="F197" s="20" t="s">
        <v>55</v>
      </c>
      <c r="G197" s="20" t="s">
        <v>11645</v>
      </c>
      <c r="H197" s="20" t="s">
        <v>11646</v>
      </c>
      <c r="I197" s="20" t="s">
        <v>10279</v>
      </c>
      <c r="J197" s="21" t="s">
        <v>11555</v>
      </c>
      <c r="K197" s="21"/>
      <c r="L197" s="21"/>
      <c r="M197" s="21"/>
      <c r="N197" s="21"/>
      <c r="O197" s="21"/>
    </row>
    <row r="198" ht="15.75" customHeight="1">
      <c r="A198" s="22" t="s">
        <v>11647</v>
      </c>
      <c r="B198" s="22" t="s">
        <v>11648</v>
      </c>
      <c r="C198" s="22" t="s">
        <v>11649</v>
      </c>
      <c r="D198" s="22" t="s">
        <v>11650</v>
      </c>
      <c r="E198" s="22" t="s">
        <v>723</v>
      </c>
      <c r="F198" s="22" t="s">
        <v>406</v>
      </c>
      <c r="G198" s="22" t="s">
        <v>11651</v>
      </c>
      <c r="H198" s="22" t="s">
        <v>11652</v>
      </c>
      <c r="I198" s="22" t="s">
        <v>10279</v>
      </c>
      <c r="J198" s="22" t="s">
        <v>11653</v>
      </c>
      <c r="K198" s="22"/>
      <c r="L198" s="22"/>
      <c r="M198" s="22"/>
      <c r="N198" s="22"/>
      <c r="O198" s="22"/>
    </row>
    <row r="199" ht="15.75" customHeight="1">
      <c r="A199" s="20" t="s">
        <v>11654</v>
      </c>
      <c r="B199" s="20" t="s">
        <v>11655</v>
      </c>
      <c r="C199" s="20" t="s">
        <v>11656</v>
      </c>
      <c r="D199" s="20" t="s">
        <v>11657</v>
      </c>
      <c r="E199" s="20" t="s">
        <v>231</v>
      </c>
      <c r="F199" s="20" t="s">
        <v>231</v>
      </c>
      <c r="G199" s="20" t="s">
        <v>11658</v>
      </c>
      <c r="H199" s="20" t="s">
        <v>11659</v>
      </c>
      <c r="I199" s="20" t="s">
        <v>10279</v>
      </c>
      <c r="J199" s="21" t="s">
        <v>10321</v>
      </c>
      <c r="K199" s="21"/>
      <c r="L199" s="21"/>
      <c r="M199" s="21"/>
      <c r="N199" s="21"/>
      <c r="O199" s="21"/>
    </row>
    <row r="200" ht="15.75" customHeight="1">
      <c r="A200" s="22" t="s">
        <v>11660</v>
      </c>
      <c r="B200" s="22" t="s">
        <v>11661</v>
      </c>
      <c r="C200" s="22" t="s">
        <v>11662</v>
      </c>
      <c r="D200" s="22" t="s">
        <v>11663</v>
      </c>
      <c r="E200" s="22" t="s">
        <v>55</v>
      </c>
      <c r="F200" s="22" t="s">
        <v>55</v>
      </c>
      <c r="G200" s="22" t="s">
        <v>11664</v>
      </c>
      <c r="H200" s="22" t="s">
        <v>11665</v>
      </c>
      <c r="I200" s="22" t="s">
        <v>10279</v>
      </c>
      <c r="J200" s="22" t="s">
        <v>11666</v>
      </c>
      <c r="K200" s="22"/>
      <c r="L200" s="22"/>
      <c r="M200" s="22"/>
      <c r="N200" s="22"/>
      <c r="O200" s="22"/>
    </row>
    <row r="201" ht="15.75" customHeight="1">
      <c r="A201" s="20" t="s">
        <v>11667</v>
      </c>
      <c r="B201" s="20" t="s">
        <v>11668</v>
      </c>
      <c r="C201" s="20"/>
      <c r="D201" s="20" t="s">
        <v>11669</v>
      </c>
      <c r="E201" s="20" t="s">
        <v>55</v>
      </c>
      <c r="F201" s="20" t="s">
        <v>55</v>
      </c>
      <c r="G201" s="20" t="s">
        <v>11670</v>
      </c>
      <c r="H201" s="20" t="s">
        <v>11671</v>
      </c>
      <c r="I201" s="20" t="s">
        <v>10279</v>
      </c>
      <c r="J201" s="21" t="s">
        <v>10928</v>
      </c>
      <c r="K201" s="21"/>
      <c r="L201" s="21"/>
      <c r="M201" s="21"/>
      <c r="N201" s="21"/>
      <c r="O201" s="21"/>
    </row>
    <row r="202" ht="15.75" customHeight="1">
      <c r="A202" s="22" t="s">
        <v>11672</v>
      </c>
      <c r="B202" s="22" t="s">
        <v>11673</v>
      </c>
      <c r="C202" s="22" t="s">
        <v>11674</v>
      </c>
      <c r="D202" s="22" t="s">
        <v>11675</v>
      </c>
      <c r="E202" s="22" t="s">
        <v>55</v>
      </c>
      <c r="F202" s="22" t="s">
        <v>55</v>
      </c>
      <c r="G202" s="22" t="s">
        <v>11676</v>
      </c>
      <c r="H202" s="22" t="s">
        <v>11677</v>
      </c>
      <c r="I202" s="22" t="s">
        <v>10279</v>
      </c>
      <c r="J202" s="22" t="s">
        <v>11678</v>
      </c>
      <c r="K202" s="22"/>
      <c r="L202" s="22"/>
      <c r="M202" s="22"/>
      <c r="N202" s="22"/>
      <c r="O202" s="22"/>
    </row>
    <row r="203" ht="15.75" customHeight="1">
      <c r="A203" s="20" t="s">
        <v>11679</v>
      </c>
      <c r="B203" s="20" t="s">
        <v>11680</v>
      </c>
      <c r="C203" s="20" t="s">
        <v>11681</v>
      </c>
      <c r="D203" s="20" t="s">
        <v>11682</v>
      </c>
      <c r="E203" s="20" t="s">
        <v>2114</v>
      </c>
      <c r="F203" s="20" t="s">
        <v>2391</v>
      </c>
      <c r="G203" s="20" t="s">
        <v>11683</v>
      </c>
      <c r="H203" s="20" t="s">
        <v>11684</v>
      </c>
      <c r="I203" s="20" t="s">
        <v>10279</v>
      </c>
      <c r="J203" s="21" t="s">
        <v>11685</v>
      </c>
      <c r="K203" s="21" t="s">
        <v>11686</v>
      </c>
      <c r="L203" s="21" t="s">
        <v>11687</v>
      </c>
      <c r="M203" s="21" t="s">
        <v>11688</v>
      </c>
      <c r="N203" s="21" t="s">
        <v>11689</v>
      </c>
      <c r="O203" s="21" t="s">
        <v>11690</v>
      </c>
    </row>
    <row r="204" ht="15.75" customHeight="1">
      <c r="A204" s="22" t="s">
        <v>11691</v>
      </c>
      <c r="B204" s="22" t="s">
        <v>11692</v>
      </c>
      <c r="C204" s="22" t="s">
        <v>11693</v>
      </c>
      <c r="D204" s="22" t="s">
        <v>11694</v>
      </c>
      <c r="E204" s="22" t="s">
        <v>11695</v>
      </c>
      <c r="F204" s="22" t="s">
        <v>10698</v>
      </c>
      <c r="G204" s="22" t="s">
        <v>11696</v>
      </c>
      <c r="H204" s="22" t="s">
        <v>11697</v>
      </c>
      <c r="I204" s="22" t="s">
        <v>10279</v>
      </c>
      <c r="J204" s="22" t="s">
        <v>11698</v>
      </c>
      <c r="K204" s="22"/>
      <c r="L204" s="22"/>
      <c r="M204" s="22"/>
      <c r="N204" s="22"/>
      <c r="O204" s="22"/>
    </row>
    <row r="205" ht="15.75" customHeight="1">
      <c r="A205" s="20" t="s">
        <v>11699</v>
      </c>
      <c r="B205" s="20" t="s">
        <v>11700</v>
      </c>
      <c r="C205" s="20" t="s">
        <v>11701</v>
      </c>
      <c r="D205" s="20" t="s">
        <v>11702</v>
      </c>
      <c r="E205" s="20" t="s">
        <v>231</v>
      </c>
      <c r="F205" s="20" t="s">
        <v>231</v>
      </c>
      <c r="G205" s="20" t="s">
        <v>11703</v>
      </c>
      <c r="H205" s="20"/>
      <c r="I205" s="20" t="s">
        <v>10279</v>
      </c>
      <c r="J205" s="21" t="s">
        <v>11704</v>
      </c>
      <c r="K205" s="21"/>
      <c r="L205" s="21"/>
      <c r="M205" s="21"/>
      <c r="N205" s="21"/>
      <c r="O205" s="21"/>
    </row>
    <row r="206" ht="15.75" customHeight="1">
      <c r="A206" s="22" t="s">
        <v>11705</v>
      </c>
      <c r="B206" s="22" t="s">
        <v>11706</v>
      </c>
      <c r="C206" s="22" t="s">
        <v>11707</v>
      </c>
      <c r="D206" s="22" t="s">
        <v>11708</v>
      </c>
      <c r="E206" s="22" t="s">
        <v>813</v>
      </c>
      <c r="F206" s="22" t="s">
        <v>813</v>
      </c>
      <c r="G206" s="22" t="s">
        <v>11709</v>
      </c>
      <c r="H206" s="22" t="s">
        <v>11710</v>
      </c>
      <c r="I206" s="22" t="s">
        <v>10279</v>
      </c>
      <c r="J206" s="22" t="s">
        <v>10831</v>
      </c>
      <c r="K206" s="22"/>
      <c r="L206" s="22"/>
      <c r="M206" s="22"/>
      <c r="N206" s="22"/>
      <c r="O206" s="22"/>
    </row>
    <row r="207" ht="15.75" customHeight="1">
      <c r="A207" s="20" t="s">
        <v>11711</v>
      </c>
      <c r="B207" s="20" t="s">
        <v>11712</v>
      </c>
      <c r="C207" s="20" t="s">
        <v>11713</v>
      </c>
      <c r="D207" s="20" t="s">
        <v>11714</v>
      </c>
      <c r="E207" s="20" t="s">
        <v>11715</v>
      </c>
      <c r="F207" s="20" t="s">
        <v>55</v>
      </c>
      <c r="G207" s="20" t="s">
        <v>11716</v>
      </c>
      <c r="H207" s="20" t="s">
        <v>11717</v>
      </c>
      <c r="I207" s="20" t="s">
        <v>10279</v>
      </c>
      <c r="J207" s="21" t="s">
        <v>10550</v>
      </c>
      <c r="K207" s="21"/>
      <c r="L207" s="21"/>
      <c r="M207" s="21"/>
      <c r="N207" s="21"/>
      <c r="O207" s="21"/>
    </row>
    <row r="208" ht="15.75" customHeight="1">
      <c r="A208" s="22" t="s">
        <v>11718</v>
      </c>
      <c r="B208" s="22" t="s">
        <v>11719</v>
      </c>
      <c r="C208" s="22" t="s">
        <v>11720</v>
      </c>
      <c r="D208" s="22" t="s">
        <v>11721</v>
      </c>
      <c r="E208" s="22" t="s">
        <v>11722</v>
      </c>
      <c r="F208" s="22" t="s">
        <v>55</v>
      </c>
      <c r="G208" s="22" t="s">
        <v>11723</v>
      </c>
      <c r="H208" s="22" t="s">
        <v>11724</v>
      </c>
      <c r="I208" s="22" t="s">
        <v>10279</v>
      </c>
      <c r="J208" s="22" t="s">
        <v>11725</v>
      </c>
      <c r="K208" s="22"/>
      <c r="L208" s="22"/>
      <c r="M208" s="22"/>
      <c r="N208" s="22"/>
      <c r="O208" s="22"/>
    </row>
    <row r="209" ht="15.75" customHeight="1">
      <c r="A209" s="20" t="s">
        <v>11726</v>
      </c>
      <c r="B209" s="20" t="s">
        <v>11727</v>
      </c>
      <c r="C209" s="20" t="s">
        <v>11728</v>
      </c>
      <c r="D209" s="20" t="s">
        <v>11729</v>
      </c>
      <c r="E209" s="20" t="s">
        <v>55</v>
      </c>
      <c r="F209" s="20" t="s">
        <v>55</v>
      </c>
      <c r="G209" s="20" t="s">
        <v>11730</v>
      </c>
      <c r="H209" s="20" t="s">
        <v>11731</v>
      </c>
      <c r="I209" s="20" t="s">
        <v>10279</v>
      </c>
      <c r="J209" s="21" t="s">
        <v>10583</v>
      </c>
      <c r="K209" s="21"/>
      <c r="L209" s="21"/>
      <c r="M209" s="21"/>
      <c r="N209" s="21"/>
      <c r="O209" s="21"/>
    </row>
    <row r="210" ht="15.75" customHeight="1">
      <c r="A210" s="22" t="s">
        <v>11732</v>
      </c>
      <c r="B210" s="22" t="s">
        <v>11733</v>
      </c>
      <c r="C210" s="22" t="s">
        <v>11734</v>
      </c>
      <c r="D210" s="22" t="s">
        <v>11735</v>
      </c>
      <c r="E210" s="22" t="s">
        <v>231</v>
      </c>
      <c r="F210" s="22" t="s">
        <v>231</v>
      </c>
      <c r="G210" s="22" t="s">
        <v>11736</v>
      </c>
      <c r="H210" s="22" t="s">
        <v>11737</v>
      </c>
      <c r="I210" s="22" t="s">
        <v>10279</v>
      </c>
      <c r="J210" s="22" t="s">
        <v>10314</v>
      </c>
      <c r="K210" s="22"/>
      <c r="L210" s="22"/>
      <c r="M210" s="22"/>
      <c r="N210" s="22"/>
      <c r="O210" s="22"/>
    </row>
    <row r="211" ht="15.75" customHeight="1">
      <c r="A211" s="20" t="s">
        <v>11738</v>
      </c>
      <c r="B211" s="20" t="s">
        <v>11739</v>
      </c>
      <c r="C211" s="20" t="s">
        <v>11740</v>
      </c>
      <c r="D211" s="20" t="s">
        <v>11741</v>
      </c>
      <c r="E211" s="20" t="s">
        <v>55</v>
      </c>
      <c r="F211" s="20" t="s">
        <v>55</v>
      </c>
      <c r="G211" s="20" t="s">
        <v>11742</v>
      </c>
      <c r="H211" s="20" t="s">
        <v>11743</v>
      </c>
      <c r="I211" s="20" t="s">
        <v>10279</v>
      </c>
      <c r="J211" s="21" t="s">
        <v>10328</v>
      </c>
      <c r="K211" s="21"/>
      <c r="L211" s="21"/>
      <c r="M211" s="21"/>
      <c r="N211" s="21"/>
      <c r="O211" s="21"/>
    </row>
    <row r="212" ht="15.75" customHeight="1">
      <c r="A212" s="22" t="s">
        <v>11744</v>
      </c>
      <c r="B212" s="22" t="s">
        <v>11739</v>
      </c>
      <c r="C212" s="22" t="s">
        <v>11745</v>
      </c>
      <c r="D212" s="22" t="s">
        <v>11746</v>
      </c>
      <c r="E212" s="22" t="s">
        <v>55</v>
      </c>
      <c r="F212" s="22" t="s">
        <v>55</v>
      </c>
      <c r="G212" s="22" t="s">
        <v>11747</v>
      </c>
      <c r="H212" s="22" t="s">
        <v>11748</v>
      </c>
      <c r="I212" s="22" t="s">
        <v>10279</v>
      </c>
      <c r="J212" s="22" t="s">
        <v>10321</v>
      </c>
      <c r="K212" s="22"/>
      <c r="L212" s="22"/>
      <c r="M212" s="22"/>
      <c r="N212" s="22"/>
      <c r="O212" s="22"/>
    </row>
    <row r="213" ht="15.75" customHeight="1">
      <c r="A213" s="20" t="s">
        <v>11749</v>
      </c>
      <c r="B213" s="20" t="s">
        <v>11750</v>
      </c>
      <c r="C213" s="20"/>
      <c r="D213" s="20" t="s">
        <v>11751</v>
      </c>
      <c r="E213" s="20" t="s">
        <v>231</v>
      </c>
      <c r="F213" s="20" t="s">
        <v>231</v>
      </c>
      <c r="G213" s="20" t="s">
        <v>11752</v>
      </c>
      <c r="H213" s="20" t="s">
        <v>11753</v>
      </c>
      <c r="I213" s="20" t="s">
        <v>10279</v>
      </c>
      <c r="J213" s="21" t="s">
        <v>10394</v>
      </c>
      <c r="K213" s="21"/>
      <c r="L213" s="21"/>
      <c r="M213" s="21"/>
      <c r="N213" s="21"/>
      <c r="O213" s="21"/>
    </row>
    <row r="214" ht="15.75" customHeight="1">
      <c r="A214" s="22" t="s">
        <v>11754</v>
      </c>
      <c r="B214" s="22" t="s">
        <v>11755</v>
      </c>
      <c r="C214" s="22" t="s">
        <v>11756</v>
      </c>
      <c r="D214" s="22" t="s">
        <v>11757</v>
      </c>
      <c r="E214" s="22" t="s">
        <v>11758</v>
      </c>
      <c r="F214" s="22" t="s">
        <v>926</v>
      </c>
      <c r="G214" s="22" t="s">
        <v>11759</v>
      </c>
      <c r="H214" s="22" t="s">
        <v>11760</v>
      </c>
      <c r="I214" s="22" t="s">
        <v>10279</v>
      </c>
      <c r="J214" s="22" t="s">
        <v>11761</v>
      </c>
      <c r="K214" s="22"/>
      <c r="L214" s="22"/>
      <c r="M214" s="22"/>
      <c r="N214" s="22"/>
      <c r="O214" s="22"/>
    </row>
    <row r="215" ht="15.75" customHeight="1">
      <c r="A215" s="20" t="s">
        <v>11762</v>
      </c>
      <c r="B215" s="20" t="s">
        <v>11763</v>
      </c>
      <c r="C215" s="20" t="s">
        <v>11764</v>
      </c>
      <c r="D215" s="20" t="s">
        <v>11765</v>
      </c>
      <c r="E215" s="20" t="s">
        <v>55</v>
      </c>
      <c r="F215" s="20" t="s">
        <v>55</v>
      </c>
      <c r="G215" s="20" t="s">
        <v>11766</v>
      </c>
      <c r="H215" s="20" t="s">
        <v>11767</v>
      </c>
      <c r="I215" s="20" t="s">
        <v>10279</v>
      </c>
      <c r="J215" s="21" t="s">
        <v>11698</v>
      </c>
      <c r="K215" s="21" t="s">
        <v>11768</v>
      </c>
      <c r="L215" s="21"/>
      <c r="M215" s="21"/>
      <c r="N215" s="21"/>
      <c r="O215" s="21"/>
    </row>
    <row r="216" ht="15.75" customHeight="1">
      <c r="A216" s="22" t="s">
        <v>11769</v>
      </c>
      <c r="B216" s="22" t="s">
        <v>11706</v>
      </c>
      <c r="C216" s="22" t="s">
        <v>11707</v>
      </c>
      <c r="D216" s="22" t="s">
        <v>11770</v>
      </c>
      <c r="E216" s="22" t="s">
        <v>813</v>
      </c>
      <c r="F216" s="22" t="s">
        <v>813</v>
      </c>
      <c r="G216" s="22" t="s">
        <v>11771</v>
      </c>
      <c r="H216" s="22"/>
      <c r="I216" s="22" t="s">
        <v>10279</v>
      </c>
      <c r="J216" s="22" t="s">
        <v>10831</v>
      </c>
      <c r="K216" s="22"/>
      <c r="L216" s="22"/>
      <c r="M216" s="22"/>
      <c r="N216" s="22"/>
      <c r="O216" s="22"/>
    </row>
    <row r="217" ht="15.75" customHeight="1">
      <c r="A217" s="20" t="s">
        <v>11772</v>
      </c>
      <c r="B217" s="20" t="s">
        <v>11773</v>
      </c>
      <c r="C217" s="20"/>
      <c r="D217" s="20" t="s">
        <v>11774</v>
      </c>
      <c r="E217" s="20" t="s">
        <v>926</v>
      </c>
      <c r="F217" s="20" t="s">
        <v>926</v>
      </c>
      <c r="G217" s="20" t="s">
        <v>11775</v>
      </c>
      <c r="H217" s="20" t="s">
        <v>11776</v>
      </c>
      <c r="I217" s="20" t="s">
        <v>10279</v>
      </c>
      <c r="J217" s="21" t="s">
        <v>10459</v>
      </c>
      <c r="K217" s="21"/>
      <c r="L217" s="21"/>
      <c r="M217" s="21"/>
      <c r="N217" s="21"/>
      <c r="O217" s="21"/>
    </row>
    <row r="218" ht="15.75" customHeight="1">
      <c r="A218" s="22" t="s">
        <v>11777</v>
      </c>
      <c r="B218" s="22" t="s">
        <v>11778</v>
      </c>
      <c r="C218" s="22" t="s">
        <v>11779</v>
      </c>
      <c r="D218" s="22" t="s">
        <v>11780</v>
      </c>
      <c r="E218" s="22" t="s">
        <v>55</v>
      </c>
      <c r="F218" s="22" t="s">
        <v>55</v>
      </c>
      <c r="G218" s="22" t="s">
        <v>11781</v>
      </c>
      <c r="H218" s="22" t="s">
        <v>11782</v>
      </c>
      <c r="I218" s="22" t="s">
        <v>10279</v>
      </c>
      <c r="J218" s="22" t="s">
        <v>11267</v>
      </c>
      <c r="K218" s="22"/>
      <c r="L218" s="22"/>
      <c r="M218" s="22"/>
      <c r="N218" s="22"/>
      <c r="O218" s="22"/>
    </row>
    <row r="219" ht="15.75" customHeight="1">
      <c r="A219" s="20" t="s">
        <v>11783</v>
      </c>
      <c r="B219" s="20" t="s">
        <v>11784</v>
      </c>
      <c r="C219" s="20" t="s">
        <v>11785</v>
      </c>
      <c r="D219" s="20" t="s">
        <v>11786</v>
      </c>
      <c r="E219" s="20" t="s">
        <v>11787</v>
      </c>
      <c r="F219" s="20" t="s">
        <v>731</v>
      </c>
      <c r="G219" s="20" t="s">
        <v>11788</v>
      </c>
      <c r="H219" s="20" t="s">
        <v>11789</v>
      </c>
      <c r="I219" s="20" t="s">
        <v>10279</v>
      </c>
      <c r="J219" s="21" t="s">
        <v>11790</v>
      </c>
      <c r="K219" s="21"/>
      <c r="L219" s="21"/>
      <c r="M219" s="21"/>
      <c r="N219" s="21"/>
      <c r="O219" s="21"/>
    </row>
    <row r="220" ht="15.75" customHeight="1">
      <c r="A220" s="22" t="s">
        <v>11791</v>
      </c>
      <c r="B220" s="22" t="s">
        <v>11792</v>
      </c>
      <c r="C220" s="22" t="s">
        <v>11793</v>
      </c>
      <c r="D220" s="22" t="s">
        <v>11794</v>
      </c>
      <c r="E220" s="22" t="s">
        <v>55</v>
      </c>
      <c r="F220" s="22" t="s">
        <v>55</v>
      </c>
      <c r="G220" s="22" t="s">
        <v>11795</v>
      </c>
      <c r="H220" s="22" t="s">
        <v>11796</v>
      </c>
      <c r="I220" s="22" t="s">
        <v>10279</v>
      </c>
      <c r="J220" s="22" t="s">
        <v>10321</v>
      </c>
      <c r="K220" s="22"/>
      <c r="L220" s="22"/>
      <c r="M220" s="22"/>
      <c r="N220" s="22"/>
      <c r="O220" s="22"/>
    </row>
    <row r="221" ht="15.75" customHeight="1">
      <c r="A221" s="20" t="s">
        <v>11797</v>
      </c>
      <c r="B221" s="20" t="s">
        <v>11798</v>
      </c>
      <c r="C221" s="20" t="s">
        <v>11799</v>
      </c>
      <c r="D221" s="20" t="s">
        <v>11800</v>
      </c>
      <c r="E221" s="20" t="s">
        <v>55</v>
      </c>
      <c r="F221" s="20" t="s">
        <v>55</v>
      </c>
      <c r="G221" s="20" t="s">
        <v>11801</v>
      </c>
      <c r="H221" s="20" t="s">
        <v>11802</v>
      </c>
      <c r="I221" s="20" t="s">
        <v>10279</v>
      </c>
      <c r="J221" s="21" t="s">
        <v>11803</v>
      </c>
      <c r="K221" s="21"/>
      <c r="L221" s="21"/>
      <c r="M221" s="21"/>
      <c r="N221" s="21"/>
      <c r="O221" s="21"/>
    </row>
    <row r="222" ht="15.75" customHeight="1">
      <c r="A222" s="22" t="s">
        <v>11804</v>
      </c>
      <c r="B222" s="22"/>
      <c r="C222" s="22"/>
      <c r="D222" s="22" t="s">
        <v>11805</v>
      </c>
      <c r="E222" s="22" t="s">
        <v>55</v>
      </c>
      <c r="F222" s="22" t="s">
        <v>55</v>
      </c>
      <c r="G222" s="22" t="s">
        <v>11806</v>
      </c>
      <c r="H222" s="22" t="s">
        <v>11807</v>
      </c>
      <c r="I222" s="22" t="s">
        <v>10279</v>
      </c>
      <c r="J222" s="22" t="s">
        <v>10314</v>
      </c>
      <c r="K222" s="22"/>
      <c r="L222" s="22"/>
      <c r="M222" s="22"/>
      <c r="N222" s="22"/>
      <c r="O222" s="22"/>
    </row>
    <row r="223" ht="15.75" customHeight="1">
      <c r="A223" s="20" t="s">
        <v>11808</v>
      </c>
      <c r="B223" s="20" t="s">
        <v>11809</v>
      </c>
      <c r="C223" s="20" t="s">
        <v>11810</v>
      </c>
      <c r="D223" s="20" t="s">
        <v>11811</v>
      </c>
      <c r="E223" s="20" t="s">
        <v>7888</v>
      </c>
      <c r="F223" s="20" t="s">
        <v>11812</v>
      </c>
      <c r="G223" s="20" t="s">
        <v>11813</v>
      </c>
      <c r="H223" s="20" t="s">
        <v>11814</v>
      </c>
      <c r="I223" s="20" t="s">
        <v>10279</v>
      </c>
      <c r="J223" s="21" t="s">
        <v>11815</v>
      </c>
      <c r="K223" s="21"/>
      <c r="L223" s="21"/>
      <c r="M223" s="21"/>
      <c r="N223" s="21"/>
      <c r="O223" s="21"/>
    </row>
    <row r="224" ht="15.75" customHeight="1">
      <c r="A224" s="22" t="s">
        <v>11816</v>
      </c>
      <c r="B224" s="22" t="s">
        <v>11817</v>
      </c>
      <c r="C224" s="22" t="s">
        <v>11818</v>
      </c>
      <c r="D224" s="22" t="s">
        <v>11819</v>
      </c>
      <c r="E224" s="22" t="s">
        <v>11820</v>
      </c>
      <c r="F224" s="22" t="s">
        <v>10408</v>
      </c>
      <c r="G224" s="22" t="s">
        <v>11821</v>
      </c>
      <c r="H224" s="22" t="s">
        <v>11822</v>
      </c>
      <c r="I224" s="22" t="s">
        <v>10279</v>
      </c>
      <c r="J224" s="22" t="s">
        <v>10280</v>
      </c>
      <c r="K224" s="22"/>
      <c r="L224" s="22"/>
      <c r="M224" s="22"/>
      <c r="N224" s="22"/>
      <c r="O224" s="22"/>
    </row>
    <row r="225" ht="15.75" customHeight="1">
      <c r="A225" s="20" t="s">
        <v>11823</v>
      </c>
      <c r="B225" s="20" t="s">
        <v>11824</v>
      </c>
      <c r="C225" s="20" t="s">
        <v>11825</v>
      </c>
      <c r="D225" s="20" t="s">
        <v>11826</v>
      </c>
      <c r="E225" s="20" t="s">
        <v>129</v>
      </c>
      <c r="F225" s="20" t="s">
        <v>129</v>
      </c>
      <c r="G225" s="20" t="s">
        <v>11827</v>
      </c>
      <c r="H225" s="20" t="s">
        <v>11828</v>
      </c>
      <c r="I225" s="20" t="s">
        <v>10279</v>
      </c>
      <c r="J225" s="21" t="s">
        <v>11829</v>
      </c>
      <c r="K225" s="21"/>
      <c r="L225" s="21"/>
      <c r="M225" s="21"/>
      <c r="N225" s="21"/>
      <c r="O225" s="21"/>
    </row>
    <row r="226" ht="15.75" customHeight="1">
      <c r="A226" s="22" t="s">
        <v>11830</v>
      </c>
      <c r="B226" s="22" t="s">
        <v>11831</v>
      </c>
      <c r="C226" s="22" t="s">
        <v>11832</v>
      </c>
      <c r="D226" s="22" t="s">
        <v>11833</v>
      </c>
      <c r="E226" s="22" t="s">
        <v>129</v>
      </c>
      <c r="F226" s="22" t="s">
        <v>129</v>
      </c>
      <c r="G226" s="22" t="s">
        <v>11834</v>
      </c>
      <c r="H226" s="22" t="s">
        <v>11835</v>
      </c>
      <c r="I226" s="22" t="s">
        <v>10279</v>
      </c>
      <c r="J226" s="22" t="s">
        <v>10561</v>
      </c>
      <c r="K226" s="22" t="s">
        <v>11836</v>
      </c>
      <c r="L226" s="22" t="s">
        <v>11837</v>
      </c>
      <c r="M226" s="22"/>
      <c r="N226" s="22"/>
      <c r="O226" s="22"/>
    </row>
    <row r="227" ht="15.75" customHeight="1">
      <c r="A227" s="20" t="s">
        <v>11838</v>
      </c>
      <c r="B227" s="20" t="s">
        <v>11839</v>
      </c>
      <c r="C227" s="20" t="s">
        <v>11840</v>
      </c>
      <c r="D227" s="20" t="s">
        <v>11841</v>
      </c>
      <c r="E227" s="20" t="s">
        <v>231</v>
      </c>
      <c r="F227" s="20" t="s">
        <v>231</v>
      </c>
      <c r="G227" s="20" t="s">
        <v>11842</v>
      </c>
      <c r="H227" s="20" t="s">
        <v>11843</v>
      </c>
      <c r="I227" s="20" t="s">
        <v>10279</v>
      </c>
      <c r="J227" s="21" t="s">
        <v>11844</v>
      </c>
      <c r="K227" s="21"/>
      <c r="L227" s="21"/>
      <c r="M227" s="21"/>
      <c r="N227" s="21"/>
      <c r="O227" s="21"/>
    </row>
    <row r="228" ht="15.75" customHeight="1">
      <c r="A228" s="22" t="s">
        <v>11845</v>
      </c>
      <c r="B228" s="22" t="s">
        <v>11846</v>
      </c>
      <c r="C228" s="22" t="s">
        <v>11847</v>
      </c>
      <c r="D228" s="22" t="s">
        <v>11848</v>
      </c>
      <c r="E228" s="22" t="s">
        <v>11849</v>
      </c>
      <c r="F228" s="22" t="s">
        <v>813</v>
      </c>
      <c r="G228" s="22" t="s">
        <v>11850</v>
      </c>
      <c r="H228" s="22" t="s">
        <v>11851</v>
      </c>
      <c r="I228" s="22" t="s">
        <v>10279</v>
      </c>
      <c r="J228" s="22" t="s">
        <v>11852</v>
      </c>
      <c r="K228" s="22"/>
      <c r="L228" s="22"/>
      <c r="M228" s="22"/>
      <c r="N228" s="22"/>
      <c r="O228" s="22"/>
    </row>
    <row r="229" ht="15.75" customHeight="1">
      <c r="A229" s="20" t="s">
        <v>11853</v>
      </c>
      <c r="B229" s="20" t="s">
        <v>11854</v>
      </c>
      <c r="C229" s="20" t="s">
        <v>11855</v>
      </c>
      <c r="D229" s="20" t="s">
        <v>11856</v>
      </c>
      <c r="E229" s="20" t="s">
        <v>7132</v>
      </c>
      <c r="F229" s="20" t="s">
        <v>129</v>
      </c>
      <c r="G229" s="20" t="s">
        <v>11857</v>
      </c>
      <c r="H229" s="20" t="s">
        <v>11858</v>
      </c>
      <c r="I229" s="20" t="s">
        <v>10279</v>
      </c>
      <c r="J229" s="21" t="s">
        <v>10321</v>
      </c>
      <c r="K229" s="21"/>
      <c r="L229" s="21"/>
      <c r="M229" s="21"/>
      <c r="N229" s="21"/>
      <c r="O229" s="21"/>
    </row>
    <row r="230" ht="15.75" customHeight="1">
      <c r="A230" s="22" t="s">
        <v>11859</v>
      </c>
      <c r="B230" s="22" t="s">
        <v>11860</v>
      </c>
      <c r="C230" s="22" t="s">
        <v>11861</v>
      </c>
      <c r="D230" s="22" t="s">
        <v>11862</v>
      </c>
      <c r="E230" s="22" t="s">
        <v>11863</v>
      </c>
      <c r="F230" s="22" t="s">
        <v>129</v>
      </c>
      <c r="G230" s="22" t="s">
        <v>11864</v>
      </c>
      <c r="H230" s="22" t="s">
        <v>11865</v>
      </c>
      <c r="I230" s="22" t="s">
        <v>10279</v>
      </c>
      <c r="J230" s="22" t="s">
        <v>11866</v>
      </c>
      <c r="K230" s="22"/>
      <c r="L230" s="22"/>
      <c r="M230" s="22"/>
      <c r="N230" s="22"/>
      <c r="O230" s="22"/>
    </row>
    <row r="231" ht="15.75" customHeight="1">
      <c r="A231" s="20" t="s">
        <v>11867</v>
      </c>
      <c r="B231" s="20" t="s">
        <v>11868</v>
      </c>
      <c r="C231" s="20" t="s">
        <v>11869</v>
      </c>
      <c r="D231" s="20" t="s">
        <v>11870</v>
      </c>
      <c r="E231" s="20" t="s">
        <v>11871</v>
      </c>
      <c r="F231" s="20" t="s">
        <v>1612</v>
      </c>
      <c r="G231" s="20" t="s">
        <v>11872</v>
      </c>
      <c r="H231" s="20" t="s">
        <v>11873</v>
      </c>
      <c r="I231" s="20" t="s">
        <v>10279</v>
      </c>
      <c r="J231" s="21" t="s">
        <v>10569</v>
      </c>
      <c r="K231" s="21"/>
      <c r="L231" s="21"/>
      <c r="M231" s="21"/>
      <c r="N231" s="21"/>
      <c r="O231" s="21"/>
    </row>
    <row r="232" ht="15.75" customHeight="1">
      <c r="A232" s="22" t="s">
        <v>11874</v>
      </c>
      <c r="B232" s="22" t="s">
        <v>11875</v>
      </c>
      <c r="C232" s="22" t="s">
        <v>11876</v>
      </c>
      <c r="D232" s="22" t="s">
        <v>11877</v>
      </c>
      <c r="E232" s="22" t="s">
        <v>2162</v>
      </c>
      <c r="F232" s="22" t="s">
        <v>2162</v>
      </c>
      <c r="G232" s="22" t="s">
        <v>11878</v>
      </c>
      <c r="H232" s="22" t="s">
        <v>11879</v>
      </c>
      <c r="I232" s="22" t="s">
        <v>10279</v>
      </c>
      <c r="J232" s="22" t="s">
        <v>11640</v>
      </c>
      <c r="K232" s="22"/>
      <c r="L232" s="22"/>
      <c r="M232" s="22"/>
      <c r="N232" s="22"/>
      <c r="O232" s="22"/>
    </row>
    <row r="233" ht="15.75" customHeight="1">
      <c r="A233" s="20" t="s">
        <v>11880</v>
      </c>
      <c r="B233" s="20" t="s">
        <v>11881</v>
      </c>
      <c r="C233" s="20" t="s">
        <v>11882</v>
      </c>
      <c r="D233" s="20" t="s">
        <v>11883</v>
      </c>
      <c r="E233" s="20" t="s">
        <v>2837</v>
      </c>
      <c r="F233" s="20" t="s">
        <v>580</v>
      </c>
      <c r="G233" s="20" t="s">
        <v>11884</v>
      </c>
      <c r="H233" s="20" t="s">
        <v>11885</v>
      </c>
      <c r="I233" s="20" t="s">
        <v>10279</v>
      </c>
      <c r="J233" s="21" t="s">
        <v>11886</v>
      </c>
      <c r="K233" s="21"/>
      <c r="L233" s="21"/>
      <c r="M233" s="21"/>
      <c r="N233" s="21"/>
      <c r="O233" s="21"/>
    </row>
    <row r="234" ht="15.75" customHeight="1">
      <c r="A234" s="22" t="s">
        <v>11887</v>
      </c>
      <c r="B234" s="22" t="s">
        <v>11888</v>
      </c>
      <c r="C234" s="22" t="s">
        <v>11889</v>
      </c>
      <c r="D234" s="22" t="s">
        <v>11890</v>
      </c>
      <c r="E234" s="22" t="s">
        <v>3637</v>
      </c>
      <c r="F234" s="22" t="s">
        <v>1352</v>
      </c>
      <c r="G234" s="22" t="s">
        <v>11891</v>
      </c>
      <c r="H234" s="22" t="s">
        <v>11892</v>
      </c>
      <c r="I234" s="22" t="s">
        <v>10279</v>
      </c>
      <c r="J234" s="22" t="s">
        <v>11893</v>
      </c>
      <c r="K234" s="22"/>
      <c r="L234" s="22"/>
      <c r="M234" s="22"/>
      <c r="N234" s="22"/>
      <c r="O234" s="22"/>
    </row>
    <row r="235" ht="15.75" customHeight="1">
      <c r="A235" s="20" t="s">
        <v>11894</v>
      </c>
      <c r="B235" s="20" t="s">
        <v>11895</v>
      </c>
      <c r="C235" s="20" t="s">
        <v>11896</v>
      </c>
      <c r="D235" s="20" t="s">
        <v>11897</v>
      </c>
      <c r="E235" s="20" t="s">
        <v>11898</v>
      </c>
      <c r="F235" s="20" t="s">
        <v>5380</v>
      </c>
      <c r="G235" s="20" t="s">
        <v>11899</v>
      </c>
      <c r="H235" s="20" t="s">
        <v>11900</v>
      </c>
      <c r="I235" s="20" t="s">
        <v>10279</v>
      </c>
      <c r="J235" s="21" t="s">
        <v>10793</v>
      </c>
      <c r="K235" s="21"/>
      <c r="L235" s="21"/>
      <c r="M235" s="21"/>
      <c r="N235" s="21"/>
      <c r="O235" s="21"/>
    </row>
    <row r="236" ht="15.75" customHeight="1">
      <c r="A236" s="22" t="s">
        <v>11901</v>
      </c>
      <c r="B236" s="22" t="s">
        <v>11902</v>
      </c>
      <c r="C236" s="22" t="s">
        <v>11903</v>
      </c>
      <c r="D236" s="22" t="s">
        <v>11904</v>
      </c>
      <c r="E236" s="22" t="s">
        <v>2391</v>
      </c>
      <c r="F236" s="22" t="s">
        <v>1929</v>
      </c>
      <c r="G236" s="22" t="s">
        <v>11905</v>
      </c>
      <c r="H236" s="22" t="s">
        <v>11906</v>
      </c>
      <c r="I236" s="22" t="s">
        <v>10279</v>
      </c>
      <c r="J236" s="22" t="s">
        <v>11907</v>
      </c>
      <c r="K236" s="22"/>
      <c r="L236" s="22"/>
      <c r="M236" s="22"/>
      <c r="N236" s="22"/>
      <c r="O236" s="22"/>
    </row>
    <row r="237" ht="15.75" customHeight="1">
      <c r="A237" s="20" t="s">
        <v>11908</v>
      </c>
      <c r="B237" s="20" t="s">
        <v>11909</v>
      </c>
      <c r="C237" s="20" t="s">
        <v>11910</v>
      </c>
      <c r="D237" s="20" t="s">
        <v>11911</v>
      </c>
      <c r="E237" s="20" t="s">
        <v>813</v>
      </c>
      <c r="F237" s="20" t="s">
        <v>813</v>
      </c>
      <c r="G237" s="20" t="s">
        <v>11912</v>
      </c>
      <c r="H237" s="20" t="s">
        <v>11913</v>
      </c>
      <c r="I237" s="20" t="s">
        <v>10279</v>
      </c>
      <c r="J237" s="21" t="s">
        <v>10623</v>
      </c>
      <c r="K237" s="21" t="s">
        <v>11914</v>
      </c>
      <c r="L237" s="21" t="s">
        <v>11915</v>
      </c>
      <c r="M237" s="21" t="s">
        <v>11916</v>
      </c>
      <c r="N237" s="21" t="s">
        <v>11917</v>
      </c>
      <c r="O237" s="21"/>
    </row>
    <row r="238" ht="15.75" customHeight="1">
      <c r="A238" s="22" t="s">
        <v>11918</v>
      </c>
      <c r="B238" s="22" t="s">
        <v>11919</v>
      </c>
      <c r="C238" s="22" t="s">
        <v>11920</v>
      </c>
      <c r="D238" s="22" t="s">
        <v>11921</v>
      </c>
      <c r="E238" s="22" t="s">
        <v>7099</v>
      </c>
      <c r="F238" s="22" t="s">
        <v>231</v>
      </c>
      <c r="G238" s="22" t="s">
        <v>11922</v>
      </c>
      <c r="H238" s="22" t="s">
        <v>11923</v>
      </c>
      <c r="I238" s="22" t="s">
        <v>10279</v>
      </c>
      <c r="J238" s="22" t="s">
        <v>10314</v>
      </c>
      <c r="K238" s="22"/>
      <c r="L238" s="22"/>
      <c r="M238" s="22"/>
      <c r="N238" s="22"/>
      <c r="O238" s="22"/>
    </row>
    <row r="239" ht="15.75" customHeight="1">
      <c r="A239" s="20" t="s">
        <v>11924</v>
      </c>
      <c r="B239" s="20" t="s">
        <v>11925</v>
      </c>
      <c r="C239" s="20" t="s">
        <v>11926</v>
      </c>
      <c r="D239" s="20" t="s">
        <v>11927</v>
      </c>
      <c r="E239" s="20" t="s">
        <v>723</v>
      </c>
      <c r="F239" s="20" t="s">
        <v>406</v>
      </c>
      <c r="G239" s="20" t="s">
        <v>11928</v>
      </c>
      <c r="H239" s="20" t="s">
        <v>11929</v>
      </c>
      <c r="I239" s="20" t="s">
        <v>10279</v>
      </c>
      <c r="J239" s="21" t="s">
        <v>11930</v>
      </c>
      <c r="K239" s="21"/>
      <c r="L239" s="21"/>
      <c r="M239" s="21"/>
      <c r="N239" s="21"/>
      <c r="O239" s="21"/>
    </row>
    <row r="240" ht="15.75" customHeight="1">
      <c r="A240" s="22" t="s">
        <v>11931</v>
      </c>
      <c r="B240" s="22"/>
      <c r="C240" s="22" t="s">
        <v>11932</v>
      </c>
      <c r="D240" s="22" t="s">
        <v>11933</v>
      </c>
      <c r="E240" s="22" t="s">
        <v>1000</v>
      </c>
      <c r="F240" s="22" t="s">
        <v>395</v>
      </c>
      <c r="G240" s="22" t="s">
        <v>11934</v>
      </c>
      <c r="H240" s="22" t="s">
        <v>11935</v>
      </c>
      <c r="I240" s="22" t="s">
        <v>10279</v>
      </c>
      <c r="J240" s="22" t="s">
        <v>10280</v>
      </c>
      <c r="K240" s="22"/>
      <c r="L240" s="22"/>
      <c r="M240" s="22"/>
      <c r="N240" s="22"/>
      <c r="O240" s="22"/>
    </row>
    <row r="241" ht="15.75" customHeight="1">
      <c r="A241" s="20" t="s">
        <v>11936</v>
      </c>
      <c r="B241" s="20" t="s">
        <v>11937</v>
      </c>
      <c r="C241" s="20" t="s">
        <v>11938</v>
      </c>
      <c r="D241" s="20" t="s">
        <v>11939</v>
      </c>
      <c r="E241" s="20" t="s">
        <v>11940</v>
      </c>
      <c r="F241" s="20" t="s">
        <v>1612</v>
      </c>
      <c r="G241" s="20" t="s">
        <v>11941</v>
      </c>
      <c r="H241" s="20" t="s">
        <v>11942</v>
      </c>
      <c r="I241" s="20" t="s">
        <v>10279</v>
      </c>
      <c r="J241" s="21" t="s">
        <v>10280</v>
      </c>
      <c r="K241" s="21"/>
      <c r="L241" s="21"/>
      <c r="M241" s="21"/>
      <c r="N241" s="21"/>
      <c r="O241" s="21"/>
    </row>
    <row r="242" ht="15.75" customHeight="1">
      <c r="A242" s="22" t="s">
        <v>11943</v>
      </c>
      <c r="B242" s="22" t="s">
        <v>11944</v>
      </c>
      <c r="C242" s="22"/>
      <c r="D242" s="22" t="s">
        <v>11945</v>
      </c>
      <c r="E242" s="22" t="s">
        <v>11946</v>
      </c>
      <c r="F242" s="22" t="s">
        <v>4846</v>
      </c>
      <c r="G242" s="22" t="s">
        <v>11947</v>
      </c>
      <c r="H242" s="22"/>
      <c r="I242" s="22" t="s">
        <v>10279</v>
      </c>
      <c r="J242" s="22" t="s">
        <v>11948</v>
      </c>
      <c r="K242" s="22"/>
      <c r="L242" s="22"/>
      <c r="M242" s="22"/>
      <c r="N242" s="22"/>
      <c r="O242" s="22"/>
    </row>
    <row r="243" ht="15.75" customHeight="1">
      <c r="A243" s="20" t="s">
        <v>11949</v>
      </c>
      <c r="B243" s="20" t="s">
        <v>11950</v>
      </c>
      <c r="C243" s="20" t="s">
        <v>11951</v>
      </c>
      <c r="D243" s="20" t="s">
        <v>11952</v>
      </c>
      <c r="E243" s="20" t="s">
        <v>4660</v>
      </c>
      <c r="F243" s="20" t="s">
        <v>1462</v>
      </c>
      <c r="G243" s="20" t="s">
        <v>11953</v>
      </c>
      <c r="H243" s="20" t="s">
        <v>11954</v>
      </c>
      <c r="I243" s="20" t="s">
        <v>10279</v>
      </c>
      <c r="J243" s="21" t="s">
        <v>10328</v>
      </c>
      <c r="K243" s="21"/>
      <c r="L243" s="21"/>
      <c r="M243" s="21"/>
      <c r="N243" s="21"/>
      <c r="O243" s="21"/>
    </row>
    <row r="244" ht="15.75" customHeight="1">
      <c r="A244" s="22" t="s">
        <v>11955</v>
      </c>
      <c r="B244" s="22"/>
      <c r="C244" s="22"/>
      <c r="D244" s="22" t="s">
        <v>11956</v>
      </c>
      <c r="E244" s="22" t="s">
        <v>129</v>
      </c>
      <c r="F244" s="22" t="s">
        <v>129</v>
      </c>
      <c r="G244" s="22" t="s">
        <v>11957</v>
      </c>
      <c r="H244" s="22"/>
      <c r="I244" s="22" t="s">
        <v>10279</v>
      </c>
      <c r="J244" s="22" t="s">
        <v>10280</v>
      </c>
      <c r="K244" s="22" t="s">
        <v>11958</v>
      </c>
      <c r="L244" s="22"/>
      <c r="M244" s="22"/>
      <c r="N244" s="22"/>
      <c r="O244" s="22"/>
    </row>
    <row r="245" ht="15.75" customHeight="1">
      <c r="A245" s="20" t="s">
        <v>11959</v>
      </c>
      <c r="B245" s="20" t="s">
        <v>11960</v>
      </c>
      <c r="C245" s="20" t="s">
        <v>11961</v>
      </c>
      <c r="D245" s="20" t="s">
        <v>11962</v>
      </c>
      <c r="E245" s="20" t="s">
        <v>813</v>
      </c>
      <c r="F245" s="20" t="s">
        <v>813</v>
      </c>
      <c r="G245" s="20" t="s">
        <v>11963</v>
      </c>
      <c r="H245" s="20" t="s">
        <v>11964</v>
      </c>
      <c r="I245" s="20" t="s">
        <v>10279</v>
      </c>
      <c r="J245" s="21" t="s">
        <v>10280</v>
      </c>
      <c r="K245" s="21"/>
      <c r="L245" s="21"/>
      <c r="M245" s="21"/>
      <c r="N245" s="21"/>
      <c r="O245" s="21"/>
    </row>
    <row r="246" ht="15.75" customHeight="1">
      <c r="A246" s="22" t="s">
        <v>11965</v>
      </c>
      <c r="B246" s="22" t="s">
        <v>11966</v>
      </c>
      <c r="C246" s="22"/>
      <c r="D246" s="22" t="s">
        <v>11967</v>
      </c>
      <c r="E246" s="22" t="s">
        <v>11968</v>
      </c>
      <c r="F246" s="22" t="s">
        <v>10408</v>
      </c>
      <c r="G246" s="22" t="s">
        <v>11969</v>
      </c>
      <c r="H246" s="22" t="s">
        <v>11970</v>
      </c>
      <c r="I246" s="22" t="s">
        <v>10279</v>
      </c>
      <c r="J246" s="22" t="s">
        <v>11971</v>
      </c>
      <c r="K246" s="22"/>
      <c r="L246" s="22"/>
      <c r="M246" s="22"/>
      <c r="N246" s="22"/>
      <c r="O246" s="22"/>
    </row>
    <row r="247" ht="15.75" customHeight="1">
      <c r="A247" s="20" t="s">
        <v>11972</v>
      </c>
      <c r="B247" s="20" t="s">
        <v>11165</v>
      </c>
      <c r="C247" s="20" t="s">
        <v>11166</v>
      </c>
      <c r="D247" s="20" t="s">
        <v>11973</v>
      </c>
      <c r="E247" s="20" t="s">
        <v>55</v>
      </c>
      <c r="F247" s="20" t="s">
        <v>55</v>
      </c>
      <c r="G247" s="20" t="s">
        <v>11168</v>
      </c>
      <c r="H247" s="20" t="s">
        <v>11169</v>
      </c>
      <c r="I247" s="20" t="s">
        <v>10279</v>
      </c>
      <c r="J247" s="21" t="s">
        <v>10280</v>
      </c>
      <c r="K247" s="21"/>
      <c r="L247" s="21"/>
      <c r="M247" s="21"/>
      <c r="N247" s="21"/>
      <c r="O247" s="21"/>
    </row>
    <row r="248" ht="15.75" customHeight="1">
      <c r="A248" s="22" t="s">
        <v>11974</v>
      </c>
      <c r="B248" s="22" t="s">
        <v>11975</v>
      </c>
      <c r="C248" s="22" t="s">
        <v>11976</v>
      </c>
      <c r="D248" s="22" t="s">
        <v>11977</v>
      </c>
      <c r="E248" s="22" t="s">
        <v>3081</v>
      </c>
      <c r="F248" s="22" t="s">
        <v>926</v>
      </c>
      <c r="G248" s="22" t="s">
        <v>11978</v>
      </c>
      <c r="H248" s="22" t="s">
        <v>11979</v>
      </c>
      <c r="I248" s="22" t="s">
        <v>10279</v>
      </c>
      <c r="J248" s="22" t="s">
        <v>10280</v>
      </c>
      <c r="K248" s="22"/>
      <c r="L248" s="22"/>
      <c r="M248" s="22"/>
      <c r="N248" s="22"/>
      <c r="O248" s="22"/>
    </row>
    <row r="249" ht="15.75" customHeight="1">
      <c r="A249" s="20" t="s">
        <v>11980</v>
      </c>
      <c r="B249" s="20" t="s">
        <v>11981</v>
      </c>
      <c r="C249" s="20" t="s">
        <v>11982</v>
      </c>
      <c r="D249" s="20" t="s">
        <v>11983</v>
      </c>
      <c r="E249" s="20" t="s">
        <v>231</v>
      </c>
      <c r="F249" s="20" t="s">
        <v>231</v>
      </c>
      <c r="G249" s="20" t="s">
        <v>11984</v>
      </c>
      <c r="H249" s="20" t="s">
        <v>11985</v>
      </c>
      <c r="I249" s="20" t="s">
        <v>10279</v>
      </c>
      <c r="J249" s="21" t="s">
        <v>10321</v>
      </c>
      <c r="K249" s="21"/>
      <c r="L249" s="21"/>
      <c r="M249" s="21"/>
      <c r="N249" s="21"/>
      <c r="O249" s="21"/>
    </row>
    <row r="250" ht="15.75" customHeight="1">
      <c r="A250" s="22" t="s">
        <v>11986</v>
      </c>
      <c r="B250" s="22" t="s">
        <v>11987</v>
      </c>
      <c r="C250" s="22" t="s">
        <v>11988</v>
      </c>
      <c r="D250" s="22" t="s">
        <v>11989</v>
      </c>
      <c r="E250" s="22" t="s">
        <v>231</v>
      </c>
      <c r="F250" s="22" t="s">
        <v>231</v>
      </c>
      <c r="G250" s="22" t="s">
        <v>11990</v>
      </c>
      <c r="H250" s="22" t="s">
        <v>11991</v>
      </c>
      <c r="I250" s="22" t="s">
        <v>10279</v>
      </c>
      <c r="J250" s="22" t="s">
        <v>11992</v>
      </c>
      <c r="K250" s="22"/>
      <c r="L250" s="22"/>
      <c r="M250" s="22"/>
      <c r="N250" s="22"/>
      <c r="O250" s="22"/>
    </row>
    <row r="251" ht="15.75" customHeight="1">
      <c r="A251" s="20" t="s">
        <v>11993</v>
      </c>
      <c r="B251" s="20" t="s">
        <v>11994</v>
      </c>
      <c r="C251" s="20" t="s">
        <v>11995</v>
      </c>
      <c r="D251" s="20" t="s">
        <v>11996</v>
      </c>
      <c r="E251" s="20" t="s">
        <v>813</v>
      </c>
      <c r="F251" s="20" t="s">
        <v>813</v>
      </c>
      <c r="G251" s="20" t="s">
        <v>11997</v>
      </c>
      <c r="H251" s="20" t="s">
        <v>11998</v>
      </c>
      <c r="I251" s="20" t="s">
        <v>10279</v>
      </c>
      <c r="J251" s="21" t="s">
        <v>10341</v>
      </c>
      <c r="K251" s="21"/>
      <c r="L251" s="21"/>
      <c r="M251" s="21"/>
      <c r="N251" s="21"/>
      <c r="O251" s="21"/>
    </row>
    <row r="252" ht="15.75" customHeight="1">
      <c r="A252" s="22" t="s">
        <v>11999</v>
      </c>
      <c r="B252" s="22" t="s">
        <v>12000</v>
      </c>
      <c r="C252" s="22" t="s">
        <v>12001</v>
      </c>
      <c r="D252" s="22" t="s">
        <v>12002</v>
      </c>
      <c r="E252" s="22" t="s">
        <v>926</v>
      </c>
      <c r="F252" s="22" t="s">
        <v>926</v>
      </c>
      <c r="G252" s="22" t="s">
        <v>12003</v>
      </c>
      <c r="H252" s="22" t="s">
        <v>12004</v>
      </c>
      <c r="I252" s="22" t="s">
        <v>10279</v>
      </c>
      <c r="J252" s="22" t="s">
        <v>10394</v>
      </c>
      <c r="K252" s="22"/>
      <c r="L252" s="22"/>
      <c r="M252" s="22"/>
      <c r="N252" s="22"/>
      <c r="O252" s="22"/>
    </row>
    <row r="253" ht="15.75" customHeight="1">
      <c r="A253" s="20" t="s">
        <v>12005</v>
      </c>
      <c r="B253" s="20" t="s">
        <v>12006</v>
      </c>
      <c r="C253" s="20" t="s">
        <v>12007</v>
      </c>
      <c r="D253" s="20" t="s">
        <v>12008</v>
      </c>
      <c r="E253" s="20" t="s">
        <v>3081</v>
      </c>
      <c r="F253" s="20" t="s">
        <v>926</v>
      </c>
      <c r="G253" s="20" t="s">
        <v>12009</v>
      </c>
      <c r="H253" s="20" t="s">
        <v>12010</v>
      </c>
      <c r="I253" s="20" t="s">
        <v>10279</v>
      </c>
      <c r="J253" s="21" t="s">
        <v>12011</v>
      </c>
      <c r="K253" s="21" t="s">
        <v>12012</v>
      </c>
      <c r="L253" s="21" t="s">
        <v>12013</v>
      </c>
      <c r="M253" s="21"/>
      <c r="N253" s="21"/>
      <c r="O253" s="21"/>
    </row>
    <row r="254" ht="15.75" customHeight="1">
      <c r="A254" s="22" t="s">
        <v>12014</v>
      </c>
      <c r="B254" s="22" t="s">
        <v>12015</v>
      </c>
      <c r="C254" s="22" t="s">
        <v>12016</v>
      </c>
      <c r="D254" s="22" t="s">
        <v>12017</v>
      </c>
      <c r="E254" s="22" t="s">
        <v>12018</v>
      </c>
      <c r="F254" s="22" t="s">
        <v>55</v>
      </c>
      <c r="G254" s="22" t="s">
        <v>12019</v>
      </c>
      <c r="H254" s="22" t="s">
        <v>12020</v>
      </c>
      <c r="I254" s="22" t="s">
        <v>10279</v>
      </c>
      <c r="J254" s="22" t="s">
        <v>12021</v>
      </c>
      <c r="K254" s="22"/>
      <c r="L254" s="22"/>
      <c r="M254" s="22"/>
      <c r="N254" s="22"/>
      <c r="O254" s="22"/>
    </row>
    <row r="255" ht="15.75" customHeight="1">
      <c r="A255" s="20" t="s">
        <v>12022</v>
      </c>
      <c r="B255" s="20" t="s">
        <v>12023</v>
      </c>
      <c r="C255" s="20" t="s">
        <v>12024</v>
      </c>
      <c r="D255" s="20" t="s">
        <v>12025</v>
      </c>
      <c r="E255" s="20" t="s">
        <v>231</v>
      </c>
      <c r="F255" s="20" t="s">
        <v>231</v>
      </c>
      <c r="G255" s="20" t="s">
        <v>12026</v>
      </c>
      <c r="H255" s="20" t="s">
        <v>12027</v>
      </c>
      <c r="I255" s="20" t="s">
        <v>10279</v>
      </c>
      <c r="J255" s="21" t="s">
        <v>12028</v>
      </c>
      <c r="K255" s="21"/>
      <c r="L255" s="21"/>
      <c r="M255" s="21"/>
      <c r="N255" s="21"/>
      <c r="O255" s="21"/>
    </row>
    <row r="256" ht="15.75" customHeight="1">
      <c r="A256" s="22" t="s">
        <v>12029</v>
      </c>
      <c r="B256" s="22" t="s">
        <v>12030</v>
      </c>
      <c r="C256" s="22" t="s">
        <v>12031</v>
      </c>
      <c r="D256" s="22" t="s">
        <v>12032</v>
      </c>
      <c r="E256" s="22" t="s">
        <v>5380</v>
      </c>
      <c r="F256" s="22" t="s">
        <v>5380</v>
      </c>
      <c r="G256" s="22" t="s">
        <v>12033</v>
      </c>
      <c r="H256" s="22" t="s">
        <v>12034</v>
      </c>
      <c r="I256" s="22" t="s">
        <v>10279</v>
      </c>
      <c r="J256" s="22" t="s">
        <v>10328</v>
      </c>
      <c r="K256" s="22"/>
      <c r="L256" s="22"/>
      <c r="M256" s="22"/>
      <c r="N256" s="22"/>
      <c r="O256" s="22"/>
    </row>
    <row r="257" ht="15.75" customHeight="1">
      <c r="A257" s="20" t="s">
        <v>12035</v>
      </c>
      <c r="B257" s="20" t="s">
        <v>12036</v>
      </c>
      <c r="C257" s="20" t="s">
        <v>12037</v>
      </c>
      <c r="D257" s="20" t="s">
        <v>12038</v>
      </c>
      <c r="E257" s="20" t="s">
        <v>1163</v>
      </c>
      <c r="F257" s="20" t="s">
        <v>253</v>
      </c>
      <c r="G257" s="20" t="s">
        <v>12039</v>
      </c>
      <c r="H257" s="20" t="s">
        <v>12040</v>
      </c>
      <c r="I257" s="20" t="s">
        <v>10279</v>
      </c>
      <c r="J257" s="21" t="s">
        <v>12041</v>
      </c>
      <c r="K257" s="21"/>
      <c r="L257" s="21"/>
      <c r="M257" s="21"/>
      <c r="N257" s="21"/>
      <c r="O257" s="21"/>
    </row>
    <row r="258" ht="15.75" customHeight="1">
      <c r="A258" s="22" t="s">
        <v>12042</v>
      </c>
      <c r="B258" s="22" t="s">
        <v>12043</v>
      </c>
      <c r="C258" s="22" t="s">
        <v>12044</v>
      </c>
      <c r="D258" s="22" t="s">
        <v>12045</v>
      </c>
      <c r="E258" s="22" t="s">
        <v>601</v>
      </c>
      <c r="F258" s="22" t="s">
        <v>601</v>
      </c>
      <c r="G258" s="22" t="s">
        <v>12046</v>
      </c>
      <c r="H258" s="22" t="s">
        <v>12047</v>
      </c>
      <c r="I258" s="22" t="s">
        <v>10279</v>
      </c>
      <c r="J258" s="22" t="s">
        <v>12048</v>
      </c>
      <c r="K258" s="22"/>
      <c r="L258" s="22"/>
      <c r="M258" s="22"/>
      <c r="N258" s="22"/>
      <c r="O258" s="22"/>
    </row>
    <row r="259" ht="15.75" customHeight="1">
      <c r="A259" s="20" t="s">
        <v>12049</v>
      </c>
      <c r="B259" s="20" t="s">
        <v>12050</v>
      </c>
      <c r="C259" s="20" t="s">
        <v>12051</v>
      </c>
      <c r="D259" s="20" t="s">
        <v>12052</v>
      </c>
      <c r="E259" s="20" t="s">
        <v>12053</v>
      </c>
      <c r="F259" s="20" t="s">
        <v>231</v>
      </c>
      <c r="G259" s="20" t="s">
        <v>12054</v>
      </c>
      <c r="H259" s="20"/>
      <c r="I259" s="20" t="s">
        <v>10279</v>
      </c>
      <c r="J259" s="21" t="s">
        <v>10321</v>
      </c>
      <c r="K259" s="21"/>
      <c r="L259" s="21"/>
      <c r="M259" s="21"/>
      <c r="N259" s="21"/>
      <c r="O259" s="21"/>
    </row>
    <row r="260" ht="15.75" customHeight="1">
      <c r="A260" s="22" t="s">
        <v>12055</v>
      </c>
      <c r="B260" s="22" t="s">
        <v>12056</v>
      </c>
      <c r="C260" s="22" t="s">
        <v>12057</v>
      </c>
      <c r="D260" s="22" t="s">
        <v>12058</v>
      </c>
      <c r="E260" s="22" t="s">
        <v>12059</v>
      </c>
      <c r="F260" s="22" t="s">
        <v>231</v>
      </c>
      <c r="G260" s="22" t="s">
        <v>12060</v>
      </c>
      <c r="H260" s="22" t="s">
        <v>12061</v>
      </c>
      <c r="I260" s="22" t="s">
        <v>10279</v>
      </c>
      <c r="J260" s="22" t="s">
        <v>12062</v>
      </c>
      <c r="K260" s="22"/>
      <c r="L260" s="22"/>
      <c r="M260" s="22"/>
      <c r="N260" s="22"/>
      <c r="O260" s="22"/>
    </row>
    <row r="261" ht="15.75" customHeight="1">
      <c r="A261" s="20" t="s">
        <v>12063</v>
      </c>
      <c r="B261" s="20" t="s">
        <v>12064</v>
      </c>
      <c r="C261" s="20" t="s">
        <v>12065</v>
      </c>
      <c r="D261" s="20" t="s">
        <v>12066</v>
      </c>
      <c r="E261" s="20" t="s">
        <v>12067</v>
      </c>
      <c r="F261" s="20" t="s">
        <v>231</v>
      </c>
      <c r="G261" s="20" t="s">
        <v>12068</v>
      </c>
      <c r="H261" s="20" t="s">
        <v>12069</v>
      </c>
      <c r="I261" s="20" t="s">
        <v>10279</v>
      </c>
      <c r="J261" s="21" t="s">
        <v>10280</v>
      </c>
      <c r="K261" s="21"/>
      <c r="L261" s="21"/>
      <c r="M261" s="21"/>
      <c r="N261" s="21"/>
      <c r="O261" s="21"/>
    </row>
    <row r="262" ht="15.75" customHeight="1">
      <c r="A262" s="22" t="s">
        <v>12070</v>
      </c>
      <c r="B262" s="22" t="s">
        <v>12071</v>
      </c>
      <c r="C262" s="22"/>
      <c r="D262" s="22" t="s">
        <v>12072</v>
      </c>
      <c r="E262" s="22" t="s">
        <v>12073</v>
      </c>
      <c r="F262" s="22" t="s">
        <v>1612</v>
      </c>
      <c r="G262" s="22" t="s">
        <v>12074</v>
      </c>
      <c r="H262" s="22" t="s">
        <v>12075</v>
      </c>
      <c r="I262" s="22" t="s">
        <v>10279</v>
      </c>
      <c r="J262" s="22" t="s">
        <v>12076</v>
      </c>
      <c r="K262" s="22"/>
      <c r="L262" s="22"/>
      <c r="M262" s="22"/>
      <c r="N262" s="22"/>
      <c r="O262" s="22"/>
    </row>
    <row r="263" ht="15.75" customHeight="1">
      <c r="A263" s="20" t="s">
        <v>12077</v>
      </c>
      <c r="B263" s="20" t="s">
        <v>12078</v>
      </c>
      <c r="C263" s="20" t="s">
        <v>12079</v>
      </c>
      <c r="D263" s="20" t="s">
        <v>12080</v>
      </c>
      <c r="E263" s="20" t="s">
        <v>12081</v>
      </c>
      <c r="F263" s="20" t="s">
        <v>55</v>
      </c>
      <c r="G263" s="20" t="s">
        <v>12082</v>
      </c>
      <c r="H263" s="20" t="s">
        <v>12083</v>
      </c>
      <c r="I263" s="20" t="s">
        <v>10279</v>
      </c>
      <c r="J263" s="21" t="s">
        <v>10328</v>
      </c>
      <c r="K263" s="21"/>
      <c r="L263" s="21"/>
      <c r="M263" s="21"/>
      <c r="N263" s="21"/>
      <c r="O263" s="21"/>
    </row>
    <row r="264" ht="15.75" customHeight="1">
      <c r="A264" s="22" t="s">
        <v>12084</v>
      </c>
      <c r="B264" s="22" t="s">
        <v>12085</v>
      </c>
      <c r="C264" s="22"/>
      <c r="D264" s="22" t="s">
        <v>12086</v>
      </c>
      <c r="E264" s="22" t="s">
        <v>55</v>
      </c>
      <c r="F264" s="22" t="s">
        <v>55</v>
      </c>
      <c r="G264" s="22" t="s">
        <v>12087</v>
      </c>
      <c r="H264" s="22" t="s">
        <v>12088</v>
      </c>
      <c r="I264" s="22" t="s">
        <v>10279</v>
      </c>
      <c r="J264" s="22" t="s">
        <v>12089</v>
      </c>
      <c r="K264" s="22"/>
      <c r="L264" s="22"/>
      <c r="M264" s="22"/>
      <c r="N264" s="22"/>
      <c r="O264" s="22"/>
    </row>
    <row r="265" ht="15.75" customHeight="1">
      <c r="A265" s="20" t="s">
        <v>12090</v>
      </c>
      <c r="B265" s="20"/>
      <c r="C265" s="20" t="s">
        <v>12091</v>
      </c>
      <c r="D265" s="20" t="s">
        <v>12092</v>
      </c>
      <c r="E265" s="20" t="s">
        <v>12093</v>
      </c>
      <c r="F265" s="20" t="s">
        <v>55</v>
      </c>
      <c r="G265" s="20" t="s">
        <v>12094</v>
      </c>
      <c r="H265" s="20" t="s">
        <v>12095</v>
      </c>
      <c r="I265" s="20" t="s">
        <v>10279</v>
      </c>
      <c r="J265" s="21" t="s">
        <v>11029</v>
      </c>
      <c r="K265" s="21" t="s">
        <v>12096</v>
      </c>
      <c r="L265" s="21" t="s">
        <v>12097</v>
      </c>
      <c r="M265" s="21" t="s">
        <v>12098</v>
      </c>
      <c r="N265" s="21" t="s">
        <v>12099</v>
      </c>
      <c r="O265" s="21" t="s">
        <v>12100</v>
      </c>
    </row>
    <row r="266" ht="15.75" customHeight="1">
      <c r="A266" s="22" t="s">
        <v>12101</v>
      </c>
      <c r="B266" s="22" t="s">
        <v>12102</v>
      </c>
      <c r="C266" s="22"/>
      <c r="D266" s="22" t="s">
        <v>12103</v>
      </c>
      <c r="E266" s="22" t="s">
        <v>6171</v>
      </c>
      <c r="F266" s="22" t="s">
        <v>231</v>
      </c>
      <c r="G266" s="22" t="s">
        <v>12104</v>
      </c>
      <c r="H266" s="22" t="s">
        <v>12105</v>
      </c>
      <c r="I266" s="22" t="s">
        <v>10279</v>
      </c>
      <c r="J266" s="22" t="s">
        <v>12106</v>
      </c>
      <c r="K266" s="22"/>
      <c r="L266" s="22"/>
      <c r="M266" s="22"/>
      <c r="N266" s="22"/>
      <c r="O266" s="22"/>
    </row>
    <row r="267" ht="15.75" customHeight="1">
      <c r="A267" s="20" t="s">
        <v>12107</v>
      </c>
      <c r="B267" s="20" t="s">
        <v>12108</v>
      </c>
      <c r="C267" s="20" t="s">
        <v>12109</v>
      </c>
      <c r="D267" s="20" t="s">
        <v>12110</v>
      </c>
      <c r="E267" s="20" t="s">
        <v>55</v>
      </c>
      <c r="F267" s="20" t="s">
        <v>55</v>
      </c>
      <c r="G267" s="20" t="s">
        <v>12111</v>
      </c>
      <c r="H267" s="20" t="s">
        <v>12112</v>
      </c>
      <c r="I267" s="20" t="s">
        <v>10279</v>
      </c>
      <c r="J267" s="21" t="s">
        <v>10321</v>
      </c>
      <c r="K267" s="21"/>
      <c r="L267" s="21"/>
      <c r="M267" s="21"/>
      <c r="N267" s="21"/>
      <c r="O267" s="21"/>
    </row>
    <row r="268" ht="15.75" customHeight="1">
      <c r="A268" s="22" t="s">
        <v>12113</v>
      </c>
      <c r="B268" s="22"/>
      <c r="C268" s="22"/>
      <c r="D268" s="22" t="s">
        <v>12114</v>
      </c>
      <c r="E268" s="22" t="s">
        <v>55</v>
      </c>
      <c r="F268" s="22" t="s">
        <v>55</v>
      </c>
      <c r="G268" s="22" t="s">
        <v>12115</v>
      </c>
      <c r="H268" s="22" t="s">
        <v>12116</v>
      </c>
      <c r="I268" s="22" t="s">
        <v>10279</v>
      </c>
      <c r="J268" s="22" t="s">
        <v>12117</v>
      </c>
      <c r="K268" s="22" t="s">
        <v>10472</v>
      </c>
      <c r="L268" s="22" t="s">
        <v>10473</v>
      </c>
      <c r="M268" s="22" t="s">
        <v>10474</v>
      </c>
      <c r="N268" s="22" t="s">
        <v>10475</v>
      </c>
      <c r="O268" s="22" t="s">
        <v>10476</v>
      </c>
    </row>
    <row r="269" ht="15.75" customHeight="1">
      <c r="A269" s="20" t="s">
        <v>12118</v>
      </c>
      <c r="B269" s="20" t="s">
        <v>12119</v>
      </c>
      <c r="C269" s="20" t="s">
        <v>12120</v>
      </c>
      <c r="D269" s="20" t="s">
        <v>12121</v>
      </c>
      <c r="E269" s="20" t="s">
        <v>698</v>
      </c>
      <c r="F269" s="20" t="s">
        <v>731</v>
      </c>
      <c r="G269" s="20" t="s">
        <v>12122</v>
      </c>
      <c r="H269" s="20" t="s">
        <v>12123</v>
      </c>
      <c r="I269" s="20" t="s">
        <v>10279</v>
      </c>
      <c r="J269" s="21" t="s">
        <v>12124</v>
      </c>
      <c r="K269" s="21"/>
      <c r="L269" s="21"/>
      <c r="M269" s="21"/>
      <c r="N269" s="21"/>
      <c r="O269" s="21"/>
    </row>
    <row r="270" ht="15.75" customHeight="1">
      <c r="A270" s="22" t="s">
        <v>12125</v>
      </c>
      <c r="B270" s="22" t="s">
        <v>12126</v>
      </c>
      <c r="C270" s="22" t="s">
        <v>12127</v>
      </c>
      <c r="D270" s="22" t="s">
        <v>12128</v>
      </c>
      <c r="E270" s="22" t="s">
        <v>231</v>
      </c>
      <c r="F270" s="22" t="s">
        <v>231</v>
      </c>
      <c r="G270" s="22" t="s">
        <v>12129</v>
      </c>
      <c r="H270" s="22" t="s">
        <v>12130</v>
      </c>
      <c r="I270" s="22" t="s">
        <v>10279</v>
      </c>
      <c r="J270" s="22" t="s">
        <v>10328</v>
      </c>
      <c r="K270" s="22"/>
      <c r="L270" s="22"/>
      <c r="M270" s="22"/>
      <c r="N270" s="22"/>
      <c r="O270" s="22"/>
    </row>
    <row r="271" ht="15.75" customHeight="1">
      <c r="A271" s="20" t="s">
        <v>12131</v>
      </c>
      <c r="B271" s="20"/>
      <c r="C271" s="20"/>
      <c r="D271" s="20" t="s">
        <v>12132</v>
      </c>
      <c r="E271" s="20" t="s">
        <v>231</v>
      </c>
      <c r="F271" s="20" t="s">
        <v>231</v>
      </c>
      <c r="G271" s="20" t="s">
        <v>12133</v>
      </c>
      <c r="H271" s="20" t="s">
        <v>12131</v>
      </c>
      <c r="I271" s="20" t="s">
        <v>10279</v>
      </c>
      <c r="J271" s="21" t="s">
        <v>10521</v>
      </c>
      <c r="K271" s="21"/>
      <c r="L271" s="21"/>
      <c r="M271" s="21"/>
      <c r="N271" s="21"/>
      <c r="O271" s="21"/>
    </row>
    <row r="272" ht="15.75" customHeight="1">
      <c r="A272" s="22" t="s">
        <v>12134</v>
      </c>
      <c r="B272" s="22" t="s">
        <v>12135</v>
      </c>
      <c r="C272" s="22" t="s">
        <v>12136</v>
      </c>
      <c r="D272" s="22" t="s">
        <v>12137</v>
      </c>
      <c r="E272" s="22" t="s">
        <v>12138</v>
      </c>
      <c r="F272" s="22" t="s">
        <v>231</v>
      </c>
      <c r="G272" s="22" t="s">
        <v>12139</v>
      </c>
      <c r="H272" s="22" t="s">
        <v>12140</v>
      </c>
      <c r="I272" s="22" t="s">
        <v>10279</v>
      </c>
      <c r="J272" s="22" t="s">
        <v>12141</v>
      </c>
      <c r="K272" s="22"/>
      <c r="L272" s="22"/>
      <c r="M272" s="22"/>
      <c r="N272" s="22"/>
      <c r="O272" s="22"/>
    </row>
    <row r="273" ht="15.75" customHeight="1">
      <c r="A273" s="20" t="s">
        <v>12142</v>
      </c>
      <c r="B273" s="20" t="s">
        <v>12143</v>
      </c>
      <c r="C273" s="20" t="s">
        <v>12144</v>
      </c>
      <c r="D273" s="20" t="s">
        <v>12145</v>
      </c>
      <c r="E273" s="20" t="s">
        <v>813</v>
      </c>
      <c r="F273" s="20" t="s">
        <v>813</v>
      </c>
      <c r="G273" s="20" t="s">
        <v>12146</v>
      </c>
      <c r="H273" s="20" t="s">
        <v>12147</v>
      </c>
      <c r="I273" s="20" t="s">
        <v>10279</v>
      </c>
      <c r="J273" s="21" t="s">
        <v>10569</v>
      </c>
      <c r="K273" s="21"/>
      <c r="L273" s="21"/>
      <c r="M273" s="21"/>
      <c r="N273" s="21"/>
      <c r="O273" s="21"/>
    </row>
    <row r="274" ht="15.75" customHeight="1">
      <c r="A274" s="22" t="s">
        <v>12148</v>
      </c>
      <c r="B274" s="22" t="s">
        <v>12149</v>
      </c>
      <c r="C274" s="22" t="s">
        <v>12150</v>
      </c>
      <c r="D274" s="22" t="s">
        <v>12151</v>
      </c>
      <c r="E274" s="22" t="s">
        <v>698</v>
      </c>
      <c r="F274" s="22" t="s">
        <v>731</v>
      </c>
      <c r="G274" s="22" t="s">
        <v>12152</v>
      </c>
      <c r="H274" s="22" t="s">
        <v>12153</v>
      </c>
      <c r="I274" s="22" t="s">
        <v>10279</v>
      </c>
      <c r="J274" s="22" t="s">
        <v>10394</v>
      </c>
      <c r="K274" s="22"/>
      <c r="L274" s="22"/>
      <c r="M274" s="22"/>
      <c r="N274" s="22"/>
      <c r="O274" s="22"/>
    </row>
    <row r="275" ht="15.75" customHeight="1">
      <c r="A275" s="20" t="s">
        <v>12154</v>
      </c>
      <c r="B275" s="20" t="s">
        <v>12155</v>
      </c>
      <c r="C275" s="20" t="s">
        <v>12156</v>
      </c>
      <c r="D275" s="20" t="s">
        <v>12157</v>
      </c>
      <c r="E275" s="20" t="s">
        <v>2837</v>
      </c>
      <c r="F275" s="20" t="s">
        <v>580</v>
      </c>
      <c r="G275" s="20" t="s">
        <v>12158</v>
      </c>
      <c r="H275" s="20" t="s">
        <v>12159</v>
      </c>
      <c r="I275" s="20" t="s">
        <v>10279</v>
      </c>
      <c r="J275" s="21" t="s">
        <v>12160</v>
      </c>
      <c r="K275" s="21"/>
      <c r="L275" s="21"/>
      <c r="M275" s="21"/>
      <c r="N275" s="21"/>
      <c r="O275" s="21"/>
    </row>
    <row r="276" ht="15.75" customHeight="1">
      <c r="A276" s="22" t="s">
        <v>12161</v>
      </c>
      <c r="B276" s="22" t="s">
        <v>12162</v>
      </c>
      <c r="C276" s="22" t="s">
        <v>12163</v>
      </c>
      <c r="D276" s="22" t="s">
        <v>12164</v>
      </c>
      <c r="E276" s="22" t="s">
        <v>489</v>
      </c>
      <c r="F276" s="22" t="s">
        <v>10629</v>
      </c>
      <c r="G276" s="22" t="s">
        <v>12165</v>
      </c>
      <c r="H276" s="22" t="s">
        <v>12166</v>
      </c>
      <c r="I276" s="22" t="s">
        <v>10279</v>
      </c>
      <c r="J276" s="22" t="s">
        <v>12167</v>
      </c>
      <c r="K276" s="22"/>
      <c r="L276" s="22"/>
      <c r="M276" s="22"/>
      <c r="N276" s="22"/>
      <c r="O276" s="22"/>
    </row>
    <row r="277" ht="15.75" customHeight="1">
      <c r="A277" s="20" t="s">
        <v>12168</v>
      </c>
      <c r="B277" s="20" t="s">
        <v>12169</v>
      </c>
      <c r="C277" s="20" t="s">
        <v>12170</v>
      </c>
      <c r="D277" s="20" t="s">
        <v>12171</v>
      </c>
      <c r="E277" s="20" t="s">
        <v>3008</v>
      </c>
      <c r="F277" s="20" t="s">
        <v>3008</v>
      </c>
      <c r="G277" s="20" t="s">
        <v>12172</v>
      </c>
      <c r="H277" s="20" t="s">
        <v>12173</v>
      </c>
      <c r="I277" s="20" t="s">
        <v>10279</v>
      </c>
      <c r="J277" s="21" t="s">
        <v>10280</v>
      </c>
      <c r="K277" s="21"/>
      <c r="L277" s="21"/>
      <c r="M277" s="21"/>
      <c r="N277" s="21"/>
      <c r="O277" s="21"/>
    </row>
    <row r="278" ht="15.75" customHeight="1">
      <c r="A278" s="22" t="s">
        <v>12174</v>
      </c>
      <c r="B278" s="22" t="s">
        <v>12175</v>
      </c>
      <c r="C278" s="22" t="s">
        <v>12176</v>
      </c>
      <c r="D278" s="22" t="s">
        <v>12177</v>
      </c>
      <c r="E278" s="22" t="s">
        <v>1198</v>
      </c>
      <c r="F278" s="22" t="s">
        <v>1198</v>
      </c>
      <c r="G278" s="22" t="s">
        <v>12178</v>
      </c>
      <c r="H278" s="22" t="s">
        <v>12179</v>
      </c>
      <c r="I278" s="22" t="s">
        <v>10279</v>
      </c>
      <c r="J278" s="22" t="s">
        <v>11698</v>
      </c>
      <c r="K278" s="22"/>
      <c r="L278" s="22"/>
      <c r="M278" s="22"/>
      <c r="N278" s="22"/>
      <c r="O278" s="22"/>
    </row>
    <row r="279" ht="15.75" customHeight="1">
      <c r="A279" s="20" t="s">
        <v>12180</v>
      </c>
      <c r="B279" s="20" t="s">
        <v>12181</v>
      </c>
      <c r="C279" s="20" t="s">
        <v>12182</v>
      </c>
      <c r="D279" s="20" t="s">
        <v>12183</v>
      </c>
      <c r="E279" s="20" t="s">
        <v>12184</v>
      </c>
      <c r="F279" s="20" t="s">
        <v>1427</v>
      </c>
      <c r="G279" s="20" t="s">
        <v>12185</v>
      </c>
      <c r="H279" s="20" t="s">
        <v>12186</v>
      </c>
      <c r="I279" s="20" t="s">
        <v>10279</v>
      </c>
      <c r="J279" s="21" t="s">
        <v>10280</v>
      </c>
      <c r="K279" s="21" t="s">
        <v>12187</v>
      </c>
      <c r="L279" s="21"/>
      <c r="M279" s="21"/>
      <c r="N279" s="21"/>
      <c r="O279" s="21"/>
    </row>
    <row r="280" ht="15.75" customHeight="1">
      <c r="A280" s="22" t="s">
        <v>12188</v>
      </c>
      <c r="B280" s="22" t="s">
        <v>12189</v>
      </c>
      <c r="C280" s="22" t="s">
        <v>12190</v>
      </c>
      <c r="D280" s="22" t="s">
        <v>12191</v>
      </c>
      <c r="E280" s="22" t="s">
        <v>2837</v>
      </c>
      <c r="F280" s="22" t="s">
        <v>580</v>
      </c>
      <c r="G280" s="22" t="s">
        <v>12192</v>
      </c>
      <c r="H280" s="22"/>
      <c r="I280" s="22" t="s">
        <v>10279</v>
      </c>
      <c r="J280" s="22" t="s">
        <v>12193</v>
      </c>
      <c r="K280" s="22"/>
      <c r="L280" s="22"/>
      <c r="M280" s="22"/>
      <c r="N280" s="22"/>
      <c r="O280" s="22"/>
    </row>
    <row r="281" ht="15.75" customHeight="1">
      <c r="A281" s="20" t="s">
        <v>12194</v>
      </c>
      <c r="B281" s="20" t="s">
        <v>12195</v>
      </c>
      <c r="C281" s="20" t="s">
        <v>12196</v>
      </c>
      <c r="D281" s="20" t="s">
        <v>12197</v>
      </c>
      <c r="E281" s="20" t="s">
        <v>4660</v>
      </c>
      <c r="F281" s="20" t="s">
        <v>1462</v>
      </c>
      <c r="G281" s="20" t="s">
        <v>12198</v>
      </c>
      <c r="H281" s="20" t="s">
        <v>12199</v>
      </c>
      <c r="I281" s="20" t="s">
        <v>10279</v>
      </c>
      <c r="J281" s="21" t="s">
        <v>10314</v>
      </c>
      <c r="K281" s="21"/>
      <c r="L281" s="21"/>
      <c r="M281" s="21"/>
      <c r="N281" s="21"/>
      <c r="O281" s="21"/>
    </row>
    <row r="282" ht="15.75" customHeight="1">
      <c r="A282" s="22" t="s">
        <v>12200</v>
      </c>
      <c r="B282" s="22" t="s">
        <v>12201</v>
      </c>
      <c r="C282" s="22" t="s">
        <v>12202</v>
      </c>
      <c r="D282" s="22" t="s">
        <v>12203</v>
      </c>
      <c r="E282" s="22" t="s">
        <v>12204</v>
      </c>
      <c r="F282" s="22" t="s">
        <v>5048</v>
      </c>
      <c r="G282" s="22" t="s">
        <v>12205</v>
      </c>
      <c r="H282" s="22" t="s">
        <v>12206</v>
      </c>
      <c r="I282" s="22" t="s">
        <v>10279</v>
      </c>
      <c r="J282" s="22" t="s">
        <v>10986</v>
      </c>
      <c r="K282" s="22"/>
      <c r="L282" s="22"/>
      <c r="M282" s="22"/>
      <c r="N282" s="22"/>
      <c r="O282" s="22"/>
    </row>
    <row r="283" ht="15.75" customHeight="1">
      <c r="A283" s="20" t="s">
        <v>12207</v>
      </c>
      <c r="B283" s="20" t="s">
        <v>12208</v>
      </c>
      <c r="C283" s="20" t="s">
        <v>12209</v>
      </c>
      <c r="D283" s="20" t="s">
        <v>12210</v>
      </c>
      <c r="E283" s="20" t="s">
        <v>12211</v>
      </c>
      <c r="F283" s="20" t="s">
        <v>10408</v>
      </c>
      <c r="G283" s="20" t="s">
        <v>12212</v>
      </c>
      <c r="H283" s="20" t="s">
        <v>12213</v>
      </c>
      <c r="I283" s="20" t="s">
        <v>10279</v>
      </c>
      <c r="J283" s="21" t="s">
        <v>10569</v>
      </c>
      <c r="K283" s="21"/>
      <c r="L283" s="21"/>
      <c r="M283" s="21"/>
      <c r="N283" s="21"/>
      <c r="O283" s="21"/>
    </row>
    <row r="284" ht="15.75" customHeight="1">
      <c r="A284" s="22" t="s">
        <v>12214</v>
      </c>
      <c r="B284" s="22" t="s">
        <v>12215</v>
      </c>
      <c r="C284" s="22" t="s">
        <v>12216</v>
      </c>
      <c r="D284" s="22" t="s">
        <v>12217</v>
      </c>
      <c r="E284" s="22" t="s">
        <v>12218</v>
      </c>
      <c r="F284" s="22" t="s">
        <v>231</v>
      </c>
      <c r="G284" s="22" t="s">
        <v>12219</v>
      </c>
      <c r="H284" s="22" t="s">
        <v>12214</v>
      </c>
      <c r="I284" s="22" t="s">
        <v>10279</v>
      </c>
      <c r="J284" s="22" t="s">
        <v>10845</v>
      </c>
      <c r="K284" s="22"/>
      <c r="L284" s="22"/>
      <c r="M284" s="22"/>
      <c r="N284" s="22"/>
      <c r="O284" s="22"/>
    </row>
    <row r="285" ht="15.75" customHeight="1">
      <c r="A285" s="20" t="s">
        <v>12220</v>
      </c>
      <c r="B285" s="20"/>
      <c r="C285" s="20"/>
      <c r="D285" s="20" t="s">
        <v>12221</v>
      </c>
      <c r="E285" s="20" t="s">
        <v>231</v>
      </c>
      <c r="F285" s="20" t="s">
        <v>231</v>
      </c>
      <c r="G285" s="20"/>
      <c r="H285" s="20"/>
      <c r="I285" s="20" t="s">
        <v>10279</v>
      </c>
      <c r="J285" s="21"/>
      <c r="K285" s="21"/>
      <c r="L285" s="21"/>
      <c r="M285" s="21"/>
      <c r="N285" s="21"/>
      <c r="O285" s="21"/>
    </row>
    <row r="286" ht="15.75" customHeight="1">
      <c r="A286" s="22" t="s">
        <v>12222</v>
      </c>
      <c r="B286" s="22" t="s">
        <v>12223</v>
      </c>
      <c r="C286" s="22" t="s">
        <v>12224</v>
      </c>
      <c r="D286" s="22" t="s">
        <v>12225</v>
      </c>
      <c r="E286" s="22" t="s">
        <v>55</v>
      </c>
      <c r="F286" s="22" t="s">
        <v>55</v>
      </c>
      <c r="G286" s="22" t="s">
        <v>12226</v>
      </c>
      <c r="H286" s="22" t="s">
        <v>12227</v>
      </c>
      <c r="I286" s="22" t="s">
        <v>10279</v>
      </c>
      <c r="J286" s="22" t="s">
        <v>12228</v>
      </c>
      <c r="K286" s="22" t="s">
        <v>12229</v>
      </c>
      <c r="L286" s="22" t="s">
        <v>12230</v>
      </c>
      <c r="M286" s="22" t="s">
        <v>12231</v>
      </c>
      <c r="N286" s="22" t="s">
        <v>12232</v>
      </c>
      <c r="O286" s="22" t="s">
        <v>12233</v>
      </c>
    </row>
    <row r="287" ht="15.75" customHeight="1">
      <c r="A287" s="20" t="s">
        <v>12234</v>
      </c>
      <c r="B287" s="20" t="s">
        <v>12235</v>
      </c>
      <c r="C287" s="20"/>
      <c r="D287" s="20" t="s">
        <v>12236</v>
      </c>
      <c r="E287" s="20" t="s">
        <v>231</v>
      </c>
      <c r="F287" s="20" t="s">
        <v>231</v>
      </c>
      <c r="G287" s="20" t="s">
        <v>12237</v>
      </c>
      <c r="H287" s="20" t="s">
        <v>12238</v>
      </c>
      <c r="I287" s="20" t="s">
        <v>10279</v>
      </c>
      <c r="J287" s="21" t="s">
        <v>12239</v>
      </c>
      <c r="K287" s="21"/>
      <c r="L287" s="21"/>
      <c r="M287" s="21"/>
      <c r="N287" s="21"/>
      <c r="O287" s="21"/>
    </row>
    <row r="288" ht="15.75" customHeight="1">
      <c r="A288" s="22" t="s">
        <v>12240</v>
      </c>
      <c r="B288" s="22" t="s">
        <v>12241</v>
      </c>
      <c r="C288" s="22" t="s">
        <v>12242</v>
      </c>
      <c r="D288" s="22" t="s">
        <v>12243</v>
      </c>
      <c r="E288" s="22" t="s">
        <v>7099</v>
      </c>
      <c r="F288" s="22" t="s">
        <v>231</v>
      </c>
      <c r="G288" s="22" t="s">
        <v>12244</v>
      </c>
      <c r="H288" s="22" t="s">
        <v>12245</v>
      </c>
      <c r="I288" s="22" t="s">
        <v>10279</v>
      </c>
      <c r="J288" s="22" t="s">
        <v>12106</v>
      </c>
      <c r="K288" s="22" t="s">
        <v>12246</v>
      </c>
      <c r="L288" s="22" t="s">
        <v>12247</v>
      </c>
      <c r="M288" s="22" t="s">
        <v>12248</v>
      </c>
      <c r="N288" s="22" t="s">
        <v>12249</v>
      </c>
      <c r="O288" s="22" t="s">
        <v>12250</v>
      </c>
    </row>
    <row r="289" ht="15.75" customHeight="1">
      <c r="A289" s="20" t="s">
        <v>12251</v>
      </c>
      <c r="B289" s="20"/>
      <c r="C289" s="20"/>
      <c r="D289" s="20" t="s">
        <v>12252</v>
      </c>
      <c r="E289" s="20" t="s">
        <v>1014</v>
      </c>
      <c r="F289" s="20" t="s">
        <v>1014</v>
      </c>
      <c r="G289" s="20" t="s">
        <v>12253</v>
      </c>
      <c r="H289" s="20"/>
      <c r="I289" s="20" t="s">
        <v>10279</v>
      </c>
      <c r="J289" s="21" t="s">
        <v>10280</v>
      </c>
      <c r="K289" s="21" t="s">
        <v>12254</v>
      </c>
      <c r="L289" s="21" t="s">
        <v>12255</v>
      </c>
      <c r="M289" s="21" t="s">
        <v>12256</v>
      </c>
      <c r="N289" s="21" t="s">
        <v>12257</v>
      </c>
      <c r="O289" s="21" t="s">
        <v>12258</v>
      </c>
    </row>
    <row r="290" ht="15.75" customHeight="1">
      <c r="A290" s="22" t="s">
        <v>12259</v>
      </c>
      <c r="B290" s="22" t="s">
        <v>12260</v>
      </c>
      <c r="C290" s="22" t="s">
        <v>12261</v>
      </c>
      <c r="D290" s="22" t="s">
        <v>12262</v>
      </c>
      <c r="E290" s="22" t="s">
        <v>12263</v>
      </c>
      <c r="F290" s="22" t="s">
        <v>3008</v>
      </c>
      <c r="G290" s="22" t="s">
        <v>12264</v>
      </c>
      <c r="H290" s="22" t="s">
        <v>12265</v>
      </c>
      <c r="I290" s="22" t="s">
        <v>10279</v>
      </c>
      <c r="J290" s="22" t="s">
        <v>12266</v>
      </c>
      <c r="K290" s="22"/>
      <c r="L290" s="22"/>
      <c r="M290" s="22"/>
      <c r="N290" s="22"/>
      <c r="O290" s="22"/>
    </row>
    <row r="291" ht="15.75" customHeight="1">
      <c r="A291" s="20" t="s">
        <v>12267</v>
      </c>
      <c r="B291" s="20"/>
      <c r="C291" s="20"/>
      <c r="D291" s="20" t="s">
        <v>12268</v>
      </c>
      <c r="E291" s="20" t="s">
        <v>813</v>
      </c>
      <c r="F291" s="20" t="s">
        <v>813</v>
      </c>
      <c r="G291" s="20" t="s">
        <v>12269</v>
      </c>
      <c r="H291" s="20" t="s">
        <v>12270</v>
      </c>
      <c r="I291" s="20" t="s">
        <v>10279</v>
      </c>
      <c r="J291" s="21" t="s">
        <v>10280</v>
      </c>
      <c r="K291" s="21" t="s">
        <v>11095</v>
      </c>
      <c r="L291" s="21" t="s">
        <v>11096</v>
      </c>
      <c r="M291" s="21" t="s">
        <v>11097</v>
      </c>
      <c r="N291" s="21" t="s">
        <v>11098</v>
      </c>
      <c r="O291" s="21" t="s">
        <v>11099</v>
      </c>
    </row>
    <row r="292" ht="15.75" customHeight="1">
      <c r="A292" s="22" t="s">
        <v>12271</v>
      </c>
      <c r="B292" s="22" t="s">
        <v>12272</v>
      </c>
      <c r="C292" s="22" t="s">
        <v>12273</v>
      </c>
      <c r="D292" s="22" t="s">
        <v>12274</v>
      </c>
      <c r="E292" s="22" t="s">
        <v>12275</v>
      </c>
      <c r="F292" s="22" t="s">
        <v>1612</v>
      </c>
      <c r="G292" s="22" t="s">
        <v>12276</v>
      </c>
      <c r="H292" s="22" t="s">
        <v>12277</v>
      </c>
      <c r="I292" s="22" t="s">
        <v>10279</v>
      </c>
      <c r="J292" s="22" t="s">
        <v>11685</v>
      </c>
      <c r="K292" s="22"/>
      <c r="L292" s="22"/>
      <c r="M292" s="22"/>
      <c r="N292" s="22"/>
      <c r="O292" s="22"/>
    </row>
    <row r="293" ht="15.75" customHeight="1">
      <c r="A293" s="20" t="s">
        <v>12278</v>
      </c>
      <c r="B293" s="20" t="s">
        <v>12279</v>
      </c>
      <c r="C293" s="20" t="s">
        <v>12280</v>
      </c>
      <c r="D293" s="20" t="s">
        <v>12281</v>
      </c>
      <c r="E293" s="20" t="s">
        <v>12282</v>
      </c>
      <c r="F293" s="20" t="s">
        <v>1929</v>
      </c>
      <c r="G293" s="20" t="s">
        <v>12283</v>
      </c>
      <c r="H293" s="20" t="s">
        <v>12284</v>
      </c>
      <c r="I293" s="20" t="s">
        <v>10279</v>
      </c>
      <c r="J293" s="21" t="s">
        <v>10569</v>
      </c>
      <c r="K293" s="21" t="s">
        <v>12285</v>
      </c>
      <c r="L293" s="21" t="s">
        <v>12286</v>
      </c>
      <c r="M293" s="21" t="s">
        <v>12287</v>
      </c>
      <c r="N293" s="21" t="s">
        <v>12288</v>
      </c>
      <c r="O293" s="21" t="s">
        <v>12289</v>
      </c>
    </row>
    <row r="294" ht="15.75" customHeight="1">
      <c r="A294" s="22" t="s">
        <v>12290</v>
      </c>
      <c r="B294" s="22" t="s">
        <v>12291</v>
      </c>
      <c r="C294" s="22" t="s">
        <v>12292</v>
      </c>
      <c r="D294" s="22" t="s">
        <v>12293</v>
      </c>
      <c r="E294" s="22" t="s">
        <v>698</v>
      </c>
      <c r="F294" s="22" t="s">
        <v>731</v>
      </c>
      <c r="G294" s="22" t="s">
        <v>12294</v>
      </c>
      <c r="H294" s="22" t="s">
        <v>12295</v>
      </c>
      <c r="I294" s="22" t="s">
        <v>10279</v>
      </c>
      <c r="J294" s="22" t="s">
        <v>10280</v>
      </c>
      <c r="K294" s="22" t="s">
        <v>12296</v>
      </c>
      <c r="L294" s="22" t="s">
        <v>12297</v>
      </c>
      <c r="M294" s="22"/>
      <c r="N294" s="22" t="s">
        <v>12298</v>
      </c>
      <c r="O294" s="22" t="s">
        <v>12299</v>
      </c>
    </row>
    <row r="295" ht="15.75" customHeight="1">
      <c r="A295" s="20" t="s">
        <v>12300</v>
      </c>
      <c r="B295" s="20" t="s">
        <v>12301</v>
      </c>
      <c r="C295" s="20" t="s">
        <v>12302</v>
      </c>
      <c r="D295" s="20" t="s">
        <v>12303</v>
      </c>
      <c r="E295" s="20" t="s">
        <v>129</v>
      </c>
      <c r="F295" s="20" t="s">
        <v>129</v>
      </c>
      <c r="G295" s="20" t="s">
        <v>12304</v>
      </c>
      <c r="H295" s="20" t="s">
        <v>12305</v>
      </c>
      <c r="I295" s="20" t="s">
        <v>10279</v>
      </c>
      <c r="J295" s="21" t="s">
        <v>10321</v>
      </c>
      <c r="K295" s="21" t="s">
        <v>12306</v>
      </c>
      <c r="L295" s="21" t="s">
        <v>12307</v>
      </c>
      <c r="M295" s="21"/>
      <c r="N295" s="21"/>
      <c r="O295" s="21"/>
    </row>
    <row r="296" ht="15.75" customHeight="1">
      <c r="A296" s="22" t="s">
        <v>12308</v>
      </c>
      <c r="B296" s="22" t="s">
        <v>12309</v>
      </c>
      <c r="C296" s="22"/>
      <c r="D296" s="22" t="s">
        <v>12310</v>
      </c>
      <c r="E296" s="22" t="s">
        <v>11006</v>
      </c>
      <c r="F296" s="22"/>
      <c r="G296" s="22" t="s">
        <v>11007</v>
      </c>
      <c r="H296" s="22"/>
      <c r="I296" s="22" t="s">
        <v>10279</v>
      </c>
      <c r="J296" s="22" t="s">
        <v>10394</v>
      </c>
      <c r="K296" s="22"/>
      <c r="L296" s="22"/>
      <c r="M296" s="22"/>
      <c r="N296" s="22"/>
      <c r="O296" s="22"/>
    </row>
    <row r="297" ht="15.75" customHeight="1">
      <c r="A297" s="20" t="s">
        <v>12311</v>
      </c>
      <c r="B297" s="20" t="s">
        <v>12312</v>
      </c>
      <c r="C297" s="20" t="s">
        <v>12313</v>
      </c>
      <c r="D297" s="20" t="s">
        <v>12314</v>
      </c>
      <c r="E297" s="20" t="s">
        <v>55</v>
      </c>
      <c r="F297" s="20" t="s">
        <v>55</v>
      </c>
      <c r="G297" s="20" t="s">
        <v>12315</v>
      </c>
      <c r="H297" s="20" t="s">
        <v>12316</v>
      </c>
      <c r="I297" s="20" t="s">
        <v>10279</v>
      </c>
      <c r="J297" s="21" t="s">
        <v>12317</v>
      </c>
      <c r="K297" s="21" t="s">
        <v>12318</v>
      </c>
      <c r="L297" s="21" t="s">
        <v>12319</v>
      </c>
      <c r="M297" s="21"/>
      <c r="N297" s="21"/>
      <c r="O297" s="21"/>
    </row>
    <row r="298" ht="15.75" customHeight="1">
      <c r="A298" s="22" t="s">
        <v>12320</v>
      </c>
      <c r="B298" s="22" t="s">
        <v>12321</v>
      </c>
      <c r="C298" s="22" t="s">
        <v>12322</v>
      </c>
      <c r="D298" s="22" t="s">
        <v>12323</v>
      </c>
      <c r="E298" s="22" t="s">
        <v>12324</v>
      </c>
      <c r="F298" s="22" t="s">
        <v>10408</v>
      </c>
      <c r="G298" s="22" t="s">
        <v>12325</v>
      </c>
      <c r="H298" s="22" t="s">
        <v>12326</v>
      </c>
      <c r="I298" s="22" t="s">
        <v>10279</v>
      </c>
      <c r="J298" s="22" t="s">
        <v>10280</v>
      </c>
      <c r="K298" s="22"/>
      <c r="L298" s="22"/>
      <c r="M298" s="22"/>
      <c r="N298" s="22"/>
      <c r="O298" s="22"/>
    </row>
    <row r="299" ht="15.75" customHeight="1">
      <c r="A299" s="20" t="s">
        <v>12327</v>
      </c>
      <c r="B299" s="20" t="s">
        <v>12328</v>
      </c>
      <c r="C299" s="20"/>
      <c r="D299" s="20" t="s">
        <v>12329</v>
      </c>
      <c r="E299" s="20" t="s">
        <v>55</v>
      </c>
      <c r="F299" s="20" t="s">
        <v>55</v>
      </c>
      <c r="G299" s="20" t="s">
        <v>12330</v>
      </c>
      <c r="H299" s="20" t="s">
        <v>12331</v>
      </c>
      <c r="I299" s="20" t="s">
        <v>10279</v>
      </c>
      <c r="J299" s="21" t="s">
        <v>10569</v>
      </c>
      <c r="K299" s="21"/>
      <c r="L299" s="21"/>
      <c r="M299" s="21"/>
      <c r="N299" s="21"/>
      <c r="O299" s="21"/>
    </row>
    <row r="300" ht="15.75" customHeight="1">
      <c r="A300" s="22" t="s">
        <v>12332</v>
      </c>
      <c r="B300" s="22" t="s">
        <v>12333</v>
      </c>
      <c r="C300" s="22" t="s">
        <v>12334</v>
      </c>
      <c r="D300" s="22" t="s">
        <v>12335</v>
      </c>
      <c r="E300" s="22" t="s">
        <v>231</v>
      </c>
      <c r="F300" s="22" t="s">
        <v>231</v>
      </c>
      <c r="G300" s="22" t="s">
        <v>12336</v>
      </c>
      <c r="H300" s="22" t="s">
        <v>12337</v>
      </c>
      <c r="I300" s="22" t="s">
        <v>10279</v>
      </c>
      <c r="J300" s="22" t="s">
        <v>10394</v>
      </c>
      <c r="K300" s="22"/>
      <c r="L300" s="22"/>
      <c r="M300" s="22"/>
      <c r="N300" s="22"/>
      <c r="O300" s="22"/>
    </row>
    <row r="301" ht="15.75" customHeight="1">
      <c r="A301" s="20" t="s">
        <v>12338</v>
      </c>
      <c r="B301" s="20" t="s">
        <v>12339</v>
      </c>
      <c r="C301" s="20" t="s">
        <v>12340</v>
      </c>
      <c r="D301" s="20" t="s">
        <v>12341</v>
      </c>
      <c r="E301" s="20" t="s">
        <v>129</v>
      </c>
      <c r="F301" s="20" t="s">
        <v>129</v>
      </c>
      <c r="G301" s="20" t="s">
        <v>12342</v>
      </c>
      <c r="H301" s="20" t="s">
        <v>12343</v>
      </c>
      <c r="I301" s="20" t="s">
        <v>10279</v>
      </c>
      <c r="J301" s="21" t="s">
        <v>12344</v>
      </c>
      <c r="K301" s="21"/>
      <c r="L301" s="21"/>
      <c r="M301" s="21"/>
      <c r="N301" s="21"/>
      <c r="O301" s="21"/>
    </row>
    <row r="302" ht="15.75" customHeight="1">
      <c r="A302" s="22" t="s">
        <v>12345</v>
      </c>
      <c r="B302" s="22" t="s">
        <v>12346</v>
      </c>
      <c r="C302" s="22"/>
      <c r="D302" s="22" t="s">
        <v>12347</v>
      </c>
      <c r="E302" s="22" t="s">
        <v>55</v>
      </c>
      <c r="F302" s="22" t="s">
        <v>55</v>
      </c>
      <c r="G302" s="22" t="s">
        <v>12348</v>
      </c>
      <c r="H302" s="22" t="s">
        <v>12349</v>
      </c>
      <c r="I302" s="22" t="s">
        <v>10279</v>
      </c>
      <c r="J302" s="22" t="s">
        <v>10314</v>
      </c>
      <c r="K302" s="22"/>
      <c r="L302" s="22"/>
      <c r="M302" s="22"/>
      <c r="N302" s="22"/>
      <c r="O302" s="22"/>
    </row>
    <row r="303" ht="15.75" customHeight="1">
      <c r="A303" s="20" t="s">
        <v>12350</v>
      </c>
      <c r="B303" s="20" t="s">
        <v>12351</v>
      </c>
      <c r="C303" s="20" t="s">
        <v>12352</v>
      </c>
      <c r="D303" s="20" t="s">
        <v>12353</v>
      </c>
      <c r="E303" s="20" t="s">
        <v>231</v>
      </c>
      <c r="F303" s="20" t="s">
        <v>231</v>
      </c>
      <c r="G303" s="20" t="s">
        <v>12354</v>
      </c>
      <c r="H303" s="20" t="s">
        <v>12355</v>
      </c>
      <c r="I303" s="20" t="s">
        <v>10279</v>
      </c>
      <c r="J303" s="21" t="s">
        <v>12356</v>
      </c>
      <c r="K303" s="21" t="s">
        <v>12357</v>
      </c>
      <c r="L303" s="21" t="s">
        <v>12358</v>
      </c>
      <c r="M303" s="21"/>
      <c r="N303" s="21"/>
      <c r="O303" s="21"/>
    </row>
    <row r="304" ht="15.75" customHeight="1">
      <c r="A304" s="22" t="s">
        <v>12359</v>
      </c>
      <c r="B304" s="22" t="s">
        <v>12360</v>
      </c>
      <c r="C304" s="22" t="s">
        <v>12361</v>
      </c>
      <c r="D304" s="22" t="s">
        <v>12362</v>
      </c>
      <c r="E304" s="22" t="s">
        <v>1961</v>
      </c>
      <c r="F304" s="22" t="s">
        <v>1961</v>
      </c>
      <c r="G304" s="22" t="s">
        <v>12363</v>
      </c>
      <c r="H304" s="22"/>
      <c r="I304" s="22" t="s">
        <v>10279</v>
      </c>
      <c r="J304" s="22" t="s">
        <v>12364</v>
      </c>
      <c r="K304" s="22"/>
      <c r="L304" s="22"/>
      <c r="M304" s="22"/>
      <c r="N304" s="22"/>
      <c r="O304" s="22"/>
    </row>
    <row r="305" ht="15.75" customHeight="1">
      <c r="A305" s="20" t="s">
        <v>12365</v>
      </c>
      <c r="B305" s="20" t="s">
        <v>12366</v>
      </c>
      <c r="C305" s="20" t="s">
        <v>12367</v>
      </c>
      <c r="D305" s="20" t="s">
        <v>12368</v>
      </c>
      <c r="E305" s="20" t="s">
        <v>55</v>
      </c>
      <c r="F305" s="20" t="s">
        <v>55</v>
      </c>
      <c r="G305" s="20" t="s">
        <v>12369</v>
      </c>
      <c r="H305" s="20" t="s">
        <v>12370</v>
      </c>
      <c r="I305" s="20" t="s">
        <v>10279</v>
      </c>
      <c r="J305" s="21" t="s">
        <v>10394</v>
      </c>
      <c r="K305" s="21"/>
      <c r="L305" s="21"/>
      <c r="M305" s="21"/>
      <c r="N305" s="21"/>
      <c r="O305" s="21"/>
    </row>
    <row r="306" ht="15.75" customHeight="1">
      <c r="A306" s="22" t="s">
        <v>12371</v>
      </c>
      <c r="B306" s="22" t="s">
        <v>12372</v>
      </c>
      <c r="C306" s="22" t="s">
        <v>12373</v>
      </c>
      <c r="D306" s="22" t="s">
        <v>12374</v>
      </c>
      <c r="E306" s="22" t="s">
        <v>813</v>
      </c>
      <c r="F306" s="22" t="s">
        <v>813</v>
      </c>
      <c r="G306" s="22" t="s">
        <v>12375</v>
      </c>
      <c r="H306" s="22" t="s">
        <v>12376</v>
      </c>
      <c r="I306" s="22" t="s">
        <v>10279</v>
      </c>
      <c r="J306" s="22" t="s">
        <v>10280</v>
      </c>
      <c r="K306" s="22" t="s">
        <v>12377</v>
      </c>
      <c r="L306" s="22" t="s">
        <v>11963</v>
      </c>
      <c r="M306" s="22"/>
      <c r="N306" s="22"/>
      <c r="O306" s="22"/>
    </row>
    <row r="307" ht="15.75" customHeight="1">
      <c r="A307" s="20" t="s">
        <v>12378</v>
      </c>
      <c r="B307" s="20" t="s">
        <v>12379</v>
      </c>
      <c r="C307" s="20" t="s">
        <v>12380</v>
      </c>
      <c r="D307" s="20" t="s">
        <v>12381</v>
      </c>
      <c r="E307" s="20" t="s">
        <v>12382</v>
      </c>
      <c r="F307" s="20" t="s">
        <v>231</v>
      </c>
      <c r="G307" s="20" t="s">
        <v>12383</v>
      </c>
      <c r="H307" s="20" t="s">
        <v>12384</v>
      </c>
      <c r="I307" s="20" t="s">
        <v>10279</v>
      </c>
      <c r="J307" s="21" t="s">
        <v>10852</v>
      </c>
      <c r="K307" s="21"/>
      <c r="L307" s="21"/>
      <c r="M307" s="21"/>
      <c r="N307" s="21"/>
      <c r="O307" s="21"/>
    </row>
    <row r="308" ht="15.75" customHeight="1">
      <c r="A308" s="22" t="s">
        <v>12385</v>
      </c>
      <c r="B308" s="22" t="s">
        <v>12386</v>
      </c>
      <c r="C308" s="22" t="s">
        <v>12387</v>
      </c>
      <c r="D308" s="22" t="s">
        <v>12388</v>
      </c>
      <c r="E308" s="22" t="s">
        <v>55</v>
      </c>
      <c r="F308" s="22" t="s">
        <v>55</v>
      </c>
      <c r="G308" s="22" t="s">
        <v>12389</v>
      </c>
      <c r="H308" s="22" t="s">
        <v>12390</v>
      </c>
      <c r="I308" s="22" t="s">
        <v>10279</v>
      </c>
      <c r="J308" s="22" t="s">
        <v>10884</v>
      </c>
      <c r="K308" s="22"/>
      <c r="L308" s="22"/>
      <c r="M308" s="22"/>
      <c r="N308" s="22"/>
      <c r="O308" s="22"/>
    </row>
    <row r="309" ht="15.75" customHeight="1">
      <c r="A309" s="20" t="s">
        <v>12391</v>
      </c>
      <c r="B309" s="20" t="s">
        <v>12392</v>
      </c>
      <c r="C309" s="20" t="s">
        <v>12393</v>
      </c>
      <c r="D309" s="20" t="s">
        <v>12394</v>
      </c>
      <c r="E309" s="20" t="s">
        <v>813</v>
      </c>
      <c r="F309" s="20" t="s">
        <v>813</v>
      </c>
      <c r="G309" s="20" t="s">
        <v>12395</v>
      </c>
      <c r="H309" s="20" t="s">
        <v>12396</v>
      </c>
      <c r="I309" s="20" t="s">
        <v>10279</v>
      </c>
      <c r="J309" s="21" t="s">
        <v>10280</v>
      </c>
      <c r="K309" s="21"/>
      <c r="L309" s="21"/>
      <c r="M309" s="21"/>
      <c r="N309" s="21"/>
      <c r="O309" s="21"/>
    </row>
    <row r="310" ht="15.75" customHeight="1">
      <c r="A310" s="22" t="s">
        <v>12397</v>
      </c>
      <c r="B310" s="22" t="s">
        <v>12398</v>
      </c>
      <c r="C310" s="22" t="s">
        <v>12399</v>
      </c>
      <c r="D310" s="22" t="s">
        <v>12400</v>
      </c>
      <c r="E310" s="22" t="s">
        <v>1612</v>
      </c>
      <c r="F310" s="22" t="s">
        <v>1612</v>
      </c>
      <c r="G310" s="22" t="s">
        <v>12401</v>
      </c>
      <c r="H310" s="22" t="s">
        <v>12402</v>
      </c>
      <c r="I310" s="22" t="s">
        <v>10279</v>
      </c>
      <c r="J310" s="22" t="s">
        <v>10321</v>
      </c>
      <c r="K310" s="22"/>
      <c r="L310" s="22"/>
      <c r="M310" s="22"/>
      <c r="N310" s="22"/>
      <c r="O310" s="22"/>
    </row>
    <row r="311" ht="15.75" customHeight="1">
      <c r="A311" s="20" t="s">
        <v>12403</v>
      </c>
      <c r="B311" s="20" t="s">
        <v>12404</v>
      </c>
      <c r="C311" s="20" t="s">
        <v>12405</v>
      </c>
      <c r="D311" s="20" t="s">
        <v>12406</v>
      </c>
      <c r="E311" s="20" t="s">
        <v>759</v>
      </c>
      <c r="F311" s="20" t="s">
        <v>759</v>
      </c>
      <c r="G311" s="20" t="s">
        <v>12407</v>
      </c>
      <c r="H311" s="20" t="s">
        <v>12408</v>
      </c>
      <c r="I311" s="20" t="s">
        <v>10279</v>
      </c>
      <c r="J311" s="21" t="s">
        <v>12409</v>
      </c>
      <c r="K311" s="21"/>
      <c r="L311" s="21"/>
      <c r="M311" s="21"/>
      <c r="N311" s="21"/>
      <c r="O311" s="21"/>
    </row>
    <row r="312" ht="15.75" customHeight="1">
      <c r="A312" s="22" t="s">
        <v>12410</v>
      </c>
      <c r="B312" s="22" t="s">
        <v>12411</v>
      </c>
      <c r="C312" s="22" t="s">
        <v>12412</v>
      </c>
      <c r="D312" s="22" t="s">
        <v>12413</v>
      </c>
      <c r="E312" s="22" t="s">
        <v>813</v>
      </c>
      <c r="F312" s="22" t="s">
        <v>813</v>
      </c>
      <c r="G312" s="22" t="s">
        <v>12414</v>
      </c>
      <c r="H312" s="22" t="s">
        <v>12415</v>
      </c>
      <c r="I312" s="22" t="s">
        <v>10279</v>
      </c>
      <c r="J312" s="22" t="s">
        <v>12416</v>
      </c>
      <c r="K312" s="22"/>
      <c r="L312" s="22"/>
      <c r="M312" s="22"/>
      <c r="N312" s="22"/>
      <c r="O312" s="22"/>
    </row>
    <row r="313" ht="15.75" customHeight="1">
      <c r="A313" s="20" t="s">
        <v>12417</v>
      </c>
      <c r="B313" s="20" t="s">
        <v>12418</v>
      </c>
      <c r="C313" s="20" t="s">
        <v>12419</v>
      </c>
      <c r="D313" s="20" t="s">
        <v>12420</v>
      </c>
      <c r="E313" s="20" t="s">
        <v>55</v>
      </c>
      <c r="F313" s="20" t="s">
        <v>55</v>
      </c>
      <c r="G313" s="20" t="s">
        <v>12421</v>
      </c>
      <c r="H313" s="20" t="s">
        <v>12422</v>
      </c>
      <c r="I313" s="20" t="s">
        <v>10279</v>
      </c>
      <c r="J313" s="21" t="s">
        <v>10673</v>
      </c>
      <c r="K313" s="21"/>
      <c r="L313" s="21"/>
      <c r="M313" s="21"/>
      <c r="N313" s="21"/>
      <c r="O313" s="21"/>
    </row>
    <row r="314" ht="15.75" customHeight="1">
      <c r="A314" s="22" t="s">
        <v>12423</v>
      </c>
      <c r="B314" s="22" t="s">
        <v>12424</v>
      </c>
      <c r="C314" s="22" t="s">
        <v>12425</v>
      </c>
      <c r="D314" s="22" t="s">
        <v>12426</v>
      </c>
      <c r="E314" s="22" t="s">
        <v>12427</v>
      </c>
      <c r="F314" s="22" t="s">
        <v>55</v>
      </c>
      <c r="G314" s="22" t="s">
        <v>12428</v>
      </c>
      <c r="H314" s="22" t="s">
        <v>12429</v>
      </c>
      <c r="I314" s="22" t="s">
        <v>10279</v>
      </c>
      <c r="J314" s="22" t="s">
        <v>10583</v>
      </c>
      <c r="K314" s="22"/>
      <c r="L314" s="22"/>
      <c r="M314" s="22"/>
      <c r="N314" s="22"/>
      <c r="O314" s="22"/>
    </row>
    <row r="315" ht="15.75" customHeight="1">
      <c r="A315" s="20" t="s">
        <v>12430</v>
      </c>
      <c r="B315" s="20" t="s">
        <v>12431</v>
      </c>
      <c r="C315" s="20" t="s">
        <v>12432</v>
      </c>
      <c r="D315" s="20" t="s">
        <v>12433</v>
      </c>
      <c r="E315" s="20" t="s">
        <v>55</v>
      </c>
      <c r="F315" s="20" t="s">
        <v>55</v>
      </c>
      <c r="G315" s="20" t="s">
        <v>12434</v>
      </c>
      <c r="H315" s="20" t="s">
        <v>12435</v>
      </c>
      <c r="I315" s="20" t="s">
        <v>10279</v>
      </c>
      <c r="J315" s="21" t="s">
        <v>11815</v>
      </c>
      <c r="K315" s="21"/>
      <c r="L315" s="21"/>
      <c r="M315" s="21"/>
      <c r="N315" s="21"/>
      <c r="O315" s="21"/>
    </row>
    <row r="316" ht="15.75" customHeight="1">
      <c r="A316" s="22" t="s">
        <v>12436</v>
      </c>
      <c r="B316" s="22" t="s">
        <v>12437</v>
      </c>
      <c r="C316" s="22" t="s">
        <v>12438</v>
      </c>
      <c r="D316" s="22" t="s">
        <v>12439</v>
      </c>
      <c r="E316" s="22" t="s">
        <v>12440</v>
      </c>
      <c r="F316" s="22" t="s">
        <v>5380</v>
      </c>
      <c r="G316" s="22" t="s">
        <v>12441</v>
      </c>
      <c r="H316" s="22" t="s">
        <v>12442</v>
      </c>
      <c r="I316" s="22" t="s">
        <v>10279</v>
      </c>
      <c r="J316" s="22" t="s">
        <v>10341</v>
      </c>
      <c r="K316" s="22"/>
      <c r="L316" s="22"/>
      <c r="M316" s="22"/>
      <c r="N316" s="22"/>
      <c r="O316" s="22"/>
    </row>
    <row r="317" ht="15.75" customHeight="1">
      <c r="A317" s="20" t="s">
        <v>12443</v>
      </c>
      <c r="B317" s="20" t="s">
        <v>12444</v>
      </c>
      <c r="C317" s="20" t="s">
        <v>12445</v>
      </c>
      <c r="D317" s="20" t="s">
        <v>12446</v>
      </c>
      <c r="E317" s="20" t="s">
        <v>231</v>
      </c>
      <c r="F317" s="20" t="s">
        <v>231</v>
      </c>
      <c r="G317" s="20" t="s">
        <v>12447</v>
      </c>
      <c r="H317" s="20" t="s">
        <v>12448</v>
      </c>
      <c r="I317" s="20" t="s">
        <v>10279</v>
      </c>
      <c r="J317" s="21" t="s">
        <v>10280</v>
      </c>
      <c r="K317" s="21"/>
      <c r="L317" s="21"/>
      <c r="M317" s="21"/>
      <c r="N317" s="21"/>
      <c r="O317" s="21"/>
    </row>
    <row r="318" ht="15.75" customHeight="1">
      <c r="A318" s="22" t="s">
        <v>12449</v>
      </c>
      <c r="B318" s="22" t="s">
        <v>12450</v>
      </c>
      <c r="C318" s="22" t="s">
        <v>12451</v>
      </c>
      <c r="D318" s="22" t="s">
        <v>12452</v>
      </c>
      <c r="E318" s="22" t="s">
        <v>12453</v>
      </c>
      <c r="F318" s="22" t="s">
        <v>10698</v>
      </c>
      <c r="G318" s="22" t="s">
        <v>12454</v>
      </c>
      <c r="H318" s="22" t="s">
        <v>12455</v>
      </c>
      <c r="I318" s="22" t="s">
        <v>10279</v>
      </c>
      <c r="J318" s="22" t="s">
        <v>12456</v>
      </c>
      <c r="K318" s="22"/>
      <c r="L318" s="22"/>
      <c r="M318" s="22"/>
      <c r="N318" s="22"/>
      <c r="O318" s="22"/>
    </row>
    <row r="319" ht="15.75" customHeight="1">
      <c r="A319" s="20" t="s">
        <v>12457</v>
      </c>
      <c r="B319" s="20" t="s">
        <v>12458</v>
      </c>
      <c r="C319" s="20" t="s">
        <v>12459</v>
      </c>
      <c r="D319" s="20" t="s">
        <v>12460</v>
      </c>
      <c r="E319" s="20" t="s">
        <v>12461</v>
      </c>
      <c r="F319" s="20" t="s">
        <v>601</v>
      </c>
      <c r="G319" s="20" t="s">
        <v>12462</v>
      </c>
      <c r="H319" s="20" t="s">
        <v>12463</v>
      </c>
      <c r="I319" s="20" t="s">
        <v>10279</v>
      </c>
      <c r="J319" s="21" t="s">
        <v>10590</v>
      </c>
      <c r="K319" s="21"/>
      <c r="L319" s="21"/>
      <c r="M319" s="21"/>
      <c r="N319" s="21"/>
      <c r="O319" s="21"/>
    </row>
    <row r="320" ht="15.75" customHeight="1">
      <c r="A320" s="22" t="s">
        <v>12464</v>
      </c>
      <c r="B320" s="22" t="s">
        <v>12465</v>
      </c>
      <c r="C320" s="22" t="s">
        <v>12466</v>
      </c>
      <c r="D320" s="22" t="s">
        <v>12467</v>
      </c>
      <c r="E320" s="22" t="s">
        <v>1014</v>
      </c>
      <c r="F320" s="22" t="s">
        <v>1014</v>
      </c>
      <c r="G320" s="22" t="s">
        <v>12468</v>
      </c>
      <c r="H320" s="22" t="s">
        <v>12469</v>
      </c>
      <c r="I320" s="22" t="s">
        <v>10279</v>
      </c>
      <c r="J320" s="22" t="s">
        <v>12470</v>
      </c>
      <c r="K320" s="22"/>
      <c r="L320" s="22"/>
      <c r="M320" s="22"/>
      <c r="N320" s="22"/>
      <c r="O320" s="22"/>
    </row>
    <row r="321" ht="15.75" customHeight="1">
      <c r="A321" s="20" t="s">
        <v>12471</v>
      </c>
      <c r="B321" s="20" t="s">
        <v>12472</v>
      </c>
      <c r="C321" s="20" t="s">
        <v>12473</v>
      </c>
      <c r="D321" s="20" t="s">
        <v>12474</v>
      </c>
      <c r="E321" s="20" t="s">
        <v>12475</v>
      </c>
      <c r="F321" s="20" t="s">
        <v>10698</v>
      </c>
      <c r="G321" s="20" t="s">
        <v>12476</v>
      </c>
      <c r="H321" s="20" t="s">
        <v>12477</v>
      </c>
      <c r="I321" s="20" t="s">
        <v>10279</v>
      </c>
      <c r="J321" s="21" t="s">
        <v>12478</v>
      </c>
      <c r="K321" s="21"/>
      <c r="L321" s="21"/>
      <c r="M321" s="21"/>
      <c r="N321" s="21"/>
      <c r="O321" s="21"/>
    </row>
    <row r="322" ht="15.75" customHeight="1">
      <c r="A322" s="22" t="s">
        <v>12479</v>
      </c>
      <c r="B322" s="22" t="s">
        <v>12480</v>
      </c>
      <c r="C322" s="22" t="s">
        <v>12481</v>
      </c>
      <c r="D322" s="22" t="s">
        <v>12482</v>
      </c>
      <c r="E322" s="22" t="s">
        <v>262</v>
      </c>
      <c r="F322" s="22" t="s">
        <v>262</v>
      </c>
      <c r="G322" s="22" t="s">
        <v>12483</v>
      </c>
      <c r="H322" s="22" t="s">
        <v>12484</v>
      </c>
      <c r="I322" s="22" t="s">
        <v>10279</v>
      </c>
      <c r="J322" s="22" t="s">
        <v>10321</v>
      </c>
      <c r="K322" s="22"/>
      <c r="L322" s="22"/>
      <c r="M322" s="22"/>
      <c r="N322" s="22"/>
      <c r="O322" s="22"/>
    </row>
    <row r="323" ht="15.75" customHeight="1">
      <c r="A323" s="20" t="s">
        <v>12485</v>
      </c>
      <c r="B323" s="20" t="s">
        <v>12486</v>
      </c>
      <c r="C323" s="20" t="s">
        <v>12487</v>
      </c>
      <c r="D323" s="20" t="s">
        <v>12488</v>
      </c>
      <c r="E323" s="20" t="s">
        <v>2473</v>
      </c>
      <c r="F323" s="20" t="s">
        <v>55</v>
      </c>
      <c r="G323" s="20" t="s">
        <v>12489</v>
      </c>
      <c r="H323" s="20" t="s">
        <v>12490</v>
      </c>
      <c r="I323" s="20" t="s">
        <v>10279</v>
      </c>
      <c r="J323" s="21" t="s">
        <v>12491</v>
      </c>
      <c r="K323" s="21"/>
      <c r="L323" s="21"/>
      <c r="M323" s="21"/>
      <c r="N323" s="21"/>
      <c r="O323" s="21"/>
    </row>
    <row r="324" ht="15.75" customHeight="1">
      <c r="A324" s="22" t="s">
        <v>12492</v>
      </c>
      <c r="B324" s="22" t="s">
        <v>12493</v>
      </c>
      <c r="C324" s="22" t="s">
        <v>12494</v>
      </c>
      <c r="D324" s="22" t="s">
        <v>12495</v>
      </c>
      <c r="E324" s="22" t="s">
        <v>55</v>
      </c>
      <c r="F324" s="22" t="s">
        <v>55</v>
      </c>
      <c r="G324" s="22" t="s">
        <v>12496</v>
      </c>
      <c r="H324" s="22" t="s">
        <v>12497</v>
      </c>
      <c r="I324" s="22" t="s">
        <v>10279</v>
      </c>
      <c r="J324" s="22" t="s">
        <v>11405</v>
      </c>
      <c r="K324" s="22"/>
      <c r="L324" s="22"/>
      <c r="M324" s="22"/>
      <c r="N324" s="22"/>
      <c r="O324" s="22"/>
    </row>
    <row r="325" ht="15.75" customHeight="1">
      <c r="A325" s="20" t="s">
        <v>12498</v>
      </c>
      <c r="B325" s="20"/>
      <c r="C325" s="20"/>
      <c r="D325" s="20" t="s">
        <v>12499</v>
      </c>
      <c r="E325" s="20" t="s">
        <v>395</v>
      </c>
      <c r="F325" s="20" t="s">
        <v>395</v>
      </c>
      <c r="G325" s="20" t="s">
        <v>12500</v>
      </c>
      <c r="H325" s="20" t="s">
        <v>12501</v>
      </c>
      <c r="I325" s="20" t="s">
        <v>10279</v>
      </c>
      <c r="J325" s="21" t="s">
        <v>11301</v>
      </c>
      <c r="K325" s="21" t="s">
        <v>12502</v>
      </c>
      <c r="L325" s="21" t="s">
        <v>12503</v>
      </c>
      <c r="M325" s="21" t="s">
        <v>12504</v>
      </c>
      <c r="N325" s="21" t="s">
        <v>12505</v>
      </c>
      <c r="O325" s="21" t="s">
        <v>12506</v>
      </c>
    </row>
    <row r="326" ht="15.75" customHeight="1">
      <c r="A326" s="22" t="s">
        <v>12507</v>
      </c>
      <c r="B326" s="22" t="s">
        <v>12508</v>
      </c>
      <c r="C326" s="22" t="s">
        <v>12509</v>
      </c>
      <c r="D326" s="22" t="s">
        <v>12510</v>
      </c>
      <c r="E326" s="22" t="s">
        <v>12511</v>
      </c>
      <c r="F326" s="22" t="s">
        <v>231</v>
      </c>
      <c r="G326" s="22" t="s">
        <v>12512</v>
      </c>
      <c r="H326" s="22" t="s">
        <v>12513</v>
      </c>
      <c r="I326" s="22" t="s">
        <v>10279</v>
      </c>
      <c r="J326" s="22" t="s">
        <v>10280</v>
      </c>
      <c r="K326" s="22"/>
      <c r="L326" s="22"/>
      <c r="M326" s="22"/>
      <c r="N326" s="22"/>
      <c r="O326" s="22"/>
    </row>
    <row r="327" ht="15.75" customHeight="1">
      <c r="A327" s="20" t="s">
        <v>12514</v>
      </c>
      <c r="B327" s="20" t="s">
        <v>12515</v>
      </c>
      <c r="C327" s="20" t="s">
        <v>12516</v>
      </c>
      <c r="D327" s="20" t="s">
        <v>12517</v>
      </c>
      <c r="E327" s="20" t="s">
        <v>1014</v>
      </c>
      <c r="F327" s="20" t="s">
        <v>1014</v>
      </c>
      <c r="G327" s="20" t="s">
        <v>12518</v>
      </c>
      <c r="H327" s="20" t="s">
        <v>12519</v>
      </c>
      <c r="I327" s="20" t="s">
        <v>10279</v>
      </c>
      <c r="J327" s="21" t="s">
        <v>12520</v>
      </c>
      <c r="K327" s="21"/>
      <c r="L327" s="21"/>
      <c r="M327" s="21"/>
      <c r="N327" s="21"/>
      <c r="O327" s="21"/>
    </row>
    <row r="328" ht="15.75" customHeight="1">
      <c r="A328" s="22" t="s">
        <v>12521</v>
      </c>
      <c r="B328" s="22" t="s">
        <v>12522</v>
      </c>
      <c r="C328" s="22"/>
      <c r="D328" s="22" t="s">
        <v>12523</v>
      </c>
      <c r="E328" s="22" t="s">
        <v>100</v>
      </c>
      <c r="F328" s="22" t="s">
        <v>100</v>
      </c>
      <c r="G328" s="22" t="s">
        <v>12524</v>
      </c>
      <c r="H328" s="22" t="s">
        <v>12525</v>
      </c>
      <c r="I328" s="22" t="s">
        <v>10279</v>
      </c>
      <c r="J328" s="22" t="s">
        <v>10280</v>
      </c>
      <c r="K328" s="22"/>
      <c r="L328" s="22"/>
      <c r="M328" s="22"/>
      <c r="N328" s="22"/>
      <c r="O328" s="22"/>
    </row>
    <row r="329" ht="15.75" customHeight="1">
      <c r="A329" s="20" t="s">
        <v>12526</v>
      </c>
      <c r="B329" s="20" t="s">
        <v>12527</v>
      </c>
      <c r="C329" s="20"/>
      <c r="D329" s="20" t="s">
        <v>12528</v>
      </c>
      <c r="E329" s="20"/>
      <c r="F329" s="20"/>
      <c r="G329" s="20" t="s">
        <v>12529</v>
      </c>
      <c r="H329" s="20" t="s">
        <v>12530</v>
      </c>
      <c r="I329" s="20" t="s">
        <v>10279</v>
      </c>
      <c r="J329" s="21" t="s">
        <v>10280</v>
      </c>
      <c r="K329" s="21" t="s">
        <v>12531</v>
      </c>
      <c r="L329" s="21" t="s">
        <v>12532</v>
      </c>
      <c r="M329" s="21" t="s">
        <v>12533</v>
      </c>
      <c r="N329" s="21" t="s">
        <v>12534</v>
      </c>
      <c r="O329" s="21"/>
    </row>
    <row r="330" ht="15.75" customHeight="1">
      <c r="A330" s="22" t="s">
        <v>12535</v>
      </c>
      <c r="B330" s="22" t="s">
        <v>12536</v>
      </c>
      <c r="C330" s="22" t="s">
        <v>12537</v>
      </c>
      <c r="D330" s="22" t="s">
        <v>12538</v>
      </c>
      <c r="E330" s="22" t="s">
        <v>231</v>
      </c>
      <c r="F330" s="22" t="s">
        <v>231</v>
      </c>
      <c r="G330" s="22" t="s">
        <v>12539</v>
      </c>
      <c r="H330" s="22" t="s">
        <v>12540</v>
      </c>
      <c r="I330" s="22" t="s">
        <v>10279</v>
      </c>
      <c r="J330" s="22" t="s">
        <v>12491</v>
      </c>
      <c r="K330" s="22"/>
      <c r="L330" s="22"/>
      <c r="M330" s="22"/>
      <c r="N330" s="22"/>
      <c r="O330" s="22"/>
    </row>
    <row r="331" ht="15.75" customHeight="1">
      <c r="A331" s="20" t="s">
        <v>12541</v>
      </c>
      <c r="B331" s="20" t="s">
        <v>12542</v>
      </c>
      <c r="C331" s="20" t="s">
        <v>12543</v>
      </c>
      <c r="D331" s="20" t="s">
        <v>12544</v>
      </c>
      <c r="E331" s="20" t="s">
        <v>55</v>
      </c>
      <c r="F331" s="20" t="s">
        <v>55</v>
      </c>
      <c r="G331" s="20" t="s">
        <v>12545</v>
      </c>
      <c r="H331" s="20" t="s">
        <v>12546</v>
      </c>
      <c r="I331" s="20" t="s">
        <v>10279</v>
      </c>
      <c r="J331" s="21" t="s">
        <v>10328</v>
      </c>
      <c r="K331" s="21" t="s">
        <v>12547</v>
      </c>
      <c r="L331" s="21" t="s">
        <v>12548</v>
      </c>
      <c r="M331" s="21"/>
      <c r="N331" s="21"/>
      <c r="O331" s="21"/>
    </row>
    <row r="332" ht="15.75" customHeight="1">
      <c r="A332" s="22" t="s">
        <v>12549</v>
      </c>
      <c r="B332" s="22" t="s">
        <v>12550</v>
      </c>
      <c r="C332" s="22" t="s">
        <v>12551</v>
      </c>
      <c r="D332" s="22" t="s">
        <v>12552</v>
      </c>
      <c r="E332" s="22" t="s">
        <v>129</v>
      </c>
      <c r="F332" s="22" t="s">
        <v>129</v>
      </c>
      <c r="G332" s="22" t="s">
        <v>12553</v>
      </c>
      <c r="H332" s="22" t="s">
        <v>12554</v>
      </c>
      <c r="I332" s="22" t="s">
        <v>10279</v>
      </c>
      <c r="J332" s="22" t="s">
        <v>10280</v>
      </c>
      <c r="K332" s="22"/>
      <c r="L332" s="22"/>
      <c r="M332" s="22"/>
      <c r="N332" s="22"/>
      <c r="O332" s="22"/>
    </row>
    <row r="333" ht="15.75" customHeight="1">
      <c r="A333" s="20" t="s">
        <v>12555</v>
      </c>
      <c r="B333" s="20" t="s">
        <v>12556</v>
      </c>
      <c r="C333" s="20" t="s">
        <v>12557</v>
      </c>
      <c r="D333" s="20" t="s">
        <v>12558</v>
      </c>
      <c r="E333" s="20" t="s">
        <v>12559</v>
      </c>
      <c r="F333" s="20" t="s">
        <v>5480</v>
      </c>
      <c r="G333" s="20" t="s">
        <v>12560</v>
      </c>
      <c r="H333" s="20" t="s">
        <v>12561</v>
      </c>
      <c r="I333" s="20" t="s">
        <v>10279</v>
      </c>
      <c r="J333" s="21" t="s">
        <v>12562</v>
      </c>
      <c r="K333" s="21"/>
      <c r="L333" s="21"/>
      <c r="M333" s="21"/>
      <c r="N333" s="21"/>
      <c r="O333" s="21"/>
    </row>
    <row r="334" ht="15.75" customHeight="1">
      <c r="A334" s="22" t="s">
        <v>12563</v>
      </c>
      <c r="B334" s="22" t="s">
        <v>12564</v>
      </c>
      <c r="C334" s="22" t="s">
        <v>12565</v>
      </c>
      <c r="D334" s="22" t="s">
        <v>12566</v>
      </c>
      <c r="E334" s="22" t="s">
        <v>813</v>
      </c>
      <c r="F334" s="22" t="s">
        <v>813</v>
      </c>
      <c r="G334" s="22" t="s">
        <v>12567</v>
      </c>
      <c r="H334" s="22" t="s">
        <v>12568</v>
      </c>
      <c r="I334" s="22" t="s">
        <v>10279</v>
      </c>
      <c r="J334" s="22" t="s">
        <v>10394</v>
      </c>
      <c r="K334" s="22" t="s">
        <v>12569</v>
      </c>
      <c r="L334" s="22" t="s">
        <v>12570</v>
      </c>
      <c r="M334" s="22" t="s">
        <v>12571</v>
      </c>
      <c r="N334" s="22" t="s">
        <v>12572</v>
      </c>
      <c r="O334" s="22" t="s">
        <v>12573</v>
      </c>
    </row>
    <row r="335" ht="15.75" customHeight="1">
      <c r="A335" s="20" t="s">
        <v>12574</v>
      </c>
      <c r="B335" s="20" t="s">
        <v>12575</v>
      </c>
      <c r="C335" s="20"/>
      <c r="D335" s="20" t="s">
        <v>12576</v>
      </c>
      <c r="E335" s="20" t="s">
        <v>231</v>
      </c>
      <c r="F335" s="20" t="s">
        <v>231</v>
      </c>
      <c r="G335" s="20" t="s">
        <v>12577</v>
      </c>
      <c r="H335" s="20" t="s">
        <v>12578</v>
      </c>
      <c r="I335" s="20" t="s">
        <v>10279</v>
      </c>
      <c r="J335" s="21" t="s">
        <v>10280</v>
      </c>
      <c r="K335" s="21"/>
      <c r="L335" s="21"/>
      <c r="M335" s="21"/>
      <c r="N335" s="21"/>
      <c r="O335" s="21"/>
    </row>
    <row r="336" ht="15.75" customHeight="1">
      <c r="A336" s="22" t="s">
        <v>12579</v>
      </c>
      <c r="B336" s="22" t="s">
        <v>12580</v>
      </c>
      <c r="C336" s="22" t="s">
        <v>12581</v>
      </c>
      <c r="D336" s="22" t="s">
        <v>12582</v>
      </c>
      <c r="E336" s="22" t="s">
        <v>231</v>
      </c>
      <c r="F336" s="22" t="s">
        <v>231</v>
      </c>
      <c r="G336" s="22" t="s">
        <v>12583</v>
      </c>
      <c r="H336" s="22" t="s">
        <v>12584</v>
      </c>
      <c r="I336" s="22" t="s">
        <v>10279</v>
      </c>
      <c r="J336" s="22" t="s">
        <v>10328</v>
      </c>
      <c r="K336" s="22"/>
      <c r="L336" s="22"/>
      <c r="M336" s="22"/>
      <c r="N336" s="22"/>
      <c r="O336" s="22"/>
    </row>
    <row r="337" ht="15.75" customHeight="1">
      <c r="A337" s="20" t="s">
        <v>12585</v>
      </c>
      <c r="B337" s="20" t="s">
        <v>12586</v>
      </c>
      <c r="C337" s="20" t="s">
        <v>12587</v>
      </c>
      <c r="D337" s="20" t="s">
        <v>12588</v>
      </c>
      <c r="E337" s="20" t="s">
        <v>231</v>
      </c>
      <c r="F337" s="20" t="s">
        <v>231</v>
      </c>
      <c r="G337" s="20" t="s">
        <v>12589</v>
      </c>
      <c r="H337" s="20" t="s">
        <v>12590</v>
      </c>
      <c r="I337" s="20" t="s">
        <v>10279</v>
      </c>
      <c r="J337" s="21" t="s">
        <v>10280</v>
      </c>
      <c r="K337" s="21"/>
      <c r="L337" s="21"/>
      <c r="M337" s="21"/>
      <c r="N337" s="21"/>
      <c r="O337" s="21"/>
    </row>
    <row r="338" ht="15.75" customHeight="1">
      <c r="A338" s="22" t="s">
        <v>12591</v>
      </c>
      <c r="B338" s="22" t="s">
        <v>12592</v>
      </c>
      <c r="C338" s="22"/>
      <c r="D338" s="22" t="s">
        <v>12593</v>
      </c>
      <c r="E338" s="22" t="s">
        <v>10828</v>
      </c>
      <c r="F338" s="22" t="s">
        <v>1612</v>
      </c>
      <c r="G338" s="22" t="s">
        <v>12594</v>
      </c>
      <c r="H338" s="22" t="s">
        <v>12595</v>
      </c>
      <c r="I338" s="22" t="s">
        <v>10279</v>
      </c>
      <c r="J338" s="22" t="s">
        <v>10569</v>
      </c>
      <c r="K338" s="22"/>
      <c r="L338" s="22"/>
      <c r="M338" s="22"/>
      <c r="N338" s="22"/>
      <c r="O338" s="22"/>
    </row>
    <row r="339" ht="15.75" customHeight="1">
      <c r="A339" s="20" t="s">
        <v>12596</v>
      </c>
      <c r="B339" s="20" t="s">
        <v>12597</v>
      </c>
      <c r="C339" s="20"/>
      <c r="D339" s="20" t="s">
        <v>12598</v>
      </c>
      <c r="E339" s="20" t="s">
        <v>12599</v>
      </c>
      <c r="F339" s="20" t="s">
        <v>3008</v>
      </c>
      <c r="G339" s="20" t="s">
        <v>12600</v>
      </c>
      <c r="H339" s="20"/>
      <c r="I339" s="20" t="s">
        <v>10279</v>
      </c>
      <c r="J339" s="21" t="s">
        <v>12601</v>
      </c>
      <c r="K339" s="21"/>
      <c r="L339" s="21"/>
      <c r="M339" s="21"/>
      <c r="N339" s="21"/>
      <c r="O339" s="21"/>
    </row>
    <row r="340" ht="15.75" customHeight="1">
      <c r="A340" s="22" t="s">
        <v>12602</v>
      </c>
      <c r="B340" s="22" t="s">
        <v>12603</v>
      </c>
      <c r="C340" s="22" t="s">
        <v>12604</v>
      </c>
      <c r="D340" s="22" t="s">
        <v>12605</v>
      </c>
      <c r="E340" s="22" t="s">
        <v>12606</v>
      </c>
      <c r="F340" s="22" t="s">
        <v>395</v>
      </c>
      <c r="G340" s="22" t="s">
        <v>12607</v>
      </c>
      <c r="H340" s="22" t="s">
        <v>12608</v>
      </c>
      <c r="I340" s="22" t="s">
        <v>10279</v>
      </c>
      <c r="J340" s="22" t="s">
        <v>10928</v>
      </c>
      <c r="K340" s="22"/>
      <c r="L340" s="22"/>
      <c r="M340" s="22"/>
      <c r="N340" s="22"/>
      <c r="O340" s="22"/>
    </row>
    <row r="341" ht="15.75" customHeight="1">
      <c r="A341" s="20" t="s">
        <v>12609</v>
      </c>
      <c r="B341" s="20"/>
      <c r="C341" s="20" t="s">
        <v>12610</v>
      </c>
      <c r="D341" s="20" t="s">
        <v>12611</v>
      </c>
      <c r="E341" s="20" t="s">
        <v>55</v>
      </c>
      <c r="F341" s="20" t="s">
        <v>55</v>
      </c>
      <c r="G341" s="20" t="s">
        <v>12612</v>
      </c>
      <c r="H341" s="20" t="s">
        <v>12613</v>
      </c>
      <c r="I341" s="20" t="s">
        <v>10279</v>
      </c>
      <c r="J341" s="21" t="s">
        <v>12614</v>
      </c>
      <c r="K341" s="21"/>
      <c r="L341" s="21"/>
      <c r="M341" s="21"/>
      <c r="N341" s="21"/>
      <c r="O341" s="21"/>
    </row>
    <row r="342" ht="15.75" customHeight="1">
      <c r="A342" s="22" t="s">
        <v>12615</v>
      </c>
      <c r="B342" s="22" t="s">
        <v>12616</v>
      </c>
      <c r="C342" s="22" t="s">
        <v>12617</v>
      </c>
      <c r="D342" s="22" t="s">
        <v>12618</v>
      </c>
      <c r="E342" s="22" t="s">
        <v>12619</v>
      </c>
      <c r="F342" s="22" t="s">
        <v>1014</v>
      </c>
      <c r="G342" s="22" t="s">
        <v>12620</v>
      </c>
      <c r="H342" s="22" t="s">
        <v>12621</v>
      </c>
      <c r="I342" s="22" t="s">
        <v>10279</v>
      </c>
      <c r="J342" s="22" t="s">
        <v>10459</v>
      </c>
      <c r="K342" s="22"/>
      <c r="L342" s="22"/>
      <c r="M342" s="22"/>
      <c r="N342" s="22"/>
      <c r="O342" s="22"/>
    </row>
    <row r="343" ht="15.75" customHeight="1">
      <c r="A343" s="20" t="s">
        <v>12622</v>
      </c>
      <c r="B343" s="20" t="s">
        <v>12623</v>
      </c>
      <c r="C343" s="20"/>
      <c r="D343" s="20" t="s">
        <v>12624</v>
      </c>
      <c r="E343" s="20" t="s">
        <v>12625</v>
      </c>
      <c r="F343" s="20" t="s">
        <v>55</v>
      </c>
      <c r="G343" s="20" t="s">
        <v>12626</v>
      </c>
      <c r="H343" s="20"/>
      <c r="I343" s="20" t="s">
        <v>10279</v>
      </c>
      <c r="J343" s="21" t="s">
        <v>11685</v>
      </c>
      <c r="K343" s="21"/>
      <c r="L343" s="21"/>
      <c r="M343" s="21"/>
      <c r="N343" s="21"/>
      <c r="O343" s="21"/>
    </row>
    <row r="344" ht="15.75" customHeight="1">
      <c r="A344" s="22" t="s">
        <v>12627</v>
      </c>
      <c r="B344" s="22" t="s">
        <v>12628</v>
      </c>
      <c r="C344" s="22" t="s">
        <v>12629</v>
      </c>
      <c r="D344" s="22" t="s">
        <v>12630</v>
      </c>
      <c r="E344" s="22" t="s">
        <v>231</v>
      </c>
      <c r="F344" s="22" t="s">
        <v>231</v>
      </c>
      <c r="G344" s="22" t="s">
        <v>12631</v>
      </c>
      <c r="H344" s="22" t="s">
        <v>12632</v>
      </c>
      <c r="I344" s="22" t="s">
        <v>10279</v>
      </c>
      <c r="J344" s="22" t="s">
        <v>12633</v>
      </c>
      <c r="K344" s="22"/>
      <c r="L344" s="22"/>
      <c r="M344" s="22"/>
      <c r="N344" s="22"/>
      <c r="O344" s="22"/>
    </row>
    <row r="345" ht="15.75" customHeight="1">
      <c r="A345" s="20" t="s">
        <v>12634</v>
      </c>
      <c r="B345" s="20" t="s">
        <v>12635</v>
      </c>
      <c r="C345" s="20" t="s">
        <v>12636</v>
      </c>
      <c r="D345" s="20" t="s">
        <v>12637</v>
      </c>
      <c r="E345" s="20" t="s">
        <v>231</v>
      </c>
      <c r="F345" s="20" t="s">
        <v>231</v>
      </c>
      <c r="G345" s="20" t="s">
        <v>12638</v>
      </c>
      <c r="H345" s="20" t="s">
        <v>12639</v>
      </c>
      <c r="I345" s="20" t="s">
        <v>10279</v>
      </c>
      <c r="J345" s="21" t="s">
        <v>10837</v>
      </c>
      <c r="K345" s="21"/>
      <c r="L345" s="21"/>
      <c r="M345" s="21"/>
      <c r="N345" s="21"/>
      <c r="O345" s="21"/>
    </row>
    <row r="346" ht="15.75" customHeight="1">
      <c r="A346" s="22" t="s">
        <v>12640</v>
      </c>
      <c r="B346" s="22"/>
      <c r="C346" s="22"/>
      <c r="D346" s="22" t="s">
        <v>12641</v>
      </c>
      <c r="E346" s="22" t="s">
        <v>12642</v>
      </c>
      <c r="F346" s="22" t="s">
        <v>5480</v>
      </c>
      <c r="G346" s="22"/>
      <c r="H346" s="22"/>
      <c r="I346" s="22" t="s">
        <v>10279</v>
      </c>
      <c r="J346" s="22"/>
      <c r="K346" s="22"/>
      <c r="L346" s="22"/>
      <c r="M346" s="22"/>
      <c r="N346" s="22"/>
      <c r="O346" s="22"/>
    </row>
    <row r="347" ht="15.75" customHeight="1">
      <c r="A347" s="20" t="s">
        <v>12643</v>
      </c>
      <c r="B347" s="20" t="s">
        <v>12644</v>
      </c>
      <c r="C347" s="20" t="s">
        <v>12645</v>
      </c>
      <c r="D347" s="20" t="s">
        <v>12646</v>
      </c>
      <c r="E347" s="20" t="s">
        <v>231</v>
      </c>
      <c r="F347" s="20" t="s">
        <v>231</v>
      </c>
      <c r="G347" s="20" t="s">
        <v>12647</v>
      </c>
      <c r="H347" s="20" t="s">
        <v>12648</v>
      </c>
      <c r="I347" s="20" t="s">
        <v>10279</v>
      </c>
      <c r="J347" s="21" t="s">
        <v>10394</v>
      </c>
      <c r="K347" s="21"/>
      <c r="L347" s="21"/>
      <c r="M347" s="21"/>
      <c r="N347" s="21"/>
      <c r="O347" s="21"/>
    </row>
    <row r="348" ht="15.75" customHeight="1">
      <c r="A348" s="22" t="s">
        <v>12649</v>
      </c>
      <c r="B348" s="22" t="s">
        <v>11364</v>
      </c>
      <c r="C348" s="22"/>
      <c r="D348" s="22" t="s">
        <v>12650</v>
      </c>
      <c r="E348" s="22" t="s">
        <v>231</v>
      </c>
      <c r="F348" s="22" t="s">
        <v>231</v>
      </c>
      <c r="G348" s="22" t="s">
        <v>12651</v>
      </c>
      <c r="H348" s="22"/>
      <c r="I348" s="22" t="s">
        <v>10279</v>
      </c>
      <c r="J348" s="22" t="s">
        <v>12652</v>
      </c>
      <c r="K348" s="22" t="s">
        <v>11361</v>
      </c>
      <c r="L348" s="22" t="s">
        <v>11362</v>
      </c>
      <c r="M348" s="22" t="s">
        <v>11363</v>
      </c>
      <c r="N348" s="22" t="s">
        <v>11364</v>
      </c>
      <c r="O348" s="22" t="s">
        <v>11365</v>
      </c>
    </row>
    <row r="349" ht="15.75" customHeight="1">
      <c r="A349" s="20" t="s">
        <v>12653</v>
      </c>
      <c r="B349" s="20" t="s">
        <v>12654</v>
      </c>
      <c r="C349" s="20" t="s">
        <v>12242</v>
      </c>
      <c r="D349" s="20" t="s">
        <v>12655</v>
      </c>
      <c r="E349" s="20" t="s">
        <v>12656</v>
      </c>
      <c r="F349" s="20" t="s">
        <v>231</v>
      </c>
      <c r="G349" s="20" t="s">
        <v>12657</v>
      </c>
      <c r="H349" s="20" t="s">
        <v>12658</v>
      </c>
      <c r="I349" s="20" t="s">
        <v>10279</v>
      </c>
      <c r="J349" s="21" t="s">
        <v>12659</v>
      </c>
      <c r="K349" s="21"/>
      <c r="L349" s="21"/>
      <c r="M349" s="21"/>
      <c r="N349" s="21"/>
      <c r="O349" s="21"/>
    </row>
    <row r="350" ht="15.75" customHeight="1">
      <c r="A350" s="22" t="s">
        <v>12660</v>
      </c>
      <c r="B350" s="22" t="s">
        <v>12661</v>
      </c>
      <c r="C350" s="22" t="s">
        <v>12662</v>
      </c>
      <c r="D350" s="22" t="s">
        <v>12663</v>
      </c>
      <c r="E350" s="22" t="s">
        <v>12664</v>
      </c>
      <c r="F350" s="22" t="s">
        <v>231</v>
      </c>
      <c r="G350" s="22" t="s">
        <v>12665</v>
      </c>
      <c r="H350" s="22" t="s">
        <v>12666</v>
      </c>
      <c r="I350" s="22" t="s">
        <v>10279</v>
      </c>
      <c r="J350" s="22" t="s">
        <v>12193</v>
      </c>
      <c r="K350" s="22"/>
      <c r="L350" s="22"/>
      <c r="M350" s="22"/>
      <c r="N350" s="22"/>
      <c r="O350" s="22"/>
    </row>
    <row r="351" ht="15.75" customHeight="1">
      <c r="A351" s="20" t="s">
        <v>12667</v>
      </c>
      <c r="B351" s="20" t="s">
        <v>12668</v>
      </c>
      <c r="C351" s="20" t="s">
        <v>12669</v>
      </c>
      <c r="D351" s="20" t="s">
        <v>12670</v>
      </c>
      <c r="E351" s="20" t="s">
        <v>231</v>
      </c>
      <c r="F351" s="20" t="s">
        <v>231</v>
      </c>
      <c r="G351" s="20" t="s">
        <v>12671</v>
      </c>
      <c r="H351" s="20" t="s">
        <v>12672</v>
      </c>
      <c r="I351" s="20" t="s">
        <v>10279</v>
      </c>
      <c r="J351" s="21" t="s">
        <v>10280</v>
      </c>
      <c r="K351" s="21"/>
      <c r="L351" s="21"/>
      <c r="M351" s="21"/>
      <c r="N351" s="21"/>
      <c r="O351" s="21"/>
    </row>
    <row r="352" ht="15.75" customHeight="1">
      <c r="A352" s="22" t="s">
        <v>12673</v>
      </c>
      <c r="B352" s="22" t="s">
        <v>12674</v>
      </c>
      <c r="C352" s="22" t="s">
        <v>12675</v>
      </c>
      <c r="D352" s="22" t="s">
        <v>12676</v>
      </c>
      <c r="E352" s="22" t="s">
        <v>12677</v>
      </c>
      <c r="F352" s="22" t="s">
        <v>1014</v>
      </c>
      <c r="G352" s="22" t="s">
        <v>12678</v>
      </c>
      <c r="H352" s="22" t="s">
        <v>12679</v>
      </c>
      <c r="I352" s="22" t="s">
        <v>10279</v>
      </c>
      <c r="J352" s="22" t="s">
        <v>12680</v>
      </c>
      <c r="K352" s="22"/>
      <c r="L352" s="22"/>
      <c r="M352" s="22"/>
      <c r="N352" s="22"/>
      <c r="O352" s="22"/>
    </row>
    <row r="353" ht="15.75" customHeight="1">
      <c r="A353" s="20" t="s">
        <v>12681</v>
      </c>
      <c r="B353" s="20"/>
      <c r="C353" s="20" t="s">
        <v>12682</v>
      </c>
      <c r="D353" s="20" t="s">
        <v>12683</v>
      </c>
      <c r="E353" s="20" t="s">
        <v>129</v>
      </c>
      <c r="F353" s="20" t="s">
        <v>129</v>
      </c>
      <c r="G353" s="20" t="s">
        <v>12684</v>
      </c>
      <c r="H353" s="20" t="s">
        <v>12685</v>
      </c>
      <c r="I353" s="20" t="s">
        <v>10279</v>
      </c>
      <c r="J353" s="21" t="s">
        <v>11815</v>
      </c>
      <c r="K353" s="21"/>
      <c r="L353" s="21"/>
      <c r="M353" s="21"/>
      <c r="N353" s="21"/>
      <c r="O353" s="21"/>
    </row>
    <row r="354" ht="15.75" customHeight="1">
      <c r="A354" s="22" t="s">
        <v>12686</v>
      </c>
      <c r="B354" s="22" t="s">
        <v>12687</v>
      </c>
      <c r="C354" s="22" t="s">
        <v>12688</v>
      </c>
      <c r="D354" s="22" t="s">
        <v>12689</v>
      </c>
      <c r="E354" s="22" t="s">
        <v>12690</v>
      </c>
      <c r="F354" s="22" t="s">
        <v>231</v>
      </c>
      <c r="G354" s="22" t="s">
        <v>12691</v>
      </c>
      <c r="H354" s="22" t="s">
        <v>12692</v>
      </c>
      <c r="I354" s="22" t="s">
        <v>10279</v>
      </c>
      <c r="J354" s="22" t="s">
        <v>12693</v>
      </c>
      <c r="K354" s="22"/>
      <c r="L354" s="22"/>
      <c r="M354" s="22"/>
      <c r="N354" s="22"/>
      <c r="O354" s="22"/>
    </row>
    <row r="355" ht="15.75" customHeight="1">
      <c r="A355" s="20" t="s">
        <v>12694</v>
      </c>
      <c r="B355" s="20" t="s">
        <v>12695</v>
      </c>
      <c r="C355" s="20" t="s">
        <v>12696</v>
      </c>
      <c r="D355" s="20" t="s">
        <v>12697</v>
      </c>
      <c r="E355" s="20" t="s">
        <v>55</v>
      </c>
      <c r="F355" s="20" t="s">
        <v>55</v>
      </c>
      <c r="G355" s="20" t="s">
        <v>12698</v>
      </c>
      <c r="H355" s="20" t="s">
        <v>12699</v>
      </c>
      <c r="I355" s="20" t="s">
        <v>10279</v>
      </c>
      <c r="J355" s="21" t="s">
        <v>10341</v>
      </c>
      <c r="K355" s="21"/>
      <c r="L355" s="21"/>
      <c r="M355" s="21"/>
      <c r="N355" s="21"/>
      <c r="O355" s="21"/>
    </row>
    <row r="356" ht="15.75" customHeight="1">
      <c r="A356" s="22" t="s">
        <v>12700</v>
      </c>
      <c r="B356" s="22" t="s">
        <v>12701</v>
      </c>
      <c r="C356" s="22" t="s">
        <v>12702</v>
      </c>
      <c r="D356" s="22" t="s">
        <v>12703</v>
      </c>
      <c r="E356" s="22" t="s">
        <v>7469</v>
      </c>
      <c r="F356" s="22" t="s">
        <v>1612</v>
      </c>
      <c r="G356" s="22" t="s">
        <v>11604</v>
      </c>
      <c r="H356" s="22" t="s">
        <v>12704</v>
      </c>
      <c r="I356" s="22" t="s">
        <v>10279</v>
      </c>
      <c r="J356" s="22" t="s">
        <v>10928</v>
      </c>
      <c r="K356" s="22"/>
      <c r="L356" s="22"/>
      <c r="M356" s="22"/>
      <c r="N356" s="22"/>
      <c r="O356" s="22"/>
    </row>
    <row r="357" ht="15.75" customHeight="1">
      <c r="A357" s="20" t="s">
        <v>12705</v>
      </c>
      <c r="B357" s="20" t="s">
        <v>12706</v>
      </c>
      <c r="C357" s="20" t="s">
        <v>12707</v>
      </c>
      <c r="D357" s="20" t="s">
        <v>12708</v>
      </c>
      <c r="E357" s="20" t="s">
        <v>12709</v>
      </c>
      <c r="F357" s="20" t="s">
        <v>4846</v>
      </c>
      <c r="G357" s="20" t="s">
        <v>12710</v>
      </c>
      <c r="H357" s="20" t="s">
        <v>12711</v>
      </c>
      <c r="I357" s="20" t="s">
        <v>10279</v>
      </c>
      <c r="J357" s="21" t="s">
        <v>11405</v>
      </c>
      <c r="K357" s="21"/>
      <c r="L357" s="21"/>
      <c r="M357" s="21"/>
      <c r="N357" s="21"/>
      <c r="O357" s="21"/>
    </row>
    <row r="358" ht="15.75" customHeight="1">
      <c r="A358" s="22" t="s">
        <v>12712</v>
      </c>
      <c r="B358" s="22" t="s">
        <v>12713</v>
      </c>
      <c r="C358" s="22" t="s">
        <v>12714</v>
      </c>
      <c r="D358" s="22" t="s">
        <v>12715</v>
      </c>
      <c r="E358" s="22" t="s">
        <v>55</v>
      </c>
      <c r="F358" s="22" t="s">
        <v>55</v>
      </c>
      <c r="G358" s="22" t="s">
        <v>12716</v>
      </c>
      <c r="H358" s="22" t="s">
        <v>12717</v>
      </c>
      <c r="I358" s="22" t="s">
        <v>10279</v>
      </c>
      <c r="J358" s="22" t="s">
        <v>10280</v>
      </c>
      <c r="K358" s="22"/>
      <c r="L358" s="22"/>
      <c r="M358" s="22"/>
      <c r="N358" s="22"/>
      <c r="O358" s="22"/>
    </row>
    <row r="359" ht="15.75" customHeight="1">
      <c r="A359" s="20" t="s">
        <v>12718</v>
      </c>
      <c r="B359" s="20" t="s">
        <v>12719</v>
      </c>
      <c r="C359" s="20" t="s">
        <v>12720</v>
      </c>
      <c r="D359" s="20" t="s">
        <v>12721</v>
      </c>
      <c r="E359" s="20" t="s">
        <v>129</v>
      </c>
      <c r="F359" s="20" t="s">
        <v>129</v>
      </c>
      <c r="G359" s="20" t="s">
        <v>12722</v>
      </c>
      <c r="H359" s="20" t="s">
        <v>12723</v>
      </c>
      <c r="I359" s="20" t="s">
        <v>10279</v>
      </c>
      <c r="J359" s="21" t="s">
        <v>10394</v>
      </c>
      <c r="K359" s="21"/>
      <c r="L359" s="21"/>
      <c r="M359" s="21"/>
      <c r="N359" s="21"/>
      <c r="O359" s="21"/>
    </row>
    <row r="360" ht="15.75" customHeight="1">
      <c r="A360" s="22" t="s">
        <v>12724</v>
      </c>
      <c r="B360" s="22" t="s">
        <v>12725</v>
      </c>
      <c r="C360" s="22" t="s">
        <v>12726</v>
      </c>
      <c r="D360" s="22" t="s">
        <v>12727</v>
      </c>
      <c r="E360" s="22" t="s">
        <v>12625</v>
      </c>
      <c r="F360" s="22" t="s">
        <v>55</v>
      </c>
      <c r="G360" s="22" t="s">
        <v>12728</v>
      </c>
      <c r="H360" s="22" t="s">
        <v>12729</v>
      </c>
      <c r="I360" s="22" t="s">
        <v>10279</v>
      </c>
      <c r="J360" s="22" t="s">
        <v>12730</v>
      </c>
      <c r="K360" s="22"/>
      <c r="L360" s="22"/>
      <c r="M360" s="22"/>
      <c r="N360" s="22"/>
      <c r="O360" s="22"/>
    </row>
    <row r="361" ht="15.75" customHeight="1">
      <c r="A361" s="20" t="s">
        <v>12731</v>
      </c>
      <c r="B361" s="20" t="s">
        <v>12732</v>
      </c>
      <c r="C361" s="20"/>
      <c r="D361" s="20" t="s">
        <v>12733</v>
      </c>
      <c r="E361" s="20" t="s">
        <v>12734</v>
      </c>
      <c r="F361" s="20" t="s">
        <v>55</v>
      </c>
      <c r="G361" s="20" t="s">
        <v>12735</v>
      </c>
      <c r="H361" s="20" t="s">
        <v>12736</v>
      </c>
      <c r="I361" s="20" t="s">
        <v>10279</v>
      </c>
      <c r="J361" s="21" t="s">
        <v>12228</v>
      </c>
      <c r="K361" s="21" t="s">
        <v>12229</v>
      </c>
      <c r="L361" s="21" t="s">
        <v>12230</v>
      </c>
      <c r="M361" s="21" t="s">
        <v>12231</v>
      </c>
      <c r="N361" s="21" t="s">
        <v>12232</v>
      </c>
      <c r="O361" s="21" t="s">
        <v>12233</v>
      </c>
    </row>
    <row r="362" ht="15.75" customHeight="1">
      <c r="A362" s="22" t="s">
        <v>12737</v>
      </c>
      <c r="B362" s="22" t="s">
        <v>12738</v>
      </c>
      <c r="C362" s="22" t="s">
        <v>12739</v>
      </c>
      <c r="D362" s="22" t="s">
        <v>12740</v>
      </c>
      <c r="E362" s="22" t="s">
        <v>12741</v>
      </c>
      <c r="F362" s="22" t="s">
        <v>5480</v>
      </c>
      <c r="G362" s="22" t="s">
        <v>12742</v>
      </c>
      <c r="H362" s="22" t="s">
        <v>12743</v>
      </c>
      <c r="I362" s="22" t="s">
        <v>10279</v>
      </c>
      <c r="J362" s="22" t="s">
        <v>12744</v>
      </c>
      <c r="K362" s="22"/>
      <c r="L362" s="22"/>
      <c r="M362" s="22"/>
      <c r="N362" s="22"/>
      <c r="O362" s="22"/>
    </row>
    <row r="363" ht="15.75" customHeight="1">
      <c r="A363" s="20" t="s">
        <v>12745</v>
      </c>
      <c r="B363" s="20" t="s">
        <v>12746</v>
      </c>
      <c r="C363" s="20" t="s">
        <v>12747</v>
      </c>
      <c r="D363" s="20" t="s">
        <v>12748</v>
      </c>
      <c r="E363" s="20" t="s">
        <v>12749</v>
      </c>
      <c r="F363" s="20" t="s">
        <v>55</v>
      </c>
      <c r="G363" s="20" t="s">
        <v>12750</v>
      </c>
      <c r="H363" s="20" t="s">
        <v>12751</v>
      </c>
      <c r="I363" s="20" t="s">
        <v>10279</v>
      </c>
      <c r="J363" s="21" t="s">
        <v>10328</v>
      </c>
      <c r="K363" s="21"/>
      <c r="L363" s="21"/>
      <c r="M363" s="21"/>
      <c r="N363" s="21"/>
      <c r="O363" s="21"/>
    </row>
    <row r="364" ht="15.75" customHeight="1">
      <c r="A364" s="22" t="s">
        <v>12752</v>
      </c>
      <c r="B364" s="22"/>
      <c r="C364" s="22"/>
      <c r="D364" s="22" t="s">
        <v>12753</v>
      </c>
      <c r="E364" s="22" t="s">
        <v>11946</v>
      </c>
      <c r="F364" s="22" t="s">
        <v>4846</v>
      </c>
      <c r="G364" s="22" t="s">
        <v>12754</v>
      </c>
      <c r="H364" s="22" t="s">
        <v>12755</v>
      </c>
      <c r="I364" s="22" t="s">
        <v>10279</v>
      </c>
      <c r="J364" s="22" t="s">
        <v>10280</v>
      </c>
      <c r="K364" s="22"/>
      <c r="L364" s="22"/>
      <c r="M364" s="22"/>
      <c r="N364" s="22"/>
      <c r="O364" s="22"/>
    </row>
    <row r="365" ht="15.75" customHeight="1">
      <c r="A365" s="20" t="s">
        <v>12756</v>
      </c>
      <c r="B365" s="20" t="s">
        <v>12757</v>
      </c>
      <c r="C365" s="20" t="s">
        <v>12758</v>
      </c>
      <c r="D365" s="20" t="s">
        <v>12759</v>
      </c>
      <c r="E365" s="20" t="s">
        <v>7888</v>
      </c>
      <c r="F365" s="20" t="s">
        <v>11812</v>
      </c>
      <c r="G365" s="20" t="s">
        <v>12760</v>
      </c>
      <c r="H365" s="20" t="s">
        <v>12761</v>
      </c>
      <c r="I365" s="20" t="s">
        <v>10279</v>
      </c>
      <c r="J365" s="21" t="s">
        <v>10459</v>
      </c>
      <c r="K365" s="21"/>
      <c r="L365" s="21"/>
      <c r="M365" s="21"/>
      <c r="N365" s="21"/>
      <c r="O365" s="21"/>
    </row>
    <row r="366" ht="15.75" customHeight="1">
      <c r="A366" s="22" t="s">
        <v>12762</v>
      </c>
      <c r="B366" s="22" t="s">
        <v>12763</v>
      </c>
      <c r="C366" s="22" t="s">
        <v>12764</v>
      </c>
      <c r="D366" s="22" t="s">
        <v>12765</v>
      </c>
      <c r="E366" s="22" t="s">
        <v>55</v>
      </c>
      <c r="F366" s="22" t="s">
        <v>55</v>
      </c>
      <c r="G366" s="22" t="s">
        <v>12766</v>
      </c>
      <c r="H366" s="22" t="s">
        <v>12767</v>
      </c>
      <c r="I366" s="22" t="s">
        <v>10279</v>
      </c>
      <c r="J366" s="22" t="s">
        <v>10328</v>
      </c>
      <c r="K366" s="22" t="s">
        <v>12768</v>
      </c>
      <c r="L366" s="22" t="s">
        <v>12769</v>
      </c>
      <c r="M366" s="22" t="s">
        <v>12770</v>
      </c>
      <c r="N366" s="22" t="s">
        <v>12771</v>
      </c>
      <c r="O366" s="22" t="s">
        <v>12772</v>
      </c>
    </row>
    <row r="367" ht="15.75" customHeight="1">
      <c r="A367" s="20" t="s">
        <v>12773</v>
      </c>
      <c r="B367" s="20" t="s">
        <v>12774</v>
      </c>
      <c r="C367" s="20" t="s">
        <v>12775</v>
      </c>
      <c r="D367" s="20" t="s">
        <v>12776</v>
      </c>
      <c r="E367" s="20" t="s">
        <v>12777</v>
      </c>
      <c r="F367" s="20" t="s">
        <v>55</v>
      </c>
      <c r="G367" s="20" t="s">
        <v>12778</v>
      </c>
      <c r="H367" s="20" t="s">
        <v>12779</v>
      </c>
      <c r="I367" s="20" t="s">
        <v>10279</v>
      </c>
      <c r="J367" s="21" t="s">
        <v>12780</v>
      </c>
      <c r="K367" s="21"/>
      <c r="L367" s="21"/>
      <c r="M367" s="21"/>
      <c r="N367" s="21"/>
      <c r="O367" s="21"/>
    </row>
    <row r="368" ht="15.75" customHeight="1">
      <c r="A368" s="22" t="s">
        <v>12781</v>
      </c>
      <c r="B368" s="22"/>
      <c r="C368" s="22"/>
      <c r="D368" s="22" t="s">
        <v>12782</v>
      </c>
      <c r="E368" s="22" t="s">
        <v>12783</v>
      </c>
      <c r="F368" s="22" t="s">
        <v>55</v>
      </c>
      <c r="G368" s="22" t="s">
        <v>12784</v>
      </c>
      <c r="H368" s="22" t="s">
        <v>12785</v>
      </c>
      <c r="I368" s="22" t="s">
        <v>10279</v>
      </c>
      <c r="J368" s="22" t="s">
        <v>10590</v>
      </c>
      <c r="K368" s="22" t="s">
        <v>12786</v>
      </c>
      <c r="L368" s="22" t="s">
        <v>12787</v>
      </c>
      <c r="M368" s="22" t="s">
        <v>12788</v>
      </c>
      <c r="N368" s="22" t="s">
        <v>12789</v>
      </c>
      <c r="O368" s="22" t="s">
        <v>12790</v>
      </c>
    </row>
    <row r="369" ht="15.75" customHeight="1">
      <c r="A369" s="20" t="s">
        <v>12791</v>
      </c>
      <c r="B369" s="20" t="s">
        <v>12792</v>
      </c>
      <c r="C369" s="20" t="s">
        <v>12793</v>
      </c>
      <c r="D369" s="20" t="s">
        <v>12794</v>
      </c>
      <c r="E369" s="20" t="s">
        <v>129</v>
      </c>
      <c r="F369" s="20" t="s">
        <v>129</v>
      </c>
      <c r="G369" s="20" t="s">
        <v>12795</v>
      </c>
      <c r="H369" s="20" t="s">
        <v>12796</v>
      </c>
      <c r="I369" s="20" t="s">
        <v>10279</v>
      </c>
      <c r="J369" s="21" t="s">
        <v>10321</v>
      </c>
      <c r="K369" s="21" t="s">
        <v>11228</v>
      </c>
      <c r="L369" s="21" t="s">
        <v>11229</v>
      </c>
      <c r="M369" s="21" t="s">
        <v>11230</v>
      </c>
      <c r="N369" s="21" t="s">
        <v>11231</v>
      </c>
      <c r="O369" s="21" t="s">
        <v>11232</v>
      </c>
    </row>
    <row r="370" ht="15.75" customHeight="1">
      <c r="A370" s="22" t="s">
        <v>12797</v>
      </c>
      <c r="B370" s="22" t="s">
        <v>12798</v>
      </c>
      <c r="C370" s="22" t="s">
        <v>12799</v>
      </c>
      <c r="D370" s="22" t="s">
        <v>12800</v>
      </c>
      <c r="E370" s="22" t="s">
        <v>11213</v>
      </c>
      <c r="F370" s="22" t="s">
        <v>1612</v>
      </c>
      <c r="G370" s="22" t="s">
        <v>12801</v>
      </c>
      <c r="H370" s="22" t="s">
        <v>12802</v>
      </c>
      <c r="I370" s="22" t="s">
        <v>10279</v>
      </c>
      <c r="J370" s="22" t="s">
        <v>10299</v>
      </c>
      <c r="K370" s="22"/>
      <c r="L370" s="22"/>
      <c r="M370" s="22"/>
      <c r="N370" s="22"/>
      <c r="O370" s="22"/>
    </row>
    <row r="371" ht="15.75" customHeight="1">
      <c r="A371" s="20" t="s">
        <v>12803</v>
      </c>
      <c r="B371" s="20" t="s">
        <v>12804</v>
      </c>
      <c r="C371" s="20" t="s">
        <v>12805</v>
      </c>
      <c r="D371" s="20" t="s">
        <v>12806</v>
      </c>
      <c r="E371" s="20" t="s">
        <v>813</v>
      </c>
      <c r="F371" s="20" t="s">
        <v>813</v>
      </c>
      <c r="G371" s="20" t="s">
        <v>12807</v>
      </c>
      <c r="H371" s="20" t="s">
        <v>12808</v>
      </c>
      <c r="I371" s="20" t="s">
        <v>10279</v>
      </c>
      <c r="J371" s="21" t="s">
        <v>10561</v>
      </c>
      <c r="K371" s="21"/>
      <c r="L371" s="21"/>
      <c r="M371" s="21"/>
      <c r="N371" s="21"/>
      <c r="O371" s="21"/>
    </row>
    <row r="372" ht="15.75" customHeight="1">
      <c r="A372" s="22" t="s">
        <v>12809</v>
      </c>
      <c r="B372" s="22" t="s">
        <v>12810</v>
      </c>
      <c r="C372" s="22" t="s">
        <v>12811</v>
      </c>
      <c r="D372" s="22" t="s">
        <v>12812</v>
      </c>
      <c r="E372" s="22" t="s">
        <v>1009</v>
      </c>
      <c r="F372" s="22" t="s">
        <v>1009</v>
      </c>
      <c r="G372" s="22" t="s">
        <v>12813</v>
      </c>
      <c r="H372" s="22" t="s">
        <v>12814</v>
      </c>
      <c r="I372" s="22" t="s">
        <v>10279</v>
      </c>
      <c r="J372" s="22" t="s">
        <v>10583</v>
      </c>
      <c r="K372" s="22"/>
      <c r="L372" s="22"/>
      <c r="M372" s="22"/>
      <c r="N372" s="22"/>
      <c r="O372" s="22"/>
    </row>
    <row r="373" ht="15.75" customHeight="1">
      <c r="A373" s="20" t="s">
        <v>12815</v>
      </c>
      <c r="B373" s="20" t="s">
        <v>12816</v>
      </c>
      <c r="C373" s="20" t="s">
        <v>12817</v>
      </c>
      <c r="D373" s="20" t="s">
        <v>12818</v>
      </c>
      <c r="E373" s="20" t="s">
        <v>55</v>
      </c>
      <c r="F373" s="20" t="s">
        <v>55</v>
      </c>
      <c r="G373" s="20" t="s">
        <v>12819</v>
      </c>
      <c r="H373" s="20" t="s">
        <v>12820</v>
      </c>
      <c r="I373" s="20" t="s">
        <v>10279</v>
      </c>
      <c r="J373" s="21" t="s">
        <v>10387</v>
      </c>
      <c r="K373" s="21" t="s">
        <v>12821</v>
      </c>
      <c r="L373" s="21"/>
      <c r="M373" s="21"/>
      <c r="N373" s="21"/>
      <c r="O373" s="21"/>
    </row>
    <row r="374" ht="15.75" customHeight="1">
      <c r="A374" s="22" t="s">
        <v>12822</v>
      </c>
      <c r="B374" s="22" t="s">
        <v>12823</v>
      </c>
      <c r="C374" s="22" t="s">
        <v>12824</v>
      </c>
      <c r="D374" s="22" t="s">
        <v>12825</v>
      </c>
      <c r="E374" s="22" t="s">
        <v>12826</v>
      </c>
      <c r="F374" s="22" t="s">
        <v>55</v>
      </c>
      <c r="G374" s="22" t="s">
        <v>12827</v>
      </c>
      <c r="H374" s="22" t="s">
        <v>12828</v>
      </c>
      <c r="I374" s="22" t="s">
        <v>10279</v>
      </c>
      <c r="J374" s="22" t="s">
        <v>12829</v>
      </c>
      <c r="K374" s="22" t="s">
        <v>12830</v>
      </c>
      <c r="L374" s="22" t="s">
        <v>12831</v>
      </c>
      <c r="M374" s="22"/>
      <c r="N374" s="22" t="s">
        <v>12832</v>
      </c>
      <c r="O374" s="22"/>
    </row>
    <row r="375" ht="15.75" customHeight="1">
      <c r="A375" s="20" t="s">
        <v>12833</v>
      </c>
      <c r="B375" s="20" t="s">
        <v>12834</v>
      </c>
      <c r="C375" s="20" t="s">
        <v>12835</v>
      </c>
      <c r="D375" s="20" t="s">
        <v>12836</v>
      </c>
      <c r="E375" s="20" t="s">
        <v>12837</v>
      </c>
      <c r="F375" s="20" t="s">
        <v>926</v>
      </c>
      <c r="G375" s="20" t="s">
        <v>12838</v>
      </c>
      <c r="H375" s="20" t="s">
        <v>12839</v>
      </c>
      <c r="I375" s="20" t="s">
        <v>10279</v>
      </c>
      <c r="J375" s="21" t="s">
        <v>10280</v>
      </c>
      <c r="K375" s="21"/>
      <c r="L375" s="21"/>
      <c r="M375" s="21"/>
      <c r="N375" s="21"/>
      <c r="O375" s="21"/>
    </row>
    <row r="376" ht="15.75" customHeight="1">
      <c r="A376" s="22" t="s">
        <v>12840</v>
      </c>
      <c r="B376" s="22" t="s">
        <v>12841</v>
      </c>
      <c r="C376" s="22" t="s">
        <v>12842</v>
      </c>
      <c r="D376" s="22" t="s">
        <v>12843</v>
      </c>
      <c r="E376" s="22" t="s">
        <v>55</v>
      </c>
      <c r="F376" s="22" t="s">
        <v>55</v>
      </c>
      <c r="G376" s="22" t="s">
        <v>12844</v>
      </c>
      <c r="H376" s="22" t="s">
        <v>12845</v>
      </c>
      <c r="I376" s="22" t="s">
        <v>10279</v>
      </c>
      <c r="J376" s="22" t="s">
        <v>12846</v>
      </c>
      <c r="K376" s="22"/>
      <c r="L376" s="22"/>
      <c r="M376" s="22"/>
      <c r="N376" s="22"/>
      <c r="O376" s="22"/>
    </row>
    <row r="377" ht="15.75" customHeight="1">
      <c r="A377" s="20" t="s">
        <v>12847</v>
      </c>
      <c r="B377" s="20" t="s">
        <v>12848</v>
      </c>
      <c r="C377" s="20" t="s">
        <v>12849</v>
      </c>
      <c r="D377" s="20" t="s">
        <v>12850</v>
      </c>
      <c r="E377" s="20" t="s">
        <v>55</v>
      </c>
      <c r="F377" s="20" t="s">
        <v>55</v>
      </c>
      <c r="G377" s="20" t="s">
        <v>12851</v>
      </c>
      <c r="H377" s="20" t="s">
        <v>12852</v>
      </c>
      <c r="I377" s="20" t="s">
        <v>10279</v>
      </c>
      <c r="J377" s="21" t="s">
        <v>11886</v>
      </c>
      <c r="K377" s="21"/>
      <c r="L377" s="21"/>
      <c r="M377" s="21"/>
      <c r="N377" s="21"/>
      <c r="O377" s="21"/>
    </row>
    <row r="378" ht="15.75" customHeight="1">
      <c r="A378" s="22" t="s">
        <v>12853</v>
      </c>
      <c r="B378" s="22" t="s">
        <v>12854</v>
      </c>
      <c r="C378" s="22"/>
      <c r="D378" s="22" t="s">
        <v>12855</v>
      </c>
      <c r="E378" s="22" t="s">
        <v>12856</v>
      </c>
      <c r="F378" s="22" t="s">
        <v>1352</v>
      </c>
      <c r="G378" s="22" t="s">
        <v>12857</v>
      </c>
      <c r="H378" s="22" t="s">
        <v>12858</v>
      </c>
      <c r="I378" s="22" t="s">
        <v>10279</v>
      </c>
      <c r="J378" s="22" t="s">
        <v>10561</v>
      </c>
      <c r="K378" s="22"/>
      <c r="L378" s="22"/>
      <c r="M378" s="22"/>
      <c r="N378" s="22"/>
      <c r="O378" s="22"/>
    </row>
    <row r="379" ht="15.75" customHeight="1">
      <c r="A379" s="20" t="s">
        <v>12859</v>
      </c>
      <c r="B379" s="20"/>
      <c r="C379" s="20"/>
      <c r="D379" s="20" t="s">
        <v>12860</v>
      </c>
      <c r="E379" s="20" t="s">
        <v>11722</v>
      </c>
      <c r="F379" s="20" t="s">
        <v>55</v>
      </c>
      <c r="G379" s="20"/>
      <c r="H379" s="20"/>
      <c r="I379" s="20" t="s">
        <v>10279</v>
      </c>
      <c r="J379" s="21"/>
      <c r="K379" s="21"/>
      <c r="L379" s="21"/>
      <c r="M379" s="21"/>
      <c r="N379" s="21"/>
      <c r="O379" s="21"/>
    </row>
    <row r="380" ht="15.75" customHeight="1">
      <c r="A380" s="22" t="s">
        <v>12861</v>
      </c>
      <c r="B380" s="22" t="s">
        <v>12862</v>
      </c>
      <c r="C380" s="22"/>
      <c r="D380" s="22" t="s">
        <v>12863</v>
      </c>
      <c r="E380" s="22" t="s">
        <v>11006</v>
      </c>
      <c r="F380" s="22"/>
      <c r="G380" s="22" t="s">
        <v>11007</v>
      </c>
      <c r="H380" s="22" t="s">
        <v>12864</v>
      </c>
      <c r="I380" s="22" t="s">
        <v>10279</v>
      </c>
      <c r="J380" s="22" t="s">
        <v>12865</v>
      </c>
      <c r="K380" s="22" t="s">
        <v>12866</v>
      </c>
      <c r="L380" s="22" t="s">
        <v>12867</v>
      </c>
      <c r="M380" s="22" t="s">
        <v>12868</v>
      </c>
      <c r="N380" s="22" t="s">
        <v>12869</v>
      </c>
      <c r="O380" s="22" t="s">
        <v>12870</v>
      </c>
    </row>
    <row r="381" ht="15.75" customHeight="1">
      <c r="A381" s="20" t="s">
        <v>12871</v>
      </c>
      <c r="B381" s="20" t="s">
        <v>12872</v>
      </c>
      <c r="C381" s="20"/>
      <c r="D381" s="20" t="s">
        <v>12873</v>
      </c>
      <c r="E381" s="20" t="s">
        <v>12874</v>
      </c>
      <c r="F381" s="20" t="s">
        <v>55</v>
      </c>
      <c r="G381" s="20" t="s">
        <v>12875</v>
      </c>
      <c r="H381" s="20" t="s">
        <v>12876</v>
      </c>
      <c r="I381" s="20" t="s">
        <v>10279</v>
      </c>
      <c r="J381" s="21" t="s">
        <v>12877</v>
      </c>
      <c r="K381" s="21" t="s">
        <v>12878</v>
      </c>
      <c r="L381" s="21"/>
      <c r="M381" s="21"/>
      <c r="N381" s="21" t="s">
        <v>12879</v>
      </c>
      <c r="O381" s="21" t="s">
        <v>12880</v>
      </c>
    </row>
    <row r="382" ht="15.75" customHeight="1">
      <c r="A382" s="22" t="s">
        <v>12881</v>
      </c>
      <c r="B382" s="22" t="s">
        <v>12882</v>
      </c>
      <c r="C382" s="22"/>
      <c r="D382" s="22" t="s">
        <v>12883</v>
      </c>
      <c r="E382" s="22" t="s">
        <v>55</v>
      </c>
      <c r="F382" s="22" t="s">
        <v>55</v>
      </c>
      <c r="G382" s="22" t="s">
        <v>12348</v>
      </c>
      <c r="H382" s="22" t="s">
        <v>12884</v>
      </c>
      <c r="I382" s="22" t="s">
        <v>10279</v>
      </c>
      <c r="J382" s="22" t="s">
        <v>10280</v>
      </c>
      <c r="K382" s="22"/>
      <c r="L382" s="22"/>
      <c r="M382" s="22"/>
      <c r="N382" s="22"/>
      <c r="O382" s="22"/>
    </row>
    <row r="383" ht="15.75" customHeight="1">
      <c r="A383" s="20" t="s">
        <v>12885</v>
      </c>
      <c r="B383" s="20" t="s">
        <v>12886</v>
      </c>
      <c r="C383" s="20" t="s">
        <v>12887</v>
      </c>
      <c r="D383" s="20" t="s">
        <v>12888</v>
      </c>
      <c r="E383" s="20" t="s">
        <v>12889</v>
      </c>
      <c r="F383" s="20" t="s">
        <v>100</v>
      </c>
      <c r="G383" s="20" t="s">
        <v>12890</v>
      </c>
      <c r="H383" s="20" t="s">
        <v>12891</v>
      </c>
      <c r="I383" s="20" t="s">
        <v>10279</v>
      </c>
      <c r="J383" s="21" t="s">
        <v>10569</v>
      </c>
      <c r="K383" s="21"/>
      <c r="L383" s="21"/>
      <c r="M383" s="21"/>
      <c r="N383" s="21"/>
      <c r="O383" s="21"/>
    </row>
    <row r="384" ht="15.75" customHeight="1">
      <c r="A384" s="22" t="s">
        <v>12892</v>
      </c>
      <c r="B384" s="22" t="s">
        <v>12893</v>
      </c>
      <c r="C384" s="22" t="s">
        <v>12894</v>
      </c>
      <c r="D384" s="22" t="s">
        <v>12895</v>
      </c>
      <c r="E384" s="22" t="s">
        <v>55</v>
      </c>
      <c r="F384" s="22" t="s">
        <v>55</v>
      </c>
      <c r="G384" s="22" t="s">
        <v>12896</v>
      </c>
      <c r="H384" s="22" t="s">
        <v>12897</v>
      </c>
      <c r="I384" s="22" t="s">
        <v>10279</v>
      </c>
      <c r="J384" s="22" t="s">
        <v>10394</v>
      </c>
      <c r="K384" s="22"/>
      <c r="L384" s="22"/>
      <c r="M384" s="22"/>
      <c r="N384" s="22"/>
      <c r="O384" s="22"/>
    </row>
    <row r="385" ht="15.75" customHeight="1">
      <c r="A385" s="20" t="s">
        <v>12898</v>
      </c>
      <c r="B385" s="20" t="s">
        <v>12899</v>
      </c>
      <c r="C385" s="20" t="s">
        <v>12900</v>
      </c>
      <c r="D385" s="20" t="s">
        <v>12901</v>
      </c>
      <c r="E385" s="20" t="s">
        <v>129</v>
      </c>
      <c r="F385" s="20" t="s">
        <v>129</v>
      </c>
      <c r="G385" s="20" t="s">
        <v>12902</v>
      </c>
      <c r="H385" s="20" t="s">
        <v>12903</v>
      </c>
      <c r="I385" s="20" t="s">
        <v>10279</v>
      </c>
      <c r="J385" s="21" t="s">
        <v>12904</v>
      </c>
      <c r="K385" s="21"/>
      <c r="L385" s="21"/>
      <c r="M385" s="21"/>
      <c r="N385" s="21"/>
      <c r="O385" s="21"/>
    </row>
    <row r="386" ht="15.75" customHeight="1">
      <c r="A386" s="22" t="s">
        <v>12905</v>
      </c>
      <c r="B386" s="22" t="s">
        <v>12906</v>
      </c>
      <c r="C386" s="22" t="s">
        <v>12907</v>
      </c>
      <c r="D386" s="22" t="s">
        <v>12908</v>
      </c>
      <c r="E386" s="22" t="s">
        <v>231</v>
      </c>
      <c r="F386" s="22" t="s">
        <v>231</v>
      </c>
      <c r="G386" s="22" t="s">
        <v>12909</v>
      </c>
      <c r="H386" s="22" t="s">
        <v>12910</v>
      </c>
      <c r="I386" s="22" t="s">
        <v>10279</v>
      </c>
      <c r="J386" s="22" t="s">
        <v>12911</v>
      </c>
      <c r="K386" s="22"/>
      <c r="L386" s="22"/>
      <c r="M386" s="22"/>
      <c r="N386" s="22"/>
      <c r="O386" s="22"/>
    </row>
    <row r="387" ht="15.75" customHeight="1">
      <c r="A387" s="20" t="s">
        <v>12912</v>
      </c>
      <c r="B387" s="20" t="s">
        <v>12913</v>
      </c>
      <c r="C387" s="20" t="s">
        <v>12914</v>
      </c>
      <c r="D387" s="20" t="s">
        <v>12915</v>
      </c>
      <c r="E387" s="20" t="s">
        <v>12916</v>
      </c>
      <c r="F387" s="20" t="s">
        <v>2391</v>
      </c>
      <c r="G387" s="20" t="s">
        <v>12917</v>
      </c>
      <c r="H387" s="20" t="s">
        <v>12918</v>
      </c>
      <c r="I387" s="20" t="s">
        <v>10279</v>
      </c>
      <c r="J387" s="21" t="s">
        <v>12919</v>
      </c>
      <c r="K387" s="21"/>
      <c r="L387" s="21"/>
      <c r="M387" s="21"/>
      <c r="N387" s="21"/>
      <c r="O387" s="21"/>
    </row>
    <row r="388" ht="15.75" customHeight="1">
      <c r="A388" s="22" t="s">
        <v>12920</v>
      </c>
      <c r="B388" s="22" t="s">
        <v>12921</v>
      </c>
      <c r="C388" s="22" t="s">
        <v>12922</v>
      </c>
      <c r="D388" s="22" t="s">
        <v>12923</v>
      </c>
      <c r="E388" s="22" t="s">
        <v>231</v>
      </c>
      <c r="F388" s="22" t="s">
        <v>231</v>
      </c>
      <c r="G388" s="22" t="s">
        <v>12924</v>
      </c>
      <c r="H388" s="22"/>
      <c r="I388" s="22" t="s">
        <v>10279</v>
      </c>
      <c r="J388" s="22" t="s">
        <v>10280</v>
      </c>
      <c r="K388" s="22"/>
      <c r="L388" s="22"/>
      <c r="M388" s="22"/>
      <c r="N388" s="22"/>
      <c r="O388" s="22"/>
    </row>
    <row r="389" ht="15.75" customHeight="1">
      <c r="A389" s="20" t="s">
        <v>12925</v>
      </c>
      <c r="B389" s="20" t="s">
        <v>12926</v>
      </c>
      <c r="C389" s="20" t="s">
        <v>12927</v>
      </c>
      <c r="D389" s="20" t="s">
        <v>12928</v>
      </c>
      <c r="E389" s="20" t="s">
        <v>12929</v>
      </c>
      <c r="F389" s="20" t="s">
        <v>55</v>
      </c>
      <c r="G389" s="20" t="s">
        <v>12930</v>
      </c>
      <c r="H389" s="20" t="s">
        <v>12931</v>
      </c>
      <c r="I389" s="20" t="s">
        <v>10279</v>
      </c>
      <c r="J389" s="21" t="s">
        <v>12932</v>
      </c>
      <c r="K389" s="21"/>
      <c r="L389" s="21"/>
      <c r="M389" s="21"/>
      <c r="N389" s="21"/>
      <c r="O389" s="21"/>
    </row>
    <row r="390" ht="15.75" customHeight="1">
      <c r="A390" s="22" t="s">
        <v>12933</v>
      </c>
      <c r="B390" s="22" t="s">
        <v>12934</v>
      </c>
      <c r="C390" s="22" t="s">
        <v>12935</v>
      </c>
      <c r="D390" s="22" t="s">
        <v>12936</v>
      </c>
      <c r="E390" s="22" t="s">
        <v>100</v>
      </c>
      <c r="F390" s="22" t="s">
        <v>100</v>
      </c>
      <c r="G390" s="22" t="s">
        <v>12937</v>
      </c>
      <c r="H390" s="22" t="s">
        <v>12938</v>
      </c>
      <c r="I390" s="22" t="s">
        <v>10279</v>
      </c>
      <c r="J390" s="22" t="s">
        <v>10769</v>
      </c>
      <c r="K390" s="22"/>
      <c r="L390" s="22"/>
      <c r="M390" s="22"/>
      <c r="N390" s="22"/>
      <c r="O390" s="22"/>
    </row>
    <row r="391" ht="15.75" customHeight="1">
      <c r="A391" s="20" t="s">
        <v>12939</v>
      </c>
      <c r="B391" s="20" t="s">
        <v>12940</v>
      </c>
      <c r="C391" s="20" t="s">
        <v>12941</v>
      </c>
      <c r="D391" s="20" t="s">
        <v>12942</v>
      </c>
      <c r="E391" s="20" t="s">
        <v>55</v>
      </c>
      <c r="F391" s="20" t="s">
        <v>55</v>
      </c>
      <c r="G391" s="20" t="s">
        <v>12943</v>
      </c>
      <c r="H391" s="20" t="s">
        <v>12944</v>
      </c>
      <c r="I391" s="20" t="s">
        <v>10279</v>
      </c>
      <c r="J391" s="21" t="s">
        <v>10321</v>
      </c>
      <c r="K391" s="21"/>
      <c r="L391" s="21"/>
      <c r="M391" s="21"/>
      <c r="N391" s="21"/>
      <c r="O391" s="21"/>
    </row>
    <row r="392" ht="15.75" customHeight="1">
      <c r="A392" s="22" t="s">
        <v>12945</v>
      </c>
      <c r="B392" s="22"/>
      <c r="C392" s="22" t="s">
        <v>12044</v>
      </c>
      <c r="D392" s="22" t="s">
        <v>12946</v>
      </c>
      <c r="E392" s="22" t="s">
        <v>601</v>
      </c>
      <c r="F392" s="22" t="s">
        <v>601</v>
      </c>
      <c r="G392" s="22" t="s">
        <v>12947</v>
      </c>
      <c r="H392" s="22" t="s">
        <v>12948</v>
      </c>
      <c r="I392" s="22" t="s">
        <v>10279</v>
      </c>
      <c r="J392" s="22" t="s">
        <v>12949</v>
      </c>
      <c r="K392" s="22"/>
      <c r="L392" s="22"/>
      <c r="M392" s="22"/>
      <c r="N392" s="22"/>
      <c r="O392" s="22"/>
    </row>
    <row r="393" ht="15.75" customHeight="1">
      <c r="A393" s="20" t="s">
        <v>12950</v>
      </c>
      <c r="B393" s="20" t="s">
        <v>12951</v>
      </c>
      <c r="C393" s="20" t="s">
        <v>12952</v>
      </c>
      <c r="D393" s="20" t="s">
        <v>12953</v>
      </c>
      <c r="E393" s="20" t="s">
        <v>55</v>
      </c>
      <c r="F393" s="20" t="s">
        <v>55</v>
      </c>
      <c r="G393" s="20" t="s">
        <v>12954</v>
      </c>
      <c r="H393" s="20" t="s">
        <v>12955</v>
      </c>
      <c r="I393" s="20" t="s">
        <v>10279</v>
      </c>
      <c r="J393" s="21" t="s">
        <v>11282</v>
      </c>
      <c r="K393" s="21"/>
      <c r="L393" s="21"/>
      <c r="M393" s="21"/>
      <c r="N393" s="21"/>
      <c r="O393" s="21"/>
    </row>
    <row r="394" ht="15.75" customHeight="1">
      <c r="A394" s="22" t="s">
        <v>12956</v>
      </c>
      <c r="B394" s="22" t="s">
        <v>12957</v>
      </c>
      <c r="C394" s="22"/>
      <c r="D394" s="22" t="s">
        <v>12958</v>
      </c>
      <c r="E394" s="22" t="s">
        <v>55</v>
      </c>
      <c r="F394" s="22" t="s">
        <v>55</v>
      </c>
      <c r="G394" s="22" t="s">
        <v>12959</v>
      </c>
      <c r="H394" s="22" t="s">
        <v>12960</v>
      </c>
      <c r="I394" s="22" t="s">
        <v>10279</v>
      </c>
      <c r="J394" s="22" t="s">
        <v>10280</v>
      </c>
      <c r="K394" s="22"/>
      <c r="L394" s="22"/>
      <c r="M394" s="22"/>
      <c r="N394" s="22"/>
      <c r="O394" s="22"/>
    </row>
    <row r="395" ht="15.75" customHeight="1">
      <c r="A395" s="20" t="s">
        <v>12961</v>
      </c>
      <c r="B395" s="20" t="s">
        <v>12962</v>
      </c>
      <c r="C395" s="20" t="s">
        <v>12963</v>
      </c>
      <c r="D395" s="20" t="s">
        <v>12964</v>
      </c>
      <c r="E395" s="20" t="s">
        <v>12965</v>
      </c>
      <c r="F395" s="20" t="s">
        <v>262</v>
      </c>
      <c r="G395" s="20" t="s">
        <v>12966</v>
      </c>
      <c r="H395" s="20" t="s">
        <v>12967</v>
      </c>
      <c r="I395" s="20" t="s">
        <v>10279</v>
      </c>
      <c r="J395" s="21" t="s">
        <v>11698</v>
      </c>
      <c r="K395" s="21" t="s">
        <v>12968</v>
      </c>
      <c r="L395" s="21" t="s">
        <v>12969</v>
      </c>
      <c r="M395" s="21"/>
      <c r="N395" s="21"/>
      <c r="O395" s="21"/>
    </row>
    <row r="396" ht="15.75" customHeight="1">
      <c r="A396" s="22" t="s">
        <v>12970</v>
      </c>
      <c r="B396" s="22" t="s">
        <v>12971</v>
      </c>
      <c r="C396" s="22" t="s">
        <v>12972</v>
      </c>
      <c r="D396" s="22" t="s">
        <v>12973</v>
      </c>
      <c r="E396" s="22" t="s">
        <v>55</v>
      </c>
      <c r="F396" s="22" t="s">
        <v>55</v>
      </c>
      <c r="G396" s="22" t="s">
        <v>12974</v>
      </c>
      <c r="H396" s="22" t="s">
        <v>12975</v>
      </c>
      <c r="I396" s="22" t="s">
        <v>10279</v>
      </c>
      <c r="J396" s="22" t="s">
        <v>12976</v>
      </c>
      <c r="K396" s="22"/>
      <c r="L396" s="22"/>
      <c r="M396" s="22"/>
      <c r="N396" s="22"/>
      <c r="O396" s="22"/>
    </row>
    <row r="397" ht="15.75" customHeight="1">
      <c r="A397" s="20" t="s">
        <v>12977</v>
      </c>
      <c r="B397" s="20" t="s">
        <v>12978</v>
      </c>
      <c r="C397" s="20" t="s">
        <v>12979</v>
      </c>
      <c r="D397" s="20" t="s">
        <v>12980</v>
      </c>
      <c r="E397" s="20" t="s">
        <v>231</v>
      </c>
      <c r="F397" s="20" t="s">
        <v>231</v>
      </c>
      <c r="G397" s="20" t="s">
        <v>12981</v>
      </c>
      <c r="H397" s="20" t="s">
        <v>12982</v>
      </c>
      <c r="I397" s="20" t="s">
        <v>10279</v>
      </c>
      <c r="J397" s="21" t="s">
        <v>10280</v>
      </c>
      <c r="K397" s="21"/>
      <c r="L397" s="21"/>
      <c r="M397" s="21"/>
      <c r="N397" s="21"/>
      <c r="O397" s="21"/>
    </row>
    <row r="398" ht="15.75" customHeight="1">
      <c r="A398" s="22" t="s">
        <v>12983</v>
      </c>
      <c r="B398" s="22" t="s">
        <v>12984</v>
      </c>
      <c r="C398" s="22" t="s">
        <v>12985</v>
      </c>
      <c r="D398" s="22" t="s">
        <v>12986</v>
      </c>
      <c r="E398" s="22" t="s">
        <v>12987</v>
      </c>
      <c r="F398" s="22" t="s">
        <v>1171</v>
      </c>
      <c r="G398" s="22" t="s">
        <v>12988</v>
      </c>
      <c r="H398" s="22" t="s">
        <v>12989</v>
      </c>
      <c r="I398" s="22" t="s">
        <v>10279</v>
      </c>
      <c r="J398" s="22" t="s">
        <v>11405</v>
      </c>
      <c r="K398" s="22"/>
      <c r="L398" s="22"/>
      <c r="M398" s="22"/>
      <c r="N398" s="22"/>
      <c r="O398" s="22"/>
    </row>
    <row r="399" ht="15.75" customHeight="1">
      <c r="A399" s="20" t="s">
        <v>12990</v>
      </c>
      <c r="B399" s="20" t="s">
        <v>12991</v>
      </c>
      <c r="C399" s="20" t="s">
        <v>12992</v>
      </c>
      <c r="D399" s="20" t="s">
        <v>12993</v>
      </c>
      <c r="E399" s="20" t="s">
        <v>698</v>
      </c>
      <c r="F399" s="20" t="s">
        <v>731</v>
      </c>
      <c r="G399" s="20" t="s">
        <v>12994</v>
      </c>
      <c r="H399" s="20" t="s">
        <v>12995</v>
      </c>
      <c r="I399" s="20" t="s">
        <v>10279</v>
      </c>
      <c r="J399" s="21" t="s">
        <v>10328</v>
      </c>
      <c r="K399" s="21"/>
      <c r="L399" s="21"/>
      <c r="M399" s="21"/>
      <c r="N399" s="21"/>
      <c r="O399" s="21"/>
    </row>
    <row r="400" ht="15.75" customHeight="1">
      <c r="A400" s="22" t="s">
        <v>12996</v>
      </c>
      <c r="B400" s="22" t="s">
        <v>12997</v>
      </c>
      <c r="C400" s="22"/>
      <c r="D400" s="22" t="s">
        <v>12998</v>
      </c>
      <c r="E400" s="22" t="s">
        <v>12999</v>
      </c>
      <c r="F400" s="22" t="s">
        <v>813</v>
      </c>
      <c r="G400" s="22" t="s">
        <v>13000</v>
      </c>
      <c r="H400" s="22" t="s">
        <v>13001</v>
      </c>
      <c r="I400" s="22" t="s">
        <v>10279</v>
      </c>
      <c r="J400" s="22" t="s">
        <v>10321</v>
      </c>
      <c r="K400" s="22"/>
      <c r="L400" s="22"/>
      <c r="M400" s="22"/>
      <c r="N400" s="22"/>
      <c r="O400" s="22"/>
    </row>
    <row r="401" ht="15.75" customHeight="1">
      <c r="A401" s="20" t="s">
        <v>13002</v>
      </c>
      <c r="B401" s="20" t="s">
        <v>13003</v>
      </c>
      <c r="C401" s="20"/>
      <c r="D401" s="20" t="s">
        <v>13004</v>
      </c>
      <c r="E401" s="20" t="s">
        <v>100</v>
      </c>
      <c r="F401" s="20" t="s">
        <v>100</v>
      </c>
      <c r="G401" s="20" t="s">
        <v>13005</v>
      </c>
      <c r="H401" s="20" t="s">
        <v>13006</v>
      </c>
      <c r="I401" s="20" t="s">
        <v>10279</v>
      </c>
      <c r="J401" s="21" t="s">
        <v>11585</v>
      </c>
      <c r="K401" s="21" t="s">
        <v>13007</v>
      </c>
      <c r="L401" s="21" t="s">
        <v>13008</v>
      </c>
      <c r="M401" s="21"/>
      <c r="N401" s="21"/>
      <c r="O401" s="21"/>
    </row>
    <row r="402" ht="15.75" customHeight="1">
      <c r="A402" s="22" t="s">
        <v>13009</v>
      </c>
      <c r="B402" s="22" t="s">
        <v>13010</v>
      </c>
      <c r="C402" s="22"/>
      <c r="D402" s="22" t="s">
        <v>13011</v>
      </c>
      <c r="E402" s="22" t="s">
        <v>4660</v>
      </c>
      <c r="F402" s="22" t="s">
        <v>1462</v>
      </c>
      <c r="G402" s="22" t="s">
        <v>13012</v>
      </c>
      <c r="H402" s="22" t="s">
        <v>13013</v>
      </c>
      <c r="I402" s="22" t="s">
        <v>10279</v>
      </c>
      <c r="J402" s="22" t="s">
        <v>10569</v>
      </c>
      <c r="K402" s="22"/>
      <c r="L402" s="22"/>
      <c r="M402" s="22"/>
      <c r="N402" s="22"/>
      <c r="O402" s="22"/>
    </row>
    <row r="403" ht="15.75" customHeight="1">
      <c r="A403" s="20" t="s">
        <v>13014</v>
      </c>
      <c r="B403" s="20" t="s">
        <v>13015</v>
      </c>
      <c r="C403" s="20" t="s">
        <v>13016</v>
      </c>
      <c r="D403" s="20" t="s">
        <v>13017</v>
      </c>
      <c r="E403" s="20" t="s">
        <v>13018</v>
      </c>
      <c r="F403" s="20" t="s">
        <v>11812</v>
      </c>
      <c r="G403" s="20" t="s">
        <v>13019</v>
      </c>
      <c r="H403" s="20" t="s">
        <v>13020</v>
      </c>
      <c r="I403" s="20" t="s">
        <v>10279</v>
      </c>
      <c r="J403" s="21" t="s">
        <v>13021</v>
      </c>
      <c r="K403" s="21"/>
      <c r="L403" s="21"/>
      <c r="M403" s="21"/>
      <c r="N403" s="21"/>
      <c r="O403" s="21"/>
    </row>
    <row r="404" ht="15.75" customHeight="1">
      <c r="A404" s="22" t="s">
        <v>13022</v>
      </c>
      <c r="B404" s="22"/>
      <c r="C404" s="22" t="s">
        <v>13023</v>
      </c>
      <c r="D404" s="22" t="s">
        <v>13024</v>
      </c>
      <c r="E404" s="22" t="s">
        <v>129</v>
      </c>
      <c r="F404" s="22" t="s">
        <v>129</v>
      </c>
      <c r="G404" s="22" t="s">
        <v>13025</v>
      </c>
      <c r="H404" s="22" t="s">
        <v>13026</v>
      </c>
      <c r="I404" s="22" t="s">
        <v>10279</v>
      </c>
      <c r="J404" s="22" t="s">
        <v>10583</v>
      </c>
      <c r="K404" s="22"/>
      <c r="L404" s="22"/>
      <c r="M404" s="22"/>
      <c r="N404" s="22"/>
      <c r="O404" s="22"/>
    </row>
    <row r="405" ht="15.75" customHeight="1">
      <c r="A405" s="20" t="s">
        <v>13027</v>
      </c>
      <c r="B405" s="20" t="s">
        <v>13028</v>
      </c>
      <c r="C405" s="20"/>
      <c r="D405" s="20" t="s">
        <v>13029</v>
      </c>
      <c r="E405" s="20" t="s">
        <v>55</v>
      </c>
      <c r="F405" s="20" t="s">
        <v>55</v>
      </c>
      <c r="G405" s="20" t="s">
        <v>13030</v>
      </c>
      <c r="H405" s="20"/>
      <c r="I405" s="20" t="s">
        <v>10279</v>
      </c>
      <c r="J405" s="21" t="s">
        <v>10314</v>
      </c>
      <c r="K405" s="21"/>
      <c r="L405" s="21"/>
      <c r="M405" s="21"/>
      <c r="N405" s="21"/>
      <c r="O405" s="21"/>
    </row>
    <row r="406" ht="15.75" customHeight="1">
      <c r="A406" s="22" t="s">
        <v>13031</v>
      </c>
      <c r="B406" s="22" t="s">
        <v>13032</v>
      </c>
      <c r="C406" s="22"/>
      <c r="D406" s="22" t="s">
        <v>13033</v>
      </c>
      <c r="E406" s="22" t="s">
        <v>55</v>
      </c>
      <c r="F406" s="22" t="s">
        <v>55</v>
      </c>
      <c r="G406" s="22" t="s">
        <v>13034</v>
      </c>
      <c r="H406" s="22" t="s">
        <v>13035</v>
      </c>
      <c r="I406" s="22" t="s">
        <v>10279</v>
      </c>
      <c r="J406" s="22" t="s">
        <v>13036</v>
      </c>
      <c r="K406" s="22"/>
      <c r="L406" s="22"/>
      <c r="M406" s="22"/>
      <c r="N406" s="22"/>
      <c r="O406" s="22"/>
    </row>
    <row r="407" ht="15.75" customHeight="1">
      <c r="A407" s="20" t="s">
        <v>13037</v>
      </c>
      <c r="B407" s="20" t="s">
        <v>13038</v>
      </c>
      <c r="C407" s="20" t="s">
        <v>13039</v>
      </c>
      <c r="D407" s="20" t="s">
        <v>13040</v>
      </c>
      <c r="E407" s="20" t="s">
        <v>13041</v>
      </c>
      <c r="F407" s="20" t="s">
        <v>731</v>
      </c>
      <c r="G407" s="20" t="s">
        <v>13042</v>
      </c>
      <c r="H407" s="20" t="s">
        <v>13043</v>
      </c>
      <c r="I407" s="20" t="s">
        <v>10279</v>
      </c>
      <c r="J407" s="21" t="s">
        <v>10280</v>
      </c>
      <c r="K407" s="21"/>
      <c r="L407" s="21"/>
      <c r="M407" s="21"/>
      <c r="N407" s="21"/>
      <c r="O407" s="21"/>
    </row>
    <row r="408" ht="15.75" customHeight="1">
      <c r="A408" s="22" t="s">
        <v>13044</v>
      </c>
      <c r="B408" s="22" t="s">
        <v>13045</v>
      </c>
      <c r="C408" s="22" t="s">
        <v>13046</v>
      </c>
      <c r="D408" s="22" t="s">
        <v>13047</v>
      </c>
      <c r="E408" s="22" t="s">
        <v>55</v>
      </c>
      <c r="F408" s="22" t="s">
        <v>55</v>
      </c>
      <c r="G408" s="22" t="s">
        <v>13048</v>
      </c>
      <c r="H408" s="22" t="s">
        <v>13049</v>
      </c>
      <c r="I408" s="22" t="s">
        <v>10279</v>
      </c>
      <c r="J408" s="22" t="s">
        <v>10459</v>
      </c>
      <c r="K408" s="22"/>
      <c r="L408" s="22"/>
      <c r="M408" s="22"/>
      <c r="N408" s="22"/>
      <c r="O408" s="22"/>
    </row>
    <row r="409" ht="15.75" customHeight="1">
      <c r="A409" s="20" t="s">
        <v>13050</v>
      </c>
      <c r="B409" s="20" t="s">
        <v>13051</v>
      </c>
      <c r="C409" s="20" t="s">
        <v>13052</v>
      </c>
      <c r="D409" s="20" t="s">
        <v>13053</v>
      </c>
      <c r="E409" s="20" t="s">
        <v>13054</v>
      </c>
      <c r="F409" s="20" t="s">
        <v>231</v>
      </c>
      <c r="G409" s="20" t="s">
        <v>13055</v>
      </c>
      <c r="H409" s="20" t="s">
        <v>13050</v>
      </c>
      <c r="I409" s="20" t="s">
        <v>10279</v>
      </c>
      <c r="J409" s="21" t="s">
        <v>10459</v>
      </c>
      <c r="K409" s="21"/>
      <c r="L409" s="21"/>
      <c r="M409" s="21"/>
      <c r="N409" s="21"/>
      <c r="O409" s="21"/>
    </row>
    <row r="410" ht="15.75" customHeight="1">
      <c r="A410" s="22" t="s">
        <v>13056</v>
      </c>
      <c r="B410" s="22" t="s">
        <v>13057</v>
      </c>
      <c r="C410" s="22"/>
      <c r="D410" s="22" t="s">
        <v>13058</v>
      </c>
      <c r="E410" s="22" t="s">
        <v>11213</v>
      </c>
      <c r="F410" s="22" t="s">
        <v>1612</v>
      </c>
      <c r="G410" s="22" t="s">
        <v>13059</v>
      </c>
      <c r="H410" s="22" t="s">
        <v>13060</v>
      </c>
      <c r="I410" s="22" t="s">
        <v>10279</v>
      </c>
      <c r="J410" s="22" t="s">
        <v>10394</v>
      </c>
      <c r="K410" s="22"/>
      <c r="L410" s="22"/>
      <c r="M410" s="22"/>
      <c r="N410" s="22"/>
      <c r="O410" s="22"/>
    </row>
    <row r="411" ht="15.75" customHeight="1">
      <c r="A411" s="20" t="s">
        <v>13061</v>
      </c>
      <c r="B411" s="20" t="s">
        <v>13062</v>
      </c>
      <c r="C411" s="20" t="s">
        <v>13063</v>
      </c>
      <c r="D411" s="20" t="s">
        <v>13064</v>
      </c>
      <c r="E411" s="20" t="s">
        <v>55</v>
      </c>
      <c r="F411" s="20" t="s">
        <v>55</v>
      </c>
      <c r="G411" s="20" t="s">
        <v>13065</v>
      </c>
      <c r="H411" s="20" t="s">
        <v>13066</v>
      </c>
      <c r="I411" s="20" t="s">
        <v>10279</v>
      </c>
      <c r="J411" s="21" t="s">
        <v>10328</v>
      </c>
      <c r="K411" s="21" t="s">
        <v>10966</v>
      </c>
      <c r="L411" s="21" t="s">
        <v>10964</v>
      </c>
      <c r="M411" s="21"/>
      <c r="N411" s="21"/>
      <c r="O411" s="21"/>
    </row>
    <row r="412" ht="15.75" customHeight="1">
      <c r="A412" s="22" t="s">
        <v>13067</v>
      </c>
      <c r="B412" s="22" t="s">
        <v>13068</v>
      </c>
      <c r="C412" s="22" t="s">
        <v>13069</v>
      </c>
      <c r="D412" s="22" t="s">
        <v>13070</v>
      </c>
      <c r="E412" s="22" t="s">
        <v>129</v>
      </c>
      <c r="F412" s="22" t="s">
        <v>129</v>
      </c>
      <c r="G412" s="22" t="s">
        <v>13071</v>
      </c>
      <c r="H412" s="22" t="s">
        <v>13072</v>
      </c>
      <c r="I412" s="22" t="s">
        <v>10279</v>
      </c>
      <c r="J412" s="22" t="s">
        <v>10321</v>
      </c>
      <c r="K412" s="22" t="s">
        <v>11228</v>
      </c>
      <c r="L412" s="22" t="s">
        <v>11229</v>
      </c>
      <c r="M412" s="22" t="s">
        <v>11230</v>
      </c>
      <c r="N412" s="22" t="s">
        <v>11231</v>
      </c>
      <c r="O412" s="22" t="s">
        <v>11232</v>
      </c>
    </row>
    <row r="413" ht="15.75" customHeight="1">
      <c r="A413" s="20" t="s">
        <v>13073</v>
      </c>
      <c r="B413" s="20" t="s">
        <v>13074</v>
      </c>
      <c r="C413" s="20"/>
      <c r="D413" s="20" t="s">
        <v>13075</v>
      </c>
      <c r="E413" s="20" t="s">
        <v>231</v>
      </c>
      <c r="F413" s="20" t="s">
        <v>231</v>
      </c>
      <c r="G413" s="20" t="s">
        <v>13076</v>
      </c>
      <c r="H413" s="20" t="s">
        <v>13077</v>
      </c>
      <c r="I413" s="20" t="s">
        <v>10279</v>
      </c>
      <c r="J413" s="21" t="s">
        <v>10394</v>
      </c>
      <c r="K413" s="21"/>
      <c r="L413" s="21"/>
      <c r="M413" s="21"/>
      <c r="N413" s="21"/>
      <c r="O413" s="21"/>
    </row>
    <row r="414" ht="15.75" customHeight="1">
      <c r="A414" s="22" t="s">
        <v>13078</v>
      </c>
      <c r="B414" s="22" t="s">
        <v>13079</v>
      </c>
      <c r="C414" s="22" t="s">
        <v>13080</v>
      </c>
      <c r="D414" s="22" t="s">
        <v>13081</v>
      </c>
      <c r="E414" s="22" t="s">
        <v>13082</v>
      </c>
      <c r="F414" s="22" t="s">
        <v>10408</v>
      </c>
      <c r="G414" s="22" t="s">
        <v>13083</v>
      </c>
      <c r="H414" s="22" t="s">
        <v>13084</v>
      </c>
      <c r="I414" s="22" t="s">
        <v>10279</v>
      </c>
      <c r="J414" s="22" t="s">
        <v>10328</v>
      </c>
      <c r="K414" s="22"/>
      <c r="L414" s="22"/>
      <c r="M414" s="22"/>
      <c r="N414" s="22"/>
      <c r="O414" s="22"/>
    </row>
    <row r="415" ht="15.75" customHeight="1">
      <c r="A415" s="20" t="s">
        <v>13085</v>
      </c>
      <c r="B415" s="20" t="s">
        <v>13086</v>
      </c>
      <c r="C415" s="20" t="s">
        <v>13087</v>
      </c>
      <c r="D415" s="20" t="s">
        <v>13088</v>
      </c>
      <c r="E415" s="20" t="s">
        <v>13089</v>
      </c>
      <c r="F415" s="20" t="s">
        <v>1929</v>
      </c>
      <c r="G415" s="20" t="s">
        <v>13090</v>
      </c>
      <c r="H415" s="20" t="s">
        <v>13091</v>
      </c>
      <c r="I415" s="20" t="s">
        <v>10279</v>
      </c>
      <c r="J415" s="21" t="s">
        <v>10986</v>
      </c>
      <c r="K415" s="21"/>
      <c r="L415" s="21"/>
      <c r="M415" s="21"/>
      <c r="N415" s="21"/>
      <c r="O415" s="21"/>
    </row>
    <row r="416" ht="15.75" customHeight="1">
      <c r="A416" s="22" t="s">
        <v>13092</v>
      </c>
      <c r="B416" s="22" t="s">
        <v>13093</v>
      </c>
      <c r="C416" s="22" t="s">
        <v>13094</v>
      </c>
      <c r="D416" s="22" t="s">
        <v>13095</v>
      </c>
      <c r="E416" s="22" t="s">
        <v>129</v>
      </c>
      <c r="F416" s="22" t="s">
        <v>129</v>
      </c>
      <c r="G416" s="22" t="s">
        <v>13096</v>
      </c>
      <c r="H416" s="22" t="s">
        <v>13092</v>
      </c>
      <c r="I416" s="22" t="s">
        <v>10279</v>
      </c>
      <c r="J416" s="22" t="s">
        <v>13097</v>
      </c>
      <c r="K416" s="22"/>
      <c r="L416" s="22"/>
      <c r="M416" s="22"/>
      <c r="N416" s="22"/>
      <c r="O416" s="22"/>
    </row>
    <row r="417" ht="15.75" customHeight="1">
      <c r="A417" s="20" t="s">
        <v>13098</v>
      </c>
      <c r="B417" s="20" t="s">
        <v>13099</v>
      </c>
      <c r="C417" s="20" t="s">
        <v>13100</v>
      </c>
      <c r="D417" s="20" t="s">
        <v>13101</v>
      </c>
      <c r="E417" s="20" t="s">
        <v>12475</v>
      </c>
      <c r="F417" s="20" t="s">
        <v>10698</v>
      </c>
      <c r="G417" s="20" t="s">
        <v>12476</v>
      </c>
      <c r="H417" s="20" t="s">
        <v>12477</v>
      </c>
      <c r="I417" s="20" t="s">
        <v>10279</v>
      </c>
      <c r="J417" s="21" t="s">
        <v>12228</v>
      </c>
      <c r="K417" s="21"/>
      <c r="L417" s="21"/>
      <c r="M417" s="21"/>
      <c r="N417" s="21"/>
      <c r="O417" s="21"/>
    </row>
    <row r="418" ht="15.75" customHeight="1">
      <c r="A418" s="22" t="s">
        <v>13102</v>
      </c>
      <c r="B418" s="22" t="s">
        <v>13103</v>
      </c>
      <c r="C418" s="22" t="s">
        <v>11745</v>
      </c>
      <c r="D418" s="22" t="s">
        <v>13104</v>
      </c>
      <c r="E418" s="22" t="s">
        <v>3008</v>
      </c>
      <c r="F418" s="22" t="s">
        <v>3008</v>
      </c>
      <c r="G418" s="22" t="s">
        <v>13105</v>
      </c>
      <c r="H418" s="22" t="s">
        <v>13106</v>
      </c>
      <c r="I418" s="22" t="s">
        <v>10279</v>
      </c>
      <c r="J418" s="22" t="s">
        <v>10394</v>
      </c>
      <c r="K418" s="22" t="s">
        <v>13107</v>
      </c>
      <c r="L418" s="22" t="s">
        <v>13108</v>
      </c>
      <c r="M418" s="22" t="s">
        <v>13109</v>
      </c>
      <c r="N418" s="22" t="s">
        <v>13110</v>
      </c>
      <c r="O418" s="22" t="s">
        <v>13111</v>
      </c>
    </row>
    <row r="419" ht="15.75" customHeight="1">
      <c r="A419" s="20" t="s">
        <v>13112</v>
      </c>
      <c r="B419" s="20" t="s">
        <v>13113</v>
      </c>
      <c r="C419" s="20" t="s">
        <v>11396</v>
      </c>
      <c r="D419" s="20" t="s">
        <v>13114</v>
      </c>
      <c r="E419" s="20" t="s">
        <v>11026</v>
      </c>
      <c r="F419" s="20" t="s">
        <v>231</v>
      </c>
      <c r="G419" s="20" t="s">
        <v>13115</v>
      </c>
      <c r="H419" s="20" t="s">
        <v>13116</v>
      </c>
      <c r="I419" s="20" t="s">
        <v>10279</v>
      </c>
      <c r="J419" s="21" t="s">
        <v>13117</v>
      </c>
      <c r="K419" s="21"/>
      <c r="L419" s="21"/>
      <c r="M419" s="21"/>
      <c r="N419" s="21"/>
      <c r="O419" s="21"/>
    </row>
    <row r="420" ht="15.75" customHeight="1">
      <c r="A420" s="22" t="s">
        <v>13118</v>
      </c>
      <c r="B420" s="22" t="s">
        <v>13119</v>
      </c>
      <c r="C420" s="22" t="s">
        <v>13120</v>
      </c>
      <c r="D420" s="22" t="s">
        <v>13121</v>
      </c>
      <c r="E420" s="22" t="s">
        <v>813</v>
      </c>
      <c r="F420" s="22" t="s">
        <v>813</v>
      </c>
      <c r="G420" s="22" t="s">
        <v>13122</v>
      </c>
      <c r="H420" s="22" t="s">
        <v>13123</v>
      </c>
      <c r="I420" s="22" t="s">
        <v>10279</v>
      </c>
      <c r="J420" s="22" t="s">
        <v>13124</v>
      </c>
      <c r="K420" s="22"/>
      <c r="L420" s="22"/>
      <c r="M420" s="22"/>
      <c r="N420" s="22"/>
      <c r="O420" s="22"/>
    </row>
    <row r="421" ht="15.75" customHeight="1">
      <c r="A421" s="20" t="s">
        <v>13125</v>
      </c>
      <c r="B421" s="20" t="s">
        <v>13126</v>
      </c>
      <c r="C421" s="20" t="s">
        <v>13127</v>
      </c>
      <c r="D421" s="20" t="s">
        <v>13128</v>
      </c>
      <c r="E421" s="20" t="s">
        <v>129</v>
      </c>
      <c r="F421" s="20" t="s">
        <v>129</v>
      </c>
      <c r="G421" s="20" t="s">
        <v>13129</v>
      </c>
      <c r="H421" s="20" t="s">
        <v>13130</v>
      </c>
      <c r="I421" s="20" t="s">
        <v>10279</v>
      </c>
      <c r="J421" s="21" t="s">
        <v>13131</v>
      </c>
      <c r="K421" s="21" t="s">
        <v>13132</v>
      </c>
      <c r="L421" s="21" t="s">
        <v>13133</v>
      </c>
      <c r="M421" s="21" t="s">
        <v>13127</v>
      </c>
      <c r="N421" s="21" t="s">
        <v>3797</v>
      </c>
      <c r="O421" s="21" t="s">
        <v>3798</v>
      </c>
    </row>
    <row r="422" ht="15.75" customHeight="1">
      <c r="A422" s="22" t="s">
        <v>13134</v>
      </c>
      <c r="B422" s="22" t="s">
        <v>13135</v>
      </c>
      <c r="C422" s="22" t="s">
        <v>13136</v>
      </c>
      <c r="D422" s="22" t="s">
        <v>13137</v>
      </c>
      <c r="E422" s="22" t="s">
        <v>12184</v>
      </c>
      <c r="F422" s="22" t="s">
        <v>1427</v>
      </c>
      <c r="G422" s="22" t="s">
        <v>13138</v>
      </c>
      <c r="H422" s="22" t="s">
        <v>13139</v>
      </c>
      <c r="I422" s="22" t="s">
        <v>10279</v>
      </c>
      <c r="J422" s="22" t="s">
        <v>10314</v>
      </c>
      <c r="K422" s="22" t="s">
        <v>13140</v>
      </c>
      <c r="L422" s="22" t="s">
        <v>13138</v>
      </c>
      <c r="M422" s="22" t="s">
        <v>13136</v>
      </c>
      <c r="N422" s="22" t="s">
        <v>13135</v>
      </c>
      <c r="O422" s="22" t="s">
        <v>13141</v>
      </c>
    </row>
    <row r="423" ht="15.75" customHeight="1">
      <c r="A423" s="20" t="s">
        <v>13142</v>
      </c>
      <c r="B423" s="20" t="s">
        <v>13143</v>
      </c>
      <c r="C423" s="20" t="s">
        <v>13144</v>
      </c>
      <c r="D423" s="20" t="s">
        <v>13145</v>
      </c>
      <c r="E423" s="20" t="s">
        <v>55</v>
      </c>
      <c r="F423" s="20" t="s">
        <v>55</v>
      </c>
      <c r="G423" s="20" t="s">
        <v>13146</v>
      </c>
      <c r="H423" s="20" t="s">
        <v>13147</v>
      </c>
      <c r="I423" s="20" t="s">
        <v>10279</v>
      </c>
      <c r="J423" s="21" t="s">
        <v>11548</v>
      </c>
      <c r="K423" s="21"/>
      <c r="L423" s="21"/>
      <c r="M423" s="21"/>
      <c r="N423" s="21"/>
      <c r="O423" s="21"/>
    </row>
    <row r="424" ht="15.75" customHeight="1">
      <c r="A424" s="22" t="s">
        <v>13148</v>
      </c>
      <c r="B424" s="22" t="s">
        <v>13149</v>
      </c>
      <c r="C424" s="22" t="s">
        <v>13150</v>
      </c>
      <c r="D424" s="22" t="s">
        <v>13151</v>
      </c>
      <c r="E424" s="22" t="s">
        <v>12093</v>
      </c>
      <c r="F424" s="22" t="s">
        <v>55</v>
      </c>
      <c r="G424" s="22" t="s">
        <v>13152</v>
      </c>
      <c r="H424" s="22" t="s">
        <v>13153</v>
      </c>
      <c r="I424" s="22" t="s">
        <v>10279</v>
      </c>
      <c r="J424" s="22" t="s">
        <v>13154</v>
      </c>
      <c r="K424" s="22"/>
      <c r="L424" s="22"/>
      <c r="M424" s="22"/>
      <c r="N424" s="22"/>
      <c r="O424" s="22"/>
    </row>
    <row r="425" ht="15.75" customHeight="1">
      <c r="A425" s="20" t="s">
        <v>13155</v>
      </c>
      <c r="B425" s="20" t="s">
        <v>13156</v>
      </c>
      <c r="C425" s="20" t="s">
        <v>13157</v>
      </c>
      <c r="D425" s="20" t="s">
        <v>13158</v>
      </c>
      <c r="E425" s="20" t="s">
        <v>13159</v>
      </c>
      <c r="F425" s="20" t="s">
        <v>813</v>
      </c>
      <c r="G425" s="20" t="s">
        <v>13160</v>
      </c>
      <c r="H425" s="20" t="s">
        <v>13161</v>
      </c>
      <c r="I425" s="20" t="s">
        <v>10279</v>
      </c>
      <c r="J425" s="21" t="s">
        <v>10928</v>
      </c>
      <c r="K425" s="21"/>
      <c r="L425" s="21"/>
      <c r="M425" s="21"/>
      <c r="N425" s="21"/>
      <c r="O425" s="21"/>
    </row>
    <row r="426" ht="15.75" customHeight="1">
      <c r="A426" s="22" t="s">
        <v>13162</v>
      </c>
      <c r="B426" s="22" t="s">
        <v>13163</v>
      </c>
      <c r="C426" s="22" t="s">
        <v>13164</v>
      </c>
      <c r="D426" s="22" t="s">
        <v>13165</v>
      </c>
      <c r="E426" s="22" t="s">
        <v>55</v>
      </c>
      <c r="F426" s="22" t="s">
        <v>55</v>
      </c>
      <c r="G426" s="22" t="s">
        <v>13166</v>
      </c>
      <c r="H426" s="22"/>
      <c r="I426" s="22" t="s">
        <v>10279</v>
      </c>
      <c r="J426" s="22" t="s">
        <v>10321</v>
      </c>
      <c r="K426" s="22"/>
      <c r="L426" s="22"/>
      <c r="M426" s="22"/>
      <c r="N426" s="22"/>
      <c r="O426" s="22"/>
    </row>
    <row r="427" ht="15.75" customHeight="1">
      <c r="A427" s="20" t="s">
        <v>13167</v>
      </c>
      <c r="B427" s="20" t="s">
        <v>13168</v>
      </c>
      <c r="C427" s="20" t="s">
        <v>13169</v>
      </c>
      <c r="D427" s="20" t="s">
        <v>13170</v>
      </c>
      <c r="E427" s="20" t="s">
        <v>13171</v>
      </c>
      <c r="F427" s="20" t="s">
        <v>1929</v>
      </c>
      <c r="G427" s="20" t="s">
        <v>13172</v>
      </c>
      <c r="H427" s="20" t="s">
        <v>13173</v>
      </c>
      <c r="I427" s="20" t="s">
        <v>10279</v>
      </c>
      <c r="J427" s="21" t="s">
        <v>10280</v>
      </c>
      <c r="K427" s="21"/>
      <c r="L427" s="21"/>
      <c r="M427" s="21"/>
      <c r="N427" s="21"/>
      <c r="O427" s="21"/>
    </row>
    <row r="428" ht="15.75" customHeight="1">
      <c r="A428" s="22" t="s">
        <v>13174</v>
      </c>
      <c r="B428" s="22" t="s">
        <v>13175</v>
      </c>
      <c r="C428" s="22" t="s">
        <v>13176</v>
      </c>
      <c r="D428" s="22" t="s">
        <v>13177</v>
      </c>
      <c r="E428" s="22" t="s">
        <v>55</v>
      </c>
      <c r="F428" s="22" t="s">
        <v>55</v>
      </c>
      <c r="G428" s="22" t="s">
        <v>13178</v>
      </c>
      <c r="H428" s="22" t="s">
        <v>13179</v>
      </c>
      <c r="I428" s="22" t="s">
        <v>10279</v>
      </c>
      <c r="J428" s="22" t="s">
        <v>13180</v>
      </c>
      <c r="K428" s="22"/>
      <c r="L428" s="22"/>
      <c r="M428" s="22"/>
      <c r="N428" s="22"/>
      <c r="O428" s="22"/>
    </row>
    <row r="429" ht="15.75" customHeight="1">
      <c r="A429" s="20" t="s">
        <v>13181</v>
      </c>
      <c r="B429" s="20" t="s">
        <v>13182</v>
      </c>
      <c r="C429" s="20" t="s">
        <v>13183</v>
      </c>
      <c r="D429" s="20" t="s">
        <v>13184</v>
      </c>
      <c r="E429" s="20" t="s">
        <v>100</v>
      </c>
      <c r="F429" s="20" t="s">
        <v>100</v>
      </c>
      <c r="G429" s="20" t="s">
        <v>13185</v>
      </c>
      <c r="H429" s="20" t="s">
        <v>13186</v>
      </c>
      <c r="I429" s="20" t="s">
        <v>10279</v>
      </c>
      <c r="J429" s="21" t="s">
        <v>11725</v>
      </c>
      <c r="K429" s="21"/>
      <c r="L429" s="21"/>
      <c r="M429" s="21"/>
      <c r="N429" s="21"/>
      <c r="O429" s="21"/>
    </row>
    <row r="430" ht="15.75" customHeight="1">
      <c r="A430" s="22" t="s">
        <v>13187</v>
      </c>
      <c r="B430" s="22" t="s">
        <v>13188</v>
      </c>
      <c r="C430" s="22" t="s">
        <v>13189</v>
      </c>
      <c r="D430" s="22" t="s">
        <v>13190</v>
      </c>
      <c r="E430" s="22" t="s">
        <v>723</v>
      </c>
      <c r="F430" s="22" t="s">
        <v>406</v>
      </c>
      <c r="G430" s="22" t="s">
        <v>13191</v>
      </c>
      <c r="H430" s="22" t="s">
        <v>13192</v>
      </c>
      <c r="I430" s="22" t="s">
        <v>10279</v>
      </c>
      <c r="J430" s="22" t="s">
        <v>10387</v>
      </c>
      <c r="K430" s="22"/>
      <c r="L430" s="22"/>
      <c r="M430" s="22"/>
      <c r="N430" s="22"/>
      <c r="O430" s="22"/>
    </row>
    <row r="431" ht="15.75" customHeight="1">
      <c r="A431" s="20" t="s">
        <v>13193</v>
      </c>
      <c r="B431" s="20" t="s">
        <v>13194</v>
      </c>
      <c r="C431" s="20"/>
      <c r="D431" s="20" t="s">
        <v>13195</v>
      </c>
      <c r="E431" s="20" t="s">
        <v>55</v>
      </c>
      <c r="F431" s="20" t="s">
        <v>55</v>
      </c>
      <c r="G431" s="20" t="s">
        <v>13196</v>
      </c>
      <c r="H431" s="20" t="s">
        <v>13197</v>
      </c>
      <c r="I431" s="20" t="s">
        <v>10279</v>
      </c>
      <c r="J431" s="21" t="s">
        <v>10321</v>
      </c>
      <c r="K431" s="21"/>
      <c r="L431" s="21"/>
      <c r="M431" s="21"/>
      <c r="N431" s="21"/>
      <c r="O431" s="21"/>
    </row>
    <row r="432" ht="15.75" customHeight="1">
      <c r="A432" s="22" t="s">
        <v>13198</v>
      </c>
      <c r="B432" s="22" t="s">
        <v>13199</v>
      </c>
      <c r="C432" s="22" t="s">
        <v>13200</v>
      </c>
      <c r="D432" s="22" t="s">
        <v>13201</v>
      </c>
      <c r="E432" s="22" t="s">
        <v>231</v>
      </c>
      <c r="F432" s="22" t="s">
        <v>231</v>
      </c>
      <c r="G432" s="22" t="s">
        <v>13202</v>
      </c>
      <c r="H432" s="22" t="s">
        <v>13203</v>
      </c>
      <c r="I432" s="22" t="s">
        <v>10279</v>
      </c>
      <c r="J432" s="22" t="s">
        <v>13204</v>
      </c>
      <c r="K432" s="22"/>
      <c r="L432" s="22"/>
      <c r="M432" s="22"/>
      <c r="N432" s="22"/>
      <c r="O432" s="22"/>
    </row>
    <row r="433" ht="15.75" customHeight="1">
      <c r="A433" s="20" t="s">
        <v>13205</v>
      </c>
      <c r="B433" s="20" t="s">
        <v>13206</v>
      </c>
      <c r="C433" s="20" t="s">
        <v>13207</v>
      </c>
      <c r="D433" s="20" t="s">
        <v>13208</v>
      </c>
      <c r="E433" s="20" t="s">
        <v>3081</v>
      </c>
      <c r="F433" s="20" t="s">
        <v>926</v>
      </c>
      <c r="G433" s="20" t="s">
        <v>13209</v>
      </c>
      <c r="H433" s="20" t="s">
        <v>13210</v>
      </c>
      <c r="I433" s="20" t="s">
        <v>10279</v>
      </c>
      <c r="J433" s="21" t="s">
        <v>10321</v>
      </c>
      <c r="K433" s="21"/>
      <c r="L433" s="21"/>
      <c r="M433" s="21"/>
      <c r="N433" s="21"/>
      <c r="O433" s="21"/>
    </row>
    <row r="434" ht="15.75" customHeight="1">
      <c r="A434" s="22" t="s">
        <v>13211</v>
      </c>
      <c r="B434" s="22" t="s">
        <v>13212</v>
      </c>
      <c r="C434" s="22" t="s">
        <v>13213</v>
      </c>
      <c r="D434" s="22" t="s">
        <v>13214</v>
      </c>
      <c r="E434" s="22" t="s">
        <v>13215</v>
      </c>
      <c r="F434" s="22" t="s">
        <v>1014</v>
      </c>
      <c r="G434" s="22" t="s">
        <v>13216</v>
      </c>
      <c r="H434" s="22" t="s">
        <v>13217</v>
      </c>
      <c r="I434" s="22" t="s">
        <v>10279</v>
      </c>
      <c r="J434" s="22" t="s">
        <v>10280</v>
      </c>
      <c r="K434" s="22" t="s">
        <v>12569</v>
      </c>
      <c r="L434" s="22" t="s">
        <v>12570</v>
      </c>
      <c r="M434" s="22" t="s">
        <v>12571</v>
      </c>
      <c r="N434" s="22" t="s">
        <v>12572</v>
      </c>
      <c r="O434" s="22" t="s">
        <v>12573</v>
      </c>
    </row>
    <row r="435" ht="15.75" customHeight="1">
      <c r="A435" s="20" t="s">
        <v>13218</v>
      </c>
      <c r="B435" s="20" t="s">
        <v>13219</v>
      </c>
      <c r="C435" s="20"/>
      <c r="D435" s="20" t="s">
        <v>13220</v>
      </c>
      <c r="E435" s="20" t="s">
        <v>723</v>
      </c>
      <c r="F435" s="20" t="s">
        <v>406</v>
      </c>
      <c r="G435" s="20" t="s">
        <v>13221</v>
      </c>
      <c r="H435" s="20"/>
      <c r="I435" s="20" t="s">
        <v>10279</v>
      </c>
      <c r="J435" s="21" t="s">
        <v>10394</v>
      </c>
      <c r="K435" s="21"/>
      <c r="L435" s="21"/>
      <c r="M435" s="21"/>
      <c r="N435" s="21"/>
      <c r="O435" s="21"/>
    </row>
    <row r="436" ht="15.75" customHeight="1">
      <c r="A436" s="22" t="s">
        <v>13222</v>
      </c>
      <c r="B436" s="22" t="s">
        <v>13223</v>
      </c>
      <c r="C436" s="22" t="s">
        <v>13224</v>
      </c>
      <c r="D436" s="22" t="s">
        <v>13225</v>
      </c>
      <c r="E436" s="22" t="s">
        <v>395</v>
      </c>
      <c r="F436" s="22" t="s">
        <v>395</v>
      </c>
      <c r="G436" s="22" t="s">
        <v>13226</v>
      </c>
      <c r="H436" s="22" t="s">
        <v>13227</v>
      </c>
      <c r="I436" s="22" t="s">
        <v>10279</v>
      </c>
      <c r="J436" s="22" t="s">
        <v>10623</v>
      </c>
      <c r="K436" s="22"/>
      <c r="L436" s="22"/>
      <c r="M436" s="22"/>
      <c r="N436" s="22"/>
      <c r="O436" s="22"/>
    </row>
    <row r="437" ht="15.75" customHeight="1">
      <c r="A437" s="20" t="s">
        <v>13228</v>
      </c>
      <c r="B437" s="20" t="s">
        <v>13229</v>
      </c>
      <c r="C437" s="20" t="s">
        <v>13230</v>
      </c>
      <c r="D437" s="20" t="s">
        <v>13231</v>
      </c>
      <c r="E437" s="20" t="s">
        <v>3008</v>
      </c>
      <c r="F437" s="20" t="s">
        <v>3008</v>
      </c>
      <c r="G437" s="20" t="s">
        <v>13232</v>
      </c>
      <c r="H437" s="20" t="s">
        <v>13233</v>
      </c>
      <c r="I437" s="20" t="s">
        <v>10279</v>
      </c>
      <c r="J437" s="21" t="s">
        <v>10280</v>
      </c>
      <c r="K437" s="21"/>
      <c r="L437" s="21"/>
      <c r="M437" s="21"/>
      <c r="N437" s="21"/>
      <c r="O437" s="21"/>
    </row>
    <row r="438" ht="15.75" customHeight="1">
      <c r="A438" s="22" t="s">
        <v>13234</v>
      </c>
      <c r="B438" s="22" t="s">
        <v>13235</v>
      </c>
      <c r="C438" s="22" t="s">
        <v>13236</v>
      </c>
      <c r="D438" s="22" t="s">
        <v>13237</v>
      </c>
      <c r="E438" s="22" t="s">
        <v>5648</v>
      </c>
      <c r="F438" s="22" t="s">
        <v>231</v>
      </c>
      <c r="G438" s="22" t="s">
        <v>13238</v>
      </c>
      <c r="H438" s="22" t="s">
        <v>13239</v>
      </c>
      <c r="I438" s="22" t="s">
        <v>10279</v>
      </c>
      <c r="J438" s="22" t="s">
        <v>11016</v>
      </c>
      <c r="K438" s="22"/>
      <c r="L438" s="22"/>
      <c r="M438" s="22"/>
      <c r="N438" s="22"/>
      <c r="O438" s="22"/>
    </row>
    <row r="439" ht="15.75" customHeight="1">
      <c r="A439" s="20" t="s">
        <v>13240</v>
      </c>
      <c r="B439" s="20"/>
      <c r="C439" s="20" t="s">
        <v>13241</v>
      </c>
      <c r="D439" s="20" t="s">
        <v>13242</v>
      </c>
      <c r="E439" s="20" t="s">
        <v>231</v>
      </c>
      <c r="F439" s="20" t="s">
        <v>231</v>
      </c>
      <c r="G439" s="20" t="s">
        <v>13243</v>
      </c>
      <c r="H439" s="20" t="s">
        <v>13244</v>
      </c>
      <c r="I439" s="20" t="s">
        <v>10279</v>
      </c>
      <c r="J439" s="21" t="s">
        <v>13245</v>
      </c>
      <c r="K439" s="21" t="s">
        <v>13246</v>
      </c>
      <c r="L439" s="21" t="s">
        <v>13247</v>
      </c>
      <c r="M439" s="21"/>
      <c r="N439" s="21"/>
      <c r="O439" s="21"/>
    </row>
    <row r="440" ht="15.75" customHeight="1">
      <c r="A440" s="22" t="s">
        <v>13248</v>
      </c>
      <c r="B440" s="22"/>
      <c r="C440" s="22"/>
      <c r="D440" s="22" t="s">
        <v>13249</v>
      </c>
      <c r="E440" s="22" t="s">
        <v>55</v>
      </c>
      <c r="F440" s="22" t="s">
        <v>55</v>
      </c>
      <c r="G440" s="22" t="s">
        <v>13250</v>
      </c>
      <c r="H440" s="22" t="s">
        <v>13251</v>
      </c>
      <c r="I440" s="22" t="s">
        <v>10279</v>
      </c>
      <c r="J440" s="22" t="s">
        <v>11548</v>
      </c>
      <c r="K440" s="22" t="s">
        <v>13252</v>
      </c>
      <c r="L440" s="22" t="s">
        <v>10282</v>
      </c>
      <c r="M440" s="22" t="s">
        <v>10283</v>
      </c>
      <c r="N440" s="22" t="s">
        <v>10284</v>
      </c>
      <c r="O440" s="22" t="s">
        <v>10285</v>
      </c>
    </row>
    <row r="441" ht="15.75" customHeight="1">
      <c r="A441" s="20" t="s">
        <v>13253</v>
      </c>
      <c r="B441" s="20" t="s">
        <v>13254</v>
      </c>
      <c r="C441" s="20" t="s">
        <v>13255</v>
      </c>
      <c r="D441" s="20" t="s">
        <v>13256</v>
      </c>
      <c r="E441" s="20" t="s">
        <v>11213</v>
      </c>
      <c r="F441" s="20" t="s">
        <v>1612</v>
      </c>
      <c r="G441" s="20" t="s">
        <v>13257</v>
      </c>
      <c r="H441" s="20" t="s">
        <v>13258</v>
      </c>
      <c r="I441" s="20" t="s">
        <v>10279</v>
      </c>
      <c r="J441" s="21" t="s">
        <v>10852</v>
      </c>
      <c r="K441" s="21"/>
      <c r="L441" s="21"/>
      <c r="M441" s="21"/>
      <c r="N441" s="21"/>
      <c r="O441" s="21"/>
    </row>
    <row r="442" ht="15.75" customHeight="1">
      <c r="A442" s="22" t="s">
        <v>13259</v>
      </c>
      <c r="B442" s="22"/>
      <c r="C442" s="22" t="s">
        <v>13260</v>
      </c>
      <c r="D442" s="22" t="s">
        <v>13261</v>
      </c>
      <c r="E442" s="22" t="s">
        <v>55</v>
      </c>
      <c r="F442" s="22" t="s">
        <v>55</v>
      </c>
      <c r="G442" s="22" t="s">
        <v>13262</v>
      </c>
      <c r="H442" s="22" t="s">
        <v>13263</v>
      </c>
      <c r="I442" s="22" t="s">
        <v>10279</v>
      </c>
      <c r="J442" s="22" t="s">
        <v>10321</v>
      </c>
      <c r="K442" s="22"/>
      <c r="L442" s="22"/>
      <c r="M442" s="22"/>
      <c r="N442" s="22"/>
      <c r="O442" s="22"/>
    </row>
    <row r="443" ht="15.75" customHeight="1">
      <c r="A443" s="20" t="s">
        <v>13264</v>
      </c>
      <c r="B443" s="20" t="s">
        <v>13265</v>
      </c>
      <c r="C443" s="20" t="s">
        <v>13266</v>
      </c>
      <c r="D443" s="20" t="s">
        <v>13267</v>
      </c>
      <c r="E443" s="20" t="s">
        <v>231</v>
      </c>
      <c r="F443" s="20" t="s">
        <v>231</v>
      </c>
      <c r="G443" s="20" t="s">
        <v>13268</v>
      </c>
      <c r="H443" s="20" t="s">
        <v>13269</v>
      </c>
      <c r="I443" s="20" t="s">
        <v>10279</v>
      </c>
      <c r="J443" s="21" t="s">
        <v>10321</v>
      </c>
      <c r="K443" s="21"/>
      <c r="L443" s="21"/>
      <c r="M443" s="21"/>
      <c r="N443" s="21"/>
      <c r="O443" s="21"/>
    </row>
    <row r="444" ht="15.75" customHeight="1">
      <c r="A444" s="22" t="s">
        <v>13270</v>
      </c>
      <c r="B444" s="22" t="s">
        <v>13271</v>
      </c>
      <c r="C444" s="22" t="s">
        <v>13272</v>
      </c>
      <c r="D444" s="22" t="s">
        <v>13273</v>
      </c>
      <c r="E444" s="22" t="s">
        <v>55</v>
      </c>
      <c r="F444" s="22" t="s">
        <v>55</v>
      </c>
      <c r="G444" s="22" t="s">
        <v>13274</v>
      </c>
      <c r="H444" s="22" t="s">
        <v>13275</v>
      </c>
      <c r="I444" s="22" t="s">
        <v>10279</v>
      </c>
      <c r="J444" s="22" t="s">
        <v>10583</v>
      </c>
      <c r="K444" s="22"/>
      <c r="L444" s="22"/>
      <c r="M444" s="22"/>
      <c r="N444" s="22"/>
      <c r="O444" s="22"/>
    </row>
    <row r="445" ht="15.75" customHeight="1">
      <c r="A445" s="20" t="s">
        <v>13276</v>
      </c>
      <c r="B445" s="20" t="s">
        <v>13277</v>
      </c>
      <c r="C445" s="20" t="s">
        <v>13278</v>
      </c>
      <c r="D445" s="20" t="s">
        <v>13279</v>
      </c>
      <c r="E445" s="20" t="s">
        <v>698</v>
      </c>
      <c r="F445" s="20" t="s">
        <v>731</v>
      </c>
      <c r="G445" s="20" t="s">
        <v>13280</v>
      </c>
      <c r="H445" s="20" t="s">
        <v>13281</v>
      </c>
      <c r="I445" s="20" t="s">
        <v>10279</v>
      </c>
      <c r="J445" s="21" t="s">
        <v>10280</v>
      </c>
      <c r="K445" s="21"/>
      <c r="L445" s="21"/>
      <c r="M445" s="21"/>
      <c r="N445" s="21"/>
      <c r="O445" s="21"/>
    </row>
    <row r="446" ht="15.75" customHeight="1">
      <c r="A446" s="22" t="s">
        <v>13282</v>
      </c>
      <c r="B446" s="22" t="s">
        <v>13283</v>
      </c>
      <c r="C446" s="22" t="s">
        <v>13284</v>
      </c>
      <c r="D446" s="22" t="s">
        <v>13285</v>
      </c>
      <c r="E446" s="22" t="s">
        <v>12453</v>
      </c>
      <c r="F446" s="22" t="s">
        <v>10698</v>
      </c>
      <c r="G446" s="22" t="s">
        <v>13286</v>
      </c>
      <c r="H446" s="22" t="s">
        <v>13287</v>
      </c>
      <c r="I446" s="22" t="s">
        <v>10279</v>
      </c>
      <c r="J446" s="22" t="s">
        <v>10623</v>
      </c>
      <c r="K446" s="22"/>
      <c r="L446" s="22"/>
      <c r="M446" s="22"/>
      <c r="N446" s="22"/>
      <c r="O446" s="22"/>
    </row>
    <row r="447" ht="15.75" customHeight="1">
      <c r="A447" s="20" t="s">
        <v>13288</v>
      </c>
      <c r="B447" s="20" t="s">
        <v>13289</v>
      </c>
      <c r="C447" s="20" t="s">
        <v>13290</v>
      </c>
      <c r="D447" s="20" t="s">
        <v>13291</v>
      </c>
      <c r="E447" s="20" t="s">
        <v>12599</v>
      </c>
      <c r="F447" s="20" t="s">
        <v>3008</v>
      </c>
      <c r="G447" s="20" t="s">
        <v>13292</v>
      </c>
      <c r="H447" s="20" t="s">
        <v>13293</v>
      </c>
      <c r="I447" s="20" t="s">
        <v>10279</v>
      </c>
      <c r="J447" s="21" t="s">
        <v>11072</v>
      </c>
      <c r="K447" s="21" t="s">
        <v>13294</v>
      </c>
      <c r="L447" s="21" t="s">
        <v>13295</v>
      </c>
      <c r="M447" s="21" t="s">
        <v>13296</v>
      </c>
      <c r="N447" s="21" t="s">
        <v>13297</v>
      </c>
      <c r="O447" s="21" t="s">
        <v>13298</v>
      </c>
    </row>
    <row r="448" ht="15.75" customHeight="1">
      <c r="A448" s="22" t="s">
        <v>13299</v>
      </c>
      <c r="B448" s="22" t="s">
        <v>13300</v>
      </c>
      <c r="C448" s="22" t="s">
        <v>13301</v>
      </c>
      <c r="D448" s="22" t="s">
        <v>13302</v>
      </c>
      <c r="E448" s="22" t="s">
        <v>13303</v>
      </c>
      <c r="F448" s="22" t="s">
        <v>1352</v>
      </c>
      <c r="G448" s="22" t="s">
        <v>13304</v>
      </c>
      <c r="H448" s="22" t="s">
        <v>13305</v>
      </c>
      <c r="I448" s="22" t="s">
        <v>10279</v>
      </c>
      <c r="J448" s="22" t="s">
        <v>10280</v>
      </c>
      <c r="K448" s="22"/>
      <c r="L448" s="22"/>
      <c r="M448" s="22"/>
      <c r="N448" s="22"/>
      <c r="O448" s="22"/>
    </row>
    <row r="449" ht="15.75" customHeight="1">
      <c r="A449" s="20" t="s">
        <v>13306</v>
      </c>
      <c r="B449" s="20" t="s">
        <v>13307</v>
      </c>
      <c r="C449" s="20" t="s">
        <v>13308</v>
      </c>
      <c r="D449" s="20" t="s">
        <v>13309</v>
      </c>
      <c r="E449" s="20" t="s">
        <v>1929</v>
      </c>
      <c r="F449" s="20" t="s">
        <v>1929</v>
      </c>
      <c r="G449" s="20" t="s">
        <v>13310</v>
      </c>
      <c r="H449" s="20" t="s">
        <v>13311</v>
      </c>
      <c r="I449" s="20" t="s">
        <v>10279</v>
      </c>
      <c r="J449" s="21" t="s">
        <v>11114</v>
      </c>
      <c r="K449" s="21"/>
      <c r="L449" s="21"/>
      <c r="M449" s="21"/>
      <c r="N449" s="21"/>
      <c r="O449" s="21"/>
    </row>
    <row r="450" ht="15.75" customHeight="1">
      <c r="A450" s="22" t="s">
        <v>13312</v>
      </c>
      <c r="B450" s="22" t="s">
        <v>13313</v>
      </c>
      <c r="C450" s="22" t="s">
        <v>13314</v>
      </c>
      <c r="D450" s="22" t="s">
        <v>13315</v>
      </c>
      <c r="E450" s="22" t="s">
        <v>13316</v>
      </c>
      <c r="F450" s="22" t="s">
        <v>231</v>
      </c>
      <c r="G450" s="22" t="s">
        <v>13317</v>
      </c>
      <c r="H450" s="22" t="s">
        <v>13318</v>
      </c>
      <c r="I450" s="22" t="s">
        <v>10279</v>
      </c>
      <c r="J450" s="22" t="s">
        <v>13319</v>
      </c>
      <c r="K450" s="22"/>
      <c r="L450" s="22"/>
      <c r="M450" s="22"/>
      <c r="N450" s="22"/>
      <c r="O450" s="22"/>
    </row>
    <row r="451" ht="15.75" customHeight="1">
      <c r="A451" s="20" t="s">
        <v>13320</v>
      </c>
      <c r="B451" s="20" t="s">
        <v>13321</v>
      </c>
      <c r="C451" s="20" t="s">
        <v>13322</v>
      </c>
      <c r="D451" s="20" t="s">
        <v>13323</v>
      </c>
      <c r="E451" s="20" t="s">
        <v>813</v>
      </c>
      <c r="F451" s="20" t="s">
        <v>813</v>
      </c>
      <c r="G451" s="20" t="s">
        <v>13324</v>
      </c>
      <c r="H451" s="20" t="s">
        <v>13325</v>
      </c>
      <c r="I451" s="20" t="s">
        <v>10279</v>
      </c>
      <c r="J451" s="21" t="s">
        <v>10314</v>
      </c>
      <c r="K451" s="21" t="s">
        <v>12569</v>
      </c>
      <c r="L451" s="21" t="s">
        <v>12570</v>
      </c>
      <c r="M451" s="21" t="s">
        <v>12571</v>
      </c>
      <c r="N451" s="21" t="s">
        <v>12572</v>
      </c>
      <c r="O451" s="21" t="s">
        <v>12573</v>
      </c>
    </row>
    <row r="452" ht="15.75" customHeight="1">
      <c r="A452" s="22" t="s">
        <v>13326</v>
      </c>
      <c r="B452" s="22" t="s">
        <v>13327</v>
      </c>
      <c r="C452" s="22" t="s">
        <v>13328</v>
      </c>
      <c r="D452" s="22" t="s">
        <v>13329</v>
      </c>
      <c r="E452" s="22" t="s">
        <v>231</v>
      </c>
      <c r="F452" s="22" t="s">
        <v>231</v>
      </c>
      <c r="G452" s="22" t="s">
        <v>13330</v>
      </c>
      <c r="H452" s="22" t="s">
        <v>13331</v>
      </c>
      <c r="I452" s="22" t="s">
        <v>10279</v>
      </c>
      <c r="J452" s="22" t="s">
        <v>10280</v>
      </c>
      <c r="K452" s="22"/>
      <c r="L452" s="22"/>
      <c r="M452" s="22"/>
      <c r="N452" s="22"/>
      <c r="O452" s="22"/>
    </row>
    <row r="453" ht="15.75" customHeight="1">
      <c r="A453" s="20" t="s">
        <v>10472</v>
      </c>
      <c r="B453" s="20" t="s">
        <v>13332</v>
      </c>
      <c r="C453" s="20" t="s">
        <v>13333</v>
      </c>
      <c r="D453" s="20" t="s">
        <v>13334</v>
      </c>
      <c r="E453" s="20" t="s">
        <v>55</v>
      </c>
      <c r="F453" s="20" t="s">
        <v>55</v>
      </c>
      <c r="G453" s="20" t="s">
        <v>10473</v>
      </c>
      <c r="H453" s="20" t="s">
        <v>13335</v>
      </c>
      <c r="I453" s="20" t="s">
        <v>10279</v>
      </c>
      <c r="J453" s="21" t="s">
        <v>13336</v>
      </c>
      <c r="K453" s="21"/>
      <c r="L453" s="21"/>
      <c r="M453" s="21"/>
      <c r="N453" s="21"/>
      <c r="O453" s="21"/>
    </row>
    <row r="454" ht="15.75" customHeight="1">
      <c r="A454" s="22" t="s">
        <v>13337</v>
      </c>
      <c r="B454" s="22" t="s">
        <v>13338</v>
      </c>
      <c r="C454" s="22" t="s">
        <v>13339</v>
      </c>
      <c r="D454" s="22" t="s">
        <v>13340</v>
      </c>
      <c r="E454" s="22" t="s">
        <v>55</v>
      </c>
      <c r="F454" s="22" t="s">
        <v>55</v>
      </c>
      <c r="G454" s="22" t="s">
        <v>13341</v>
      </c>
      <c r="H454" s="22" t="s">
        <v>13342</v>
      </c>
      <c r="I454" s="22" t="s">
        <v>10279</v>
      </c>
      <c r="J454" s="22" t="s">
        <v>10314</v>
      </c>
      <c r="K454" s="22"/>
      <c r="L454" s="22"/>
      <c r="M454" s="22"/>
      <c r="N454" s="22"/>
      <c r="O454" s="22"/>
    </row>
    <row r="455" ht="15.75" customHeight="1">
      <c r="A455" s="20" t="s">
        <v>13343</v>
      </c>
      <c r="B455" s="20" t="s">
        <v>13344</v>
      </c>
      <c r="C455" s="20" t="s">
        <v>13345</v>
      </c>
      <c r="D455" s="20" t="s">
        <v>13346</v>
      </c>
      <c r="E455" s="20" t="s">
        <v>13347</v>
      </c>
      <c r="F455" s="20" t="s">
        <v>262</v>
      </c>
      <c r="G455" s="20" t="s">
        <v>13348</v>
      </c>
      <c r="H455" s="20" t="s">
        <v>13349</v>
      </c>
      <c r="I455" s="20" t="s">
        <v>10279</v>
      </c>
      <c r="J455" s="21" t="s">
        <v>12266</v>
      </c>
      <c r="K455" s="21"/>
      <c r="L455" s="21"/>
      <c r="M455" s="21"/>
      <c r="N455" s="21"/>
      <c r="O455" s="21"/>
    </row>
    <row r="456" ht="15.75" customHeight="1">
      <c r="A456" s="22" t="s">
        <v>13350</v>
      </c>
      <c r="B456" s="22" t="s">
        <v>13351</v>
      </c>
      <c r="C456" s="22" t="s">
        <v>13352</v>
      </c>
      <c r="D456" s="22" t="s">
        <v>13353</v>
      </c>
      <c r="E456" s="22" t="s">
        <v>12053</v>
      </c>
      <c r="F456" s="22" t="s">
        <v>231</v>
      </c>
      <c r="G456" s="22" t="s">
        <v>13354</v>
      </c>
      <c r="H456" s="22" t="s">
        <v>13355</v>
      </c>
      <c r="I456" s="22" t="s">
        <v>10279</v>
      </c>
      <c r="J456" s="22" t="s">
        <v>11196</v>
      </c>
      <c r="K456" s="22"/>
      <c r="L456" s="22"/>
      <c r="M456" s="22"/>
      <c r="N456" s="22"/>
      <c r="O456" s="22"/>
    </row>
    <row r="457" ht="15.75" customHeight="1">
      <c r="A457" s="20" t="s">
        <v>13356</v>
      </c>
      <c r="B457" s="20" t="s">
        <v>13357</v>
      </c>
      <c r="C457" s="20" t="s">
        <v>13358</v>
      </c>
      <c r="D457" s="20" t="s">
        <v>13359</v>
      </c>
      <c r="E457" s="20" t="s">
        <v>231</v>
      </c>
      <c r="F457" s="20" t="s">
        <v>231</v>
      </c>
      <c r="G457" s="20" t="s">
        <v>13360</v>
      </c>
      <c r="H457" s="20"/>
      <c r="I457" s="20" t="s">
        <v>10279</v>
      </c>
      <c r="J457" s="21" t="s">
        <v>10680</v>
      </c>
      <c r="K457" s="21"/>
      <c r="L457" s="21"/>
      <c r="M457" s="21"/>
      <c r="N457" s="21"/>
      <c r="O457" s="21"/>
    </row>
    <row r="458" ht="15.75" customHeight="1">
      <c r="A458" s="22" t="s">
        <v>13361</v>
      </c>
      <c r="B458" s="22" t="s">
        <v>13362</v>
      </c>
      <c r="C458" s="22" t="s">
        <v>13363</v>
      </c>
      <c r="D458" s="22" t="s">
        <v>13364</v>
      </c>
      <c r="E458" s="22" t="s">
        <v>231</v>
      </c>
      <c r="F458" s="22" t="s">
        <v>231</v>
      </c>
      <c r="G458" s="22" t="s">
        <v>13365</v>
      </c>
      <c r="H458" s="22" t="s">
        <v>13366</v>
      </c>
      <c r="I458" s="22" t="s">
        <v>10279</v>
      </c>
      <c r="J458" s="22" t="s">
        <v>10394</v>
      </c>
      <c r="K458" s="22"/>
      <c r="L458" s="22"/>
      <c r="M458" s="22"/>
      <c r="N458" s="22"/>
      <c r="O458" s="22"/>
    </row>
    <row r="459" ht="15.75" customHeight="1">
      <c r="A459" s="20" t="s">
        <v>13367</v>
      </c>
      <c r="B459" s="20" t="s">
        <v>13368</v>
      </c>
      <c r="C459" s="20"/>
      <c r="D459" s="20" t="s">
        <v>13369</v>
      </c>
      <c r="E459" s="20" t="s">
        <v>2162</v>
      </c>
      <c r="F459" s="20" t="s">
        <v>2162</v>
      </c>
      <c r="G459" s="20" t="s">
        <v>13370</v>
      </c>
      <c r="H459" s="20" t="s">
        <v>13371</v>
      </c>
      <c r="I459" s="20" t="s">
        <v>10279</v>
      </c>
      <c r="J459" s="21" t="s">
        <v>13372</v>
      </c>
      <c r="K459" s="21" t="s">
        <v>11476</v>
      </c>
      <c r="L459" s="21" t="s">
        <v>11477</v>
      </c>
      <c r="M459" s="21" t="s">
        <v>11478</v>
      </c>
      <c r="N459" s="21" t="s">
        <v>11479</v>
      </c>
      <c r="O459" s="21" t="s">
        <v>11480</v>
      </c>
    </row>
    <row r="460" ht="15.75" customHeight="1">
      <c r="A460" s="22" t="s">
        <v>13373</v>
      </c>
      <c r="B460" s="22" t="s">
        <v>13374</v>
      </c>
      <c r="C460" s="22" t="s">
        <v>13375</v>
      </c>
      <c r="D460" s="22" t="s">
        <v>13376</v>
      </c>
      <c r="E460" s="22" t="s">
        <v>55</v>
      </c>
      <c r="F460" s="22" t="s">
        <v>55</v>
      </c>
      <c r="G460" s="22" t="s">
        <v>13377</v>
      </c>
      <c r="H460" s="22" t="s">
        <v>13378</v>
      </c>
      <c r="I460" s="22" t="s">
        <v>10279</v>
      </c>
      <c r="J460" s="22" t="s">
        <v>10314</v>
      </c>
      <c r="K460" s="22"/>
      <c r="L460" s="22"/>
      <c r="M460" s="22"/>
      <c r="N460" s="22"/>
      <c r="O460" s="22"/>
    </row>
    <row r="461" ht="15.75" customHeight="1">
      <c r="A461" s="20" t="s">
        <v>13379</v>
      </c>
      <c r="B461" s="20" t="s">
        <v>13380</v>
      </c>
      <c r="C461" s="20" t="s">
        <v>13381</v>
      </c>
      <c r="D461" s="20" t="s">
        <v>13382</v>
      </c>
      <c r="E461" s="20" t="s">
        <v>55</v>
      </c>
      <c r="F461" s="20" t="s">
        <v>55</v>
      </c>
      <c r="G461" s="20" t="s">
        <v>12348</v>
      </c>
      <c r="H461" s="20" t="s">
        <v>13383</v>
      </c>
      <c r="I461" s="20" t="s">
        <v>10279</v>
      </c>
      <c r="J461" s="21" t="s">
        <v>10459</v>
      </c>
      <c r="K461" s="21"/>
      <c r="L461" s="21"/>
      <c r="M461" s="21"/>
      <c r="N461" s="21"/>
      <c r="O461" s="21"/>
    </row>
    <row r="462" ht="15.75" customHeight="1">
      <c r="A462" s="22" t="s">
        <v>13384</v>
      </c>
      <c r="B462" s="22" t="s">
        <v>13385</v>
      </c>
      <c r="C462" s="22"/>
      <c r="D462" s="22" t="s">
        <v>13386</v>
      </c>
      <c r="E462" s="22" t="s">
        <v>55</v>
      </c>
      <c r="F462" s="22" t="s">
        <v>55</v>
      </c>
      <c r="G462" s="22" t="s">
        <v>13387</v>
      </c>
      <c r="H462" s="22" t="s">
        <v>13388</v>
      </c>
      <c r="I462" s="22" t="s">
        <v>10279</v>
      </c>
      <c r="J462" s="22" t="s">
        <v>10314</v>
      </c>
      <c r="K462" s="22"/>
      <c r="L462" s="22"/>
      <c r="M462" s="22"/>
      <c r="N462" s="22"/>
      <c r="O462" s="22"/>
    </row>
    <row r="463" ht="15.75" customHeight="1">
      <c r="A463" s="20" t="s">
        <v>13389</v>
      </c>
      <c r="B463" s="20" t="s">
        <v>13390</v>
      </c>
      <c r="C463" s="20" t="s">
        <v>13391</v>
      </c>
      <c r="D463" s="20" t="s">
        <v>13392</v>
      </c>
      <c r="E463" s="20" t="s">
        <v>129</v>
      </c>
      <c r="F463" s="20" t="s">
        <v>129</v>
      </c>
      <c r="G463" s="20" t="s">
        <v>13393</v>
      </c>
      <c r="H463" s="20" t="s">
        <v>13394</v>
      </c>
      <c r="I463" s="20" t="s">
        <v>10279</v>
      </c>
      <c r="J463" s="21" t="s">
        <v>10280</v>
      </c>
      <c r="K463" s="21"/>
      <c r="L463" s="21"/>
      <c r="M463" s="21"/>
      <c r="N463" s="21"/>
      <c r="O463" s="21"/>
    </row>
    <row r="464" ht="15.75" customHeight="1">
      <c r="A464" s="22" t="s">
        <v>13395</v>
      </c>
      <c r="B464" s="22" t="s">
        <v>13396</v>
      </c>
      <c r="C464" s="22" t="s">
        <v>13397</v>
      </c>
      <c r="D464" s="22" t="s">
        <v>13398</v>
      </c>
      <c r="E464" s="22" t="s">
        <v>7099</v>
      </c>
      <c r="F464" s="22" t="s">
        <v>231</v>
      </c>
      <c r="G464" s="22" t="s">
        <v>13399</v>
      </c>
      <c r="H464" s="22" t="s">
        <v>13400</v>
      </c>
      <c r="I464" s="22" t="s">
        <v>10279</v>
      </c>
      <c r="J464" s="22" t="s">
        <v>10721</v>
      </c>
      <c r="K464" s="22"/>
      <c r="L464" s="22"/>
      <c r="M464" s="22"/>
      <c r="N464" s="22"/>
      <c r="O464" s="22"/>
    </row>
    <row r="465" ht="15.75" customHeight="1">
      <c r="A465" s="20" t="s">
        <v>13401</v>
      </c>
      <c r="B465" s="20" t="s">
        <v>13402</v>
      </c>
      <c r="C465" s="20" t="s">
        <v>13403</v>
      </c>
      <c r="D465" s="20" t="s">
        <v>13404</v>
      </c>
      <c r="E465" s="20" t="s">
        <v>55</v>
      </c>
      <c r="F465" s="20" t="s">
        <v>55</v>
      </c>
      <c r="G465" s="20" t="s">
        <v>13405</v>
      </c>
      <c r="H465" s="20" t="s">
        <v>13406</v>
      </c>
      <c r="I465" s="20" t="s">
        <v>10279</v>
      </c>
      <c r="J465" s="21" t="s">
        <v>11666</v>
      </c>
      <c r="K465" s="21"/>
      <c r="L465" s="21"/>
      <c r="M465" s="21"/>
      <c r="N465" s="21"/>
      <c r="O465" s="21"/>
    </row>
    <row r="466" ht="15.75" customHeight="1">
      <c r="A466" s="22" t="s">
        <v>13407</v>
      </c>
      <c r="B466" s="22" t="s">
        <v>13408</v>
      </c>
      <c r="C466" s="22" t="s">
        <v>13409</v>
      </c>
      <c r="D466" s="22" t="s">
        <v>13410</v>
      </c>
      <c r="E466" s="22" t="s">
        <v>13411</v>
      </c>
      <c r="F466" s="22" t="s">
        <v>4846</v>
      </c>
      <c r="G466" s="22" t="s">
        <v>13412</v>
      </c>
      <c r="H466" s="22" t="s">
        <v>13413</v>
      </c>
      <c r="I466" s="22" t="s">
        <v>10279</v>
      </c>
      <c r="J466" s="22" t="s">
        <v>10394</v>
      </c>
      <c r="K466" s="22"/>
      <c r="L466" s="22"/>
      <c r="M466" s="22"/>
      <c r="N466" s="22"/>
      <c r="O466" s="22"/>
    </row>
    <row r="467" ht="15.75" customHeight="1">
      <c r="A467" s="20" t="s">
        <v>13414</v>
      </c>
      <c r="B467" s="20" t="s">
        <v>13415</v>
      </c>
      <c r="C467" s="20" t="s">
        <v>13416</v>
      </c>
      <c r="D467" s="20" t="s">
        <v>13417</v>
      </c>
      <c r="E467" s="20" t="s">
        <v>231</v>
      </c>
      <c r="F467" s="20" t="s">
        <v>231</v>
      </c>
      <c r="G467" s="20" t="s">
        <v>13418</v>
      </c>
      <c r="H467" s="20" t="s">
        <v>13419</v>
      </c>
      <c r="I467" s="20" t="s">
        <v>10279</v>
      </c>
      <c r="J467" s="21" t="s">
        <v>10394</v>
      </c>
      <c r="K467" s="21" t="s">
        <v>13420</v>
      </c>
      <c r="L467" s="21" t="s">
        <v>13421</v>
      </c>
      <c r="M467" s="21" t="s">
        <v>13416</v>
      </c>
      <c r="N467" s="21" t="s">
        <v>13422</v>
      </c>
      <c r="O467" s="21" t="s">
        <v>13423</v>
      </c>
    </row>
    <row r="468" ht="15.75" customHeight="1">
      <c r="A468" s="22" t="s">
        <v>13424</v>
      </c>
      <c r="B468" s="22" t="s">
        <v>13425</v>
      </c>
      <c r="C468" s="22"/>
      <c r="D468" s="22" t="s">
        <v>13426</v>
      </c>
      <c r="E468" s="22" t="s">
        <v>13427</v>
      </c>
      <c r="F468" s="22" t="s">
        <v>395</v>
      </c>
      <c r="G468" s="22" t="s">
        <v>13428</v>
      </c>
      <c r="H468" s="22" t="s">
        <v>13429</v>
      </c>
      <c r="I468" s="22" t="s">
        <v>10279</v>
      </c>
      <c r="J468" s="22" t="s">
        <v>13430</v>
      </c>
      <c r="K468" s="22"/>
      <c r="L468" s="22"/>
      <c r="M468" s="22"/>
      <c r="N468" s="22"/>
      <c r="O468" s="22"/>
    </row>
    <row r="469" ht="15.75" customHeight="1">
      <c r="A469" s="20" t="s">
        <v>13431</v>
      </c>
      <c r="B469" s="20" t="s">
        <v>13432</v>
      </c>
      <c r="C469" s="20"/>
      <c r="D469" s="20" t="s">
        <v>13433</v>
      </c>
      <c r="E469" s="20" t="s">
        <v>55</v>
      </c>
      <c r="F469" s="20" t="s">
        <v>55</v>
      </c>
      <c r="G469" s="20" t="s">
        <v>13434</v>
      </c>
      <c r="H469" s="20" t="s">
        <v>13435</v>
      </c>
      <c r="I469" s="20" t="s">
        <v>10279</v>
      </c>
      <c r="J469" s="21" t="s">
        <v>10321</v>
      </c>
      <c r="K469" s="21"/>
      <c r="L469" s="21"/>
      <c r="M469" s="21"/>
      <c r="N469" s="21"/>
      <c r="O469" s="21"/>
    </row>
    <row r="470" ht="15.75" customHeight="1">
      <c r="A470" s="22" t="s">
        <v>13436</v>
      </c>
      <c r="B470" s="22" t="s">
        <v>13437</v>
      </c>
      <c r="C470" s="22" t="s">
        <v>13438</v>
      </c>
      <c r="D470" s="22" t="s">
        <v>13439</v>
      </c>
      <c r="E470" s="22" t="s">
        <v>55</v>
      </c>
      <c r="F470" s="22" t="s">
        <v>55</v>
      </c>
      <c r="G470" s="22" t="s">
        <v>13440</v>
      </c>
      <c r="H470" s="22" t="s">
        <v>13441</v>
      </c>
      <c r="I470" s="22" t="s">
        <v>10279</v>
      </c>
      <c r="J470" s="22" t="s">
        <v>10341</v>
      </c>
      <c r="K470" s="22"/>
      <c r="L470" s="22"/>
      <c r="M470" s="22"/>
      <c r="N470" s="22"/>
      <c r="O470" s="22"/>
    </row>
    <row r="471" ht="15.75" customHeight="1">
      <c r="A471" s="20" t="s">
        <v>13442</v>
      </c>
      <c r="B471" s="20" t="s">
        <v>13443</v>
      </c>
      <c r="C471" s="20" t="s">
        <v>13444</v>
      </c>
      <c r="D471" s="20" t="s">
        <v>13445</v>
      </c>
      <c r="E471" s="20" t="s">
        <v>55</v>
      </c>
      <c r="F471" s="20" t="s">
        <v>55</v>
      </c>
      <c r="G471" s="20" t="s">
        <v>13446</v>
      </c>
      <c r="H471" s="20" t="s">
        <v>13441</v>
      </c>
      <c r="I471" s="20" t="s">
        <v>10279</v>
      </c>
      <c r="J471" s="21" t="s">
        <v>13447</v>
      </c>
      <c r="K471" s="21"/>
      <c r="L471" s="21"/>
      <c r="M471" s="21"/>
      <c r="N471" s="21"/>
      <c r="O471" s="21"/>
    </row>
    <row r="472" ht="15.75" customHeight="1">
      <c r="A472" s="22" t="s">
        <v>13448</v>
      </c>
      <c r="B472" s="22" t="s">
        <v>13449</v>
      </c>
      <c r="C472" s="22" t="s">
        <v>13450</v>
      </c>
      <c r="D472" s="22" t="s">
        <v>13451</v>
      </c>
      <c r="E472" s="22" t="s">
        <v>13452</v>
      </c>
      <c r="F472" s="22" t="s">
        <v>2660</v>
      </c>
      <c r="G472" s="22" t="s">
        <v>13453</v>
      </c>
      <c r="H472" s="22" t="s">
        <v>13454</v>
      </c>
      <c r="I472" s="22" t="s">
        <v>10279</v>
      </c>
      <c r="J472" s="22" t="s">
        <v>10328</v>
      </c>
      <c r="K472" s="22" t="s">
        <v>13455</v>
      </c>
      <c r="L472" s="22" t="s">
        <v>13456</v>
      </c>
      <c r="M472" s="22" t="s">
        <v>13457</v>
      </c>
      <c r="N472" s="22" t="s">
        <v>13458</v>
      </c>
      <c r="O472" s="22" t="s">
        <v>13459</v>
      </c>
    </row>
    <row r="473" ht="15.75" customHeight="1">
      <c r="A473" s="20" t="s">
        <v>13460</v>
      </c>
      <c r="B473" s="20" t="s">
        <v>13461</v>
      </c>
      <c r="C473" s="20" t="s">
        <v>13462</v>
      </c>
      <c r="D473" s="20" t="s">
        <v>13463</v>
      </c>
      <c r="E473" s="20" t="s">
        <v>13464</v>
      </c>
      <c r="F473" s="20" t="s">
        <v>406</v>
      </c>
      <c r="G473" s="20" t="s">
        <v>13465</v>
      </c>
      <c r="H473" s="20" t="s">
        <v>13466</v>
      </c>
      <c r="I473" s="20" t="s">
        <v>10279</v>
      </c>
      <c r="J473" s="21" t="s">
        <v>13467</v>
      </c>
      <c r="K473" s="21"/>
      <c r="L473" s="21"/>
      <c r="M473" s="21"/>
      <c r="N473" s="21"/>
      <c r="O473" s="21"/>
    </row>
    <row r="474" ht="15.75" customHeight="1">
      <c r="A474" s="22" t="s">
        <v>13468</v>
      </c>
      <c r="B474" s="22" t="s">
        <v>13469</v>
      </c>
      <c r="C474" s="22" t="s">
        <v>13470</v>
      </c>
      <c r="D474" s="22" t="s">
        <v>13471</v>
      </c>
      <c r="E474" s="22" t="s">
        <v>13472</v>
      </c>
      <c r="F474" s="22" t="s">
        <v>231</v>
      </c>
      <c r="G474" s="22" t="s">
        <v>13473</v>
      </c>
      <c r="H474" s="22" t="s">
        <v>13474</v>
      </c>
      <c r="I474" s="22" t="s">
        <v>10279</v>
      </c>
      <c r="J474" s="22" t="s">
        <v>10321</v>
      </c>
      <c r="K474" s="22"/>
      <c r="L474" s="22"/>
      <c r="M474" s="22"/>
      <c r="N474" s="22"/>
      <c r="O474" s="22"/>
    </row>
    <row r="475" ht="15.75" customHeight="1">
      <c r="A475" s="20" t="s">
        <v>13475</v>
      </c>
      <c r="B475" s="20" t="s">
        <v>13476</v>
      </c>
      <c r="C475" s="20" t="s">
        <v>13477</v>
      </c>
      <c r="D475" s="20" t="s">
        <v>13478</v>
      </c>
      <c r="E475" s="20" t="s">
        <v>231</v>
      </c>
      <c r="F475" s="20" t="s">
        <v>231</v>
      </c>
      <c r="G475" s="20" t="s">
        <v>13479</v>
      </c>
      <c r="H475" s="20" t="s">
        <v>13480</v>
      </c>
      <c r="I475" s="20" t="s">
        <v>10279</v>
      </c>
      <c r="J475" s="21" t="s">
        <v>13481</v>
      </c>
      <c r="K475" s="21"/>
      <c r="L475" s="21"/>
      <c r="M475" s="21"/>
      <c r="N475" s="21"/>
      <c r="O475" s="21"/>
    </row>
    <row r="476" ht="15.75" customHeight="1">
      <c r="A476" s="22" t="s">
        <v>13482</v>
      </c>
      <c r="B476" s="22" t="s">
        <v>13483</v>
      </c>
      <c r="C476" s="22" t="s">
        <v>13484</v>
      </c>
      <c r="D476" s="22" t="s">
        <v>13485</v>
      </c>
      <c r="E476" s="22" t="s">
        <v>55</v>
      </c>
      <c r="F476" s="22" t="s">
        <v>55</v>
      </c>
      <c r="G476" s="22" t="s">
        <v>13486</v>
      </c>
      <c r="H476" s="22" t="s">
        <v>13487</v>
      </c>
      <c r="I476" s="22" t="s">
        <v>10279</v>
      </c>
      <c r="J476" s="22" t="s">
        <v>12167</v>
      </c>
      <c r="K476" s="22"/>
      <c r="L476" s="22"/>
      <c r="M476" s="22"/>
      <c r="N476" s="22"/>
      <c r="O476" s="22"/>
    </row>
    <row r="477" ht="15.75" customHeight="1">
      <c r="A477" s="20" t="s">
        <v>13488</v>
      </c>
      <c r="B477" s="20"/>
      <c r="C477" s="20" t="s">
        <v>13489</v>
      </c>
      <c r="D477" s="20" t="s">
        <v>13490</v>
      </c>
      <c r="E477" s="20" t="s">
        <v>1163</v>
      </c>
      <c r="F477" s="20" t="s">
        <v>253</v>
      </c>
      <c r="G477" s="20" t="s">
        <v>13491</v>
      </c>
      <c r="H477" s="20" t="s">
        <v>13492</v>
      </c>
      <c r="I477" s="20" t="s">
        <v>10279</v>
      </c>
      <c r="J477" s="21" t="s">
        <v>10328</v>
      </c>
      <c r="K477" s="21" t="s">
        <v>13493</v>
      </c>
      <c r="L477" s="21" t="s">
        <v>13494</v>
      </c>
      <c r="M477" s="21"/>
      <c r="N477" s="21"/>
      <c r="O477" s="21"/>
    </row>
    <row r="478" ht="15.75" customHeight="1">
      <c r="A478" s="22" t="s">
        <v>13495</v>
      </c>
      <c r="B478" s="22" t="s">
        <v>13496</v>
      </c>
      <c r="C478" s="22" t="s">
        <v>13497</v>
      </c>
      <c r="D478" s="22" t="s">
        <v>13498</v>
      </c>
      <c r="E478" s="22" t="s">
        <v>231</v>
      </c>
      <c r="F478" s="22" t="s">
        <v>231</v>
      </c>
      <c r="G478" s="22" t="s">
        <v>13499</v>
      </c>
      <c r="H478" s="22" t="s">
        <v>13500</v>
      </c>
      <c r="I478" s="22" t="s">
        <v>10279</v>
      </c>
      <c r="J478" s="22" t="s">
        <v>10387</v>
      </c>
      <c r="K478" s="22"/>
      <c r="L478" s="22"/>
      <c r="M478" s="22"/>
      <c r="N478" s="22"/>
      <c r="O478" s="22"/>
    </row>
    <row r="479" ht="15.75" customHeight="1">
      <c r="A479" s="20" t="s">
        <v>13501</v>
      </c>
      <c r="B479" s="20" t="s">
        <v>13502</v>
      </c>
      <c r="C479" s="20" t="s">
        <v>13503</v>
      </c>
      <c r="D479" s="20" t="s">
        <v>13504</v>
      </c>
      <c r="E479" s="20" t="s">
        <v>129</v>
      </c>
      <c r="F479" s="20" t="s">
        <v>129</v>
      </c>
      <c r="G479" s="20" t="s">
        <v>12307</v>
      </c>
      <c r="H479" s="20" t="s">
        <v>13505</v>
      </c>
      <c r="I479" s="20" t="s">
        <v>10279</v>
      </c>
      <c r="J479" s="21" t="s">
        <v>10831</v>
      </c>
      <c r="K479" s="21"/>
      <c r="L479" s="21"/>
      <c r="M479" s="21"/>
      <c r="N479" s="21"/>
      <c r="O479" s="21"/>
    </row>
    <row r="480" ht="15.75" customHeight="1">
      <c r="A480" s="22" t="s">
        <v>13506</v>
      </c>
      <c r="B480" s="22" t="s">
        <v>13507</v>
      </c>
      <c r="C480" s="22" t="s">
        <v>13508</v>
      </c>
      <c r="D480" s="22" t="s">
        <v>13509</v>
      </c>
      <c r="E480" s="22" t="s">
        <v>231</v>
      </c>
      <c r="F480" s="22" t="s">
        <v>231</v>
      </c>
      <c r="G480" s="22" t="s">
        <v>13510</v>
      </c>
      <c r="H480" s="22" t="s">
        <v>13511</v>
      </c>
      <c r="I480" s="22" t="s">
        <v>10279</v>
      </c>
      <c r="J480" s="22" t="s">
        <v>10892</v>
      </c>
      <c r="K480" s="22"/>
      <c r="L480" s="22"/>
      <c r="M480" s="22"/>
      <c r="N480" s="22"/>
      <c r="O480" s="22"/>
    </row>
    <row r="481" ht="15.75" customHeight="1">
      <c r="A481" s="20" t="s">
        <v>13512</v>
      </c>
      <c r="B481" s="20" t="s">
        <v>13513</v>
      </c>
      <c r="C481" s="20" t="s">
        <v>13514</v>
      </c>
      <c r="D481" s="20" t="s">
        <v>13515</v>
      </c>
      <c r="E481" s="20" t="s">
        <v>129</v>
      </c>
      <c r="F481" s="20" t="s">
        <v>129</v>
      </c>
      <c r="G481" s="20" t="s">
        <v>13516</v>
      </c>
      <c r="H481" s="20" t="s">
        <v>13517</v>
      </c>
      <c r="I481" s="20" t="s">
        <v>10279</v>
      </c>
      <c r="J481" s="21" t="s">
        <v>10280</v>
      </c>
      <c r="K481" s="21" t="s">
        <v>13518</v>
      </c>
      <c r="L481" s="21" t="s">
        <v>13519</v>
      </c>
      <c r="M481" s="21" t="s">
        <v>13520</v>
      </c>
      <c r="N481" s="21" t="s">
        <v>13521</v>
      </c>
      <c r="O481" s="21" t="s">
        <v>13522</v>
      </c>
    </row>
    <row r="482" ht="15.75" customHeight="1">
      <c r="A482" s="22" t="s">
        <v>13523</v>
      </c>
      <c r="B482" s="22" t="s">
        <v>13524</v>
      </c>
      <c r="C482" s="22" t="s">
        <v>13525</v>
      </c>
      <c r="D482" s="22" t="s">
        <v>13526</v>
      </c>
      <c r="E482" s="22" t="s">
        <v>1009</v>
      </c>
      <c r="F482" s="22" t="s">
        <v>1009</v>
      </c>
      <c r="G482" s="22" t="s">
        <v>13527</v>
      </c>
      <c r="H482" s="22"/>
      <c r="I482" s="22" t="s">
        <v>10279</v>
      </c>
      <c r="J482" s="22" t="s">
        <v>10569</v>
      </c>
      <c r="K482" s="22"/>
      <c r="L482" s="22"/>
      <c r="M482" s="22"/>
      <c r="N482" s="22"/>
      <c r="O482" s="22"/>
    </row>
    <row r="483" ht="15.75" customHeight="1">
      <c r="A483" s="20" t="s">
        <v>13528</v>
      </c>
      <c r="B483" s="20" t="s">
        <v>13529</v>
      </c>
      <c r="C483" s="20" t="s">
        <v>13530</v>
      </c>
      <c r="D483" s="20" t="s">
        <v>13531</v>
      </c>
      <c r="E483" s="20" t="s">
        <v>13532</v>
      </c>
      <c r="F483" s="20" t="s">
        <v>1612</v>
      </c>
      <c r="G483" s="20" t="s">
        <v>13533</v>
      </c>
      <c r="H483" s="20" t="s">
        <v>13534</v>
      </c>
      <c r="I483" s="20" t="s">
        <v>10279</v>
      </c>
      <c r="J483" s="21" t="s">
        <v>13535</v>
      </c>
      <c r="K483" s="21"/>
      <c r="L483" s="21"/>
      <c r="M483" s="21"/>
      <c r="N483" s="21"/>
      <c r="O483" s="21"/>
    </row>
    <row r="484" ht="15.75" customHeight="1">
      <c r="A484" s="22" t="s">
        <v>13536</v>
      </c>
      <c r="B484" s="22" t="s">
        <v>13537</v>
      </c>
      <c r="C484" s="22" t="s">
        <v>13538</v>
      </c>
      <c r="D484" s="22" t="s">
        <v>13539</v>
      </c>
      <c r="E484" s="22" t="s">
        <v>4660</v>
      </c>
      <c r="F484" s="22" t="s">
        <v>1462</v>
      </c>
      <c r="G484" s="22" t="s">
        <v>13540</v>
      </c>
      <c r="H484" s="22" t="s">
        <v>13541</v>
      </c>
      <c r="I484" s="22" t="s">
        <v>10279</v>
      </c>
      <c r="J484" s="22" t="s">
        <v>10528</v>
      </c>
      <c r="K484" s="22"/>
      <c r="L484" s="22"/>
      <c r="M484" s="22"/>
      <c r="N484" s="22"/>
      <c r="O484" s="22"/>
    </row>
    <row r="485" ht="15.75" customHeight="1">
      <c r="A485" s="20" t="s">
        <v>13542</v>
      </c>
      <c r="B485" s="20" t="s">
        <v>13543</v>
      </c>
      <c r="C485" s="20" t="s">
        <v>13544</v>
      </c>
      <c r="D485" s="20" t="s">
        <v>13545</v>
      </c>
      <c r="E485" s="20" t="s">
        <v>13546</v>
      </c>
      <c r="F485" s="20" t="s">
        <v>1462</v>
      </c>
      <c r="G485" s="20" t="s">
        <v>13547</v>
      </c>
      <c r="H485" s="20" t="s">
        <v>13548</v>
      </c>
      <c r="I485" s="20" t="s">
        <v>10279</v>
      </c>
      <c r="J485" s="21" t="s">
        <v>13549</v>
      </c>
      <c r="K485" s="21"/>
      <c r="L485" s="21"/>
      <c r="M485" s="21"/>
      <c r="N485" s="21"/>
      <c r="O485" s="21"/>
    </row>
    <row r="486" ht="15.75" customHeight="1">
      <c r="A486" s="22" t="s">
        <v>13550</v>
      </c>
      <c r="B486" s="22" t="s">
        <v>13551</v>
      </c>
      <c r="C486" s="22" t="s">
        <v>13552</v>
      </c>
      <c r="D486" s="22" t="s">
        <v>13553</v>
      </c>
      <c r="E486" s="22" t="s">
        <v>4660</v>
      </c>
      <c r="F486" s="22" t="s">
        <v>1462</v>
      </c>
      <c r="G486" s="22" t="s">
        <v>13554</v>
      </c>
      <c r="H486" s="22" t="s">
        <v>13555</v>
      </c>
      <c r="I486" s="22" t="s">
        <v>10279</v>
      </c>
      <c r="J486" s="22" t="s">
        <v>13556</v>
      </c>
      <c r="K486" s="22" t="s">
        <v>13557</v>
      </c>
      <c r="L486" s="22" t="s">
        <v>13558</v>
      </c>
      <c r="M486" s="22"/>
      <c r="N486" s="22"/>
      <c r="O486" s="22"/>
    </row>
    <row r="487" ht="15.75" customHeight="1">
      <c r="A487" s="20" t="s">
        <v>13559</v>
      </c>
      <c r="B487" s="20" t="s">
        <v>13560</v>
      </c>
      <c r="C487" s="20" t="s">
        <v>13561</v>
      </c>
      <c r="D487" s="20" t="s">
        <v>13562</v>
      </c>
      <c r="E487" s="20" t="s">
        <v>129</v>
      </c>
      <c r="F487" s="20" t="s">
        <v>129</v>
      </c>
      <c r="G487" s="20" t="s">
        <v>13563</v>
      </c>
      <c r="H487" s="20" t="s">
        <v>13564</v>
      </c>
      <c r="I487" s="20" t="s">
        <v>10279</v>
      </c>
      <c r="J487" s="21" t="s">
        <v>13565</v>
      </c>
      <c r="K487" s="21"/>
      <c r="L487" s="21"/>
      <c r="M487" s="21"/>
      <c r="N487" s="21"/>
      <c r="O487" s="21"/>
    </row>
    <row r="488" ht="15.75" customHeight="1">
      <c r="A488" s="22" t="s">
        <v>13566</v>
      </c>
      <c r="B488" s="22" t="s">
        <v>13567</v>
      </c>
      <c r="C488" s="22" t="s">
        <v>13568</v>
      </c>
      <c r="D488" s="22" t="s">
        <v>13569</v>
      </c>
      <c r="E488" s="22" t="s">
        <v>13570</v>
      </c>
      <c r="F488" s="22" t="s">
        <v>13570</v>
      </c>
      <c r="G488" s="22" t="s">
        <v>13571</v>
      </c>
      <c r="H488" s="22" t="s">
        <v>13572</v>
      </c>
      <c r="I488" s="22" t="s">
        <v>10279</v>
      </c>
      <c r="J488" s="22" t="s">
        <v>10314</v>
      </c>
      <c r="K488" s="22"/>
      <c r="L488" s="22"/>
      <c r="M488" s="22"/>
      <c r="N488" s="22"/>
      <c r="O488" s="22"/>
    </row>
    <row r="489" ht="15.75" customHeight="1">
      <c r="A489" s="20" t="s">
        <v>13573</v>
      </c>
      <c r="B489" s="20" t="s">
        <v>13574</v>
      </c>
      <c r="C489" s="20"/>
      <c r="D489" s="20" t="s">
        <v>13575</v>
      </c>
      <c r="E489" s="20" t="s">
        <v>55</v>
      </c>
      <c r="F489" s="20" t="s">
        <v>55</v>
      </c>
      <c r="G489" s="20" t="s">
        <v>13576</v>
      </c>
      <c r="H489" s="20" t="s">
        <v>13577</v>
      </c>
      <c r="I489" s="20" t="s">
        <v>10279</v>
      </c>
      <c r="J489" s="21" t="s">
        <v>10590</v>
      </c>
      <c r="K489" s="21"/>
      <c r="L489" s="21"/>
      <c r="M489" s="21"/>
      <c r="N489" s="21"/>
      <c r="O489" s="21"/>
    </row>
    <row r="490" ht="15.75" customHeight="1">
      <c r="A490" s="22" t="s">
        <v>13578</v>
      </c>
      <c r="B490" s="22" t="s">
        <v>13579</v>
      </c>
      <c r="C490" s="22" t="s">
        <v>13580</v>
      </c>
      <c r="D490" s="22" t="s">
        <v>13581</v>
      </c>
      <c r="E490" s="22" t="s">
        <v>231</v>
      </c>
      <c r="F490" s="22" t="s">
        <v>231</v>
      </c>
      <c r="G490" s="22" t="s">
        <v>13582</v>
      </c>
      <c r="H490" s="22" t="s">
        <v>13583</v>
      </c>
      <c r="I490" s="22" t="s">
        <v>10279</v>
      </c>
      <c r="J490" s="22" t="s">
        <v>10921</v>
      </c>
      <c r="K490" s="22"/>
      <c r="L490" s="22"/>
      <c r="M490" s="22"/>
      <c r="N490" s="22"/>
      <c r="O490" s="22"/>
    </row>
    <row r="491" ht="15.75" customHeight="1">
      <c r="A491" s="20" t="s">
        <v>13584</v>
      </c>
      <c r="B491" s="20" t="s">
        <v>13585</v>
      </c>
      <c r="C491" s="20"/>
      <c r="D491" s="20" t="s">
        <v>13586</v>
      </c>
      <c r="E491" s="20" t="s">
        <v>13587</v>
      </c>
      <c r="F491" s="20" t="s">
        <v>2162</v>
      </c>
      <c r="G491" s="20" t="s">
        <v>13588</v>
      </c>
      <c r="H491" s="20" t="s">
        <v>13589</v>
      </c>
      <c r="I491" s="20" t="s">
        <v>10279</v>
      </c>
      <c r="J491" s="21" t="s">
        <v>10550</v>
      </c>
      <c r="K491" s="21"/>
      <c r="L491" s="21"/>
      <c r="M491" s="21"/>
      <c r="N491" s="21"/>
      <c r="O491" s="21"/>
    </row>
    <row r="492" ht="15.75" customHeight="1">
      <c r="A492" s="22" t="s">
        <v>13590</v>
      </c>
      <c r="B492" s="22" t="s">
        <v>13591</v>
      </c>
      <c r="C492" s="22" t="s">
        <v>13592</v>
      </c>
      <c r="D492" s="22" t="s">
        <v>13593</v>
      </c>
      <c r="E492" s="22" t="s">
        <v>1000</v>
      </c>
      <c r="F492" s="22" t="s">
        <v>395</v>
      </c>
      <c r="G492" s="22" t="s">
        <v>13594</v>
      </c>
      <c r="H492" s="22" t="s">
        <v>13595</v>
      </c>
      <c r="I492" s="22" t="s">
        <v>10279</v>
      </c>
      <c r="J492" s="22" t="s">
        <v>13596</v>
      </c>
      <c r="K492" s="22"/>
      <c r="L492" s="22"/>
      <c r="M492" s="22"/>
      <c r="N492" s="22"/>
      <c r="O492" s="22"/>
    </row>
    <row r="493" ht="15.75" customHeight="1">
      <c r="A493" s="20" t="s">
        <v>13597</v>
      </c>
      <c r="B493" s="20"/>
      <c r="C493" s="20"/>
      <c r="D493" s="20" t="s">
        <v>13598</v>
      </c>
      <c r="E493" s="20" t="s">
        <v>926</v>
      </c>
      <c r="F493" s="20" t="s">
        <v>926</v>
      </c>
      <c r="G493" s="20"/>
      <c r="H493" s="20"/>
      <c r="I493" s="20" t="s">
        <v>10279</v>
      </c>
      <c r="J493" s="21"/>
      <c r="K493" s="21"/>
      <c r="L493" s="21"/>
      <c r="M493" s="21"/>
      <c r="N493" s="21"/>
      <c r="O493" s="21"/>
    </row>
    <row r="494" ht="15.75" customHeight="1">
      <c r="A494" s="22" t="s">
        <v>13599</v>
      </c>
      <c r="B494" s="22" t="s">
        <v>13600</v>
      </c>
      <c r="C494" s="22" t="s">
        <v>13601</v>
      </c>
      <c r="D494" s="22" t="s">
        <v>13602</v>
      </c>
      <c r="E494" s="22" t="s">
        <v>13603</v>
      </c>
      <c r="F494" s="22" t="s">
        <v>10408</v>
      </c>
      <c r="G494" s="22" t="s">
        <v>13604</v>
      </c>
      <c r="H494" s="22" t="s">
        <v>13605</v>
      </c>
      <c r="I494" s="22" t="s">
        <v>10279</v>
      </c>
      <c r="J494" s="22" t="s">
        <v>10314</v>
      </c>
      <c r="K494" s="22"/>
      <c r="L494" s="22"/>
      <c r="M494" s="22"/>
      <c r="N494" s="22"/>
      <c r="O494" s="22"/>
    </row>
    <row r="495" ht="15.75" customHeight="1">
      <c r="A495" s="20" t="s">
        <v>13606</v>
      </c>
      <c r="B495" s="20" t="s">
        <v>13607</v>
      </c>
      <c r="C495" s="20" t="s">
        <v>13608</v>
      </c>
      <c r="D495" s="20" t="s">
        <v>13609</v>
      </c>
      <c r="E495" s="20" t="s">
        <v>55</v>
      </c>
      <c r="F495" s="20" t="s">
        <v>55</v>
      </c>
      <c r="G495" s="20" t="s">
        <v>13610</v>
      </c>
      <c r="H495" s="20" t="s">
        <v>13611</v>
      </c>
      <c r="I495" s="20" t="s">
        <v>10279</v>
      </c>
      <c r="J495" s="21" t="s">
        <v>10314</v>
      </c>
      <c r="K495" s="21"/>
      <c r="L495" s="21"/>
      <c r="M495" s="21"/>
      <c r="N495" s="21"/>
      <c r="O495" s="21"/>
    </row>
    <row r="496" ht="15.75" customHeight="1">
      <c r="A496" s="22" t="s">
        <v>13612</v>
      </c>
      <c r="B496" s="22" t="s">
        <v>13613</v>
      </c>
      <c r="C496" s="22" t="s">
        <v>13614</v>
      </c>
      <c r="D496" s="22" t="s">
        <v>13615</v>
      </c>
      <c r="E496" s="22" t="s">
        <v>13616</v>
      </c>
      <c r="F496" s="22" t="s">
        <v>10629</v>
      </c>
      <c r="G496" s="22" t="s">
        <v>13617</v>
      </c>
      <c r="H496" s="22" t="s">
        <v>13618</v>
      </c>
      <c r="I496" s="22" t="s">
        <v>10279</v>
      </c>
      <c r="J496" s="22" t="s">
        <v>13619</v>
      </c>
      <c r="K496" s="22"/>
      <c r="L496" s="22"/>
      <c r="M496" s="22"/>
      <c r="N496" s="22"/>
      <c r="O496" s="22"/>
    </row>
    <row r="497" ht="15.75" customHeight="1">
      <c r="A497" s="20" t="s">
        <v>13620</v>
      </c>
      <c r="B497" s="20"/>
      <c r="C497" s="20"/>
      <c r="D497" s="20" t="s">
        <v>13621</v>
      </c>
      <c r="E497" s="20" t="s">
        <v>55</v>
      </c>
      <c r="F497" s="20" t="s">
        <v>55</v>
      </c>
      <c r="G497" s="20" t="s">
        <v>13622</v>
      </c>
      <c r="H497" s="20" t="s">
        <v>13623</v>
      </c>
      <c r="I497" s="20" t="s">
        <v>10279</v>
      </c>
      <c r="J497" s="21" t="s">
        <v>10411</v>
      </c>
      <c r="K497" s="21" t="s">
        <v>13624</v>
      </c>
      <c r="L497" s="21" t="s">
        <v>13625</v>
      </c>
      <c r="M497" s="21" t="s">
        <v>13626</v>
      </c>
      <c r="N497" s="21" t="s">
        <v>13627</v>
      </c>
      <c r="O497" s="21" t="s">
        <v>13628</v>
      </c>
    </row>
    <row r="498" ht="15.75" customHeight="1">
      <c r="A498" s="22" t="s">
        <v>13629</v>
      </c>
      <c r="B498" s="22" t="s">
        <v>13630</v>
      </c>
      <c r="C498" s="22" t="s">
        <v>13631</v>
      </c>
      <c r="D498" s="22" t="s">
        <v>13632</v>
      </c>
      <c r="E498" s="22" t="s">
        <v>55</v>
      </c>
      <c r="F498" s="22" t="s">
        <v>55</v>
      </c>
      <c r="G498" s="22" t="s">
        <v>12348</v>
      </c>
      <c r="H498" s="22" t="s">
        <v>13633</v>
      </c>
      <c r="I498" s="22" t="s">
        <v>10279</v>
      </c>
      <c r="J498" s="22" t="s">
        <v>10800</v>
      </c>
      <c r="K498" s="22"/>
      <c r="L498" s="22"/>
      <c r="M498" s="22"/>
      <c r="N498" s="22"/>
      <c r="O498" s="22"/>
    </row>
    <row r="499" ht="15.75" customHeight="1">
      <c r="A499" s="20" t="s">
        <v>13634</v>
      </c>
      <c r="B499" s="20" t="s">
        <v>13635</v>
      </c>
      <c r="C499" s="20" t="s">
        <v>13636</v>
      </c>
      <c r="D499" s="20" t="s">
        <v>13637</v>
      </c>
      <c r="E499" s="20" t="s">
        <v>3008</v>
      </c>
      <c r="F499" s="20" t="s">
        <v>3008</v>
      </c>
      <c r="G499" s="20" t="s">
        <v>13638</v>
      </c>
      <c r="H499" s="20" t="s">
        <v>13639</v>
      </c>
      <c r="I499" s="20" t="s">
        <v>10279</v>
      </c>
      <c r="J499" s="21" t="s">
        <v>10921</v>
      </c>
      <c r="K499" s="21"/>
      <c r="L499" s="21"/>
      <c r="M499" s="21"/>
      <c r="N499" s="21"/>
      <c r="O499" s="21"/>
    </row>
    <row r="500" ht="15.75" customHeight="1">
      <c r="A500" s="22" t="s">
        <v>13640</v>
      </c>
      <c r="B500" s="22" t="s">
        <v>13641</v>
      </c>
      <c r="C500" s="22" t="s">
        <v>13642</v>
      </c>
      <c r="D500" s="22" t="s">
        <v>13643</v>
      </c>
      <c r="E500" s="22" t="s">
        <v>13644</v>
      </c>
      <c r="F500" s="22" t="s">
        <v>1171</v>
      </c>
      <c r="G500" s="22" t="s">
        <v>13645</v>
      </c>
      <c r="H500" s="22" t="s">
        <v>13646</v>
      </c>
      <c r="I500" s="22" t="s">
        <v>10279</v>
      </c>
      <c r="J500" s="22" t="s">
        <v>10769</v>
      </c>
      <c r="K500" s="22"/>
      <c r="L500" s="22"/>
      <c r="M500" s="22"/>
      <c r="N500" s="22"/>
      <c r="O500" s="22"/>
    </row>
    <row r="501" ht="15.75" customHeight="1">
      <c r="A501" s="20" t="s">
        <v>13647</v>
      </c>
      <c r="B501" s="20" t="s">
        <v>13648</v>
      </c>
      <c r="C501" s="20" t="s">
        <v>13649</v>
      </c>
      <c r="D501" s="20" t="s">
        <v>13650</v>
      </c>
      <c r="E501" s="20" t="s">
        <v>2162</v>
      </c>
      <c r="F501" s="20" t="s">
        <v>2162</v>
      </c>
      <c r="G501" s="20" t="s">
        <v>13651</v>
      </c>
      <c r="H501" s="20" t="s">
        <v>13652</v>
      </c>
      <c r="I501" s="20" t="s">
        <v>10279</v>
      </c>
      <c r="J501" s="21" t="s">
        <v>10321</v>
      </c>
      <c r="K501" s="21"/>
      <c r="L501" s="21"/>
      <c r="M501" s="21"/>
      <c r="N501" s="21"/>
      <c r="O501" s="21"/>
    </row>
    <row r="502" ht="15.75" customHeight="1">
      <c r="A502" s="22" t="s">
        <v>13653</v>
      </c>
      <c r="B502" s="22" t="s">
        <v>13654</v>
      </c>
      <c r="C502" s="22" t="s">
        <v>13655</v>
      </c>
      <c r="D502" s="22" t="s">
        <v>13656</v>
      </c>
      <c r="E502" s="22" t="s">
        <v>813</v>
      </c>
      <c r="F502" s="22" t="s">
        <v>813</v>
      </c>
      <c r="G502" s="22" t="s">
        <v>13657</v>
      </c>
      <c r="H502" s="22" t="s">
        <v>13658</v>
      </c>
      <c r="I502" s="22" t="s">
        <v>10279</v>
      </c>
      <c r="J502" s="22" t="s">
        <v>13097</v>
      </c>
      <c r="K502" s="22" t="s">
        <v>12569</v>
      </c>
      <c r="L502" s="22" t="s">
        <v>12570</v>
      </c>
      <c r="M502" s="22" t="s">
        <v>12571</v>
      </c>
      <c r="N502" s="22" t="s">
        <v>12572</v>
      </c>
      <c r="O502" s="22" t="s">
        <v>12573</v>
      </c>
    </row>
    <row r="503" ht="15.75" customHeight="1">
      <c r="A503" s="20" t="s">
        <v>13659</v>
      </c>
      <c r="B503" s="20" t="s">
        <v>13660</v>
      </c>
      <c r="C503" s="20" t="s">
        <v>13661</v>
      </c>
      <c r="D503" s="20" t="s">
        <v>13662</v>
      </c>
      <c r="E503" s="20" t="s">
        <v>3081</v>
      </c>
      <c r="F503" s="20" t="s">
        <v>926</v>
      </c>
      <c r="G503" s="20" t="s">
        <v>13663</v>
      </c>
      <c r="H503" s="20" t="s">
        <v>13664</v>
      </c>
      <c r="I503" s="20" t="s">
        <v>10279</v>
      </c>
      <c r="J503" s="21" t="s">
        <v>10928</v>
      </c>
      <c r="K503" s="21"/>
      <c r="L503" s="21"/>
      <c r="M503" s="21"/>
      <c r="N503" s="21"/>
      <c r="O503" s="21"/>
    </row>
    <row r="504" ht="15.75" customHeight="1">
      <c r="A504" s="22" t="s">
        <v>13665</v>
      </c>
      <c r="B504" s="22" t="s">
        <v>13666</v>
      </c>
      <c r="C504" s="22" t="s">
        <v>10397</v>
      </c>
      <c r="D504" s="22" t="s">
        <v>13667</v>
      </c>
      <c r="E504" s="22" t="s">
        <v>10399</v>
      </c>
      <c r="F504" s="22" t="s">
        <v>231</v>
      </c>
      <c r="G504" s="22" t="s">
        <v>13668</v>
      </c>
      <c r="H504" s="22" t="s">
        <v>13669</v>
      </c>
      <c r="I504" s="22" t="s">
        <v>10279</v>
      </c>
      <c r="J504" s="22" t="s">
        <v>13670</v>
      </c>
      <c r="K504" s="22"/>
      <c r="L504" s="22"/>
      <c r="M504" s="22"/>
      <c r="N504" s="22"/>
      <c r="O504" s="22"/>
    </row>
    <row r="505" ht="15.75" customHeight="1">
      <c r="A505" s="20" t="s">
        <v>13671</v>
      </c>
      <c r="B505" s="20" t="s">
        <v>13672</v>
      </c>
      <c r="C505" s="20" t="s">
        <v>13673</v>
      </c>
      <c r="D505" s="20" t="s">
        <v>13674</v>
      </c>
      <c r="E505" s="20" t="s">
        <v>1352</v>
      </c>
      <c r="F505" s="20" t="s">
        <v>1352</v>
      </c>
      <c r="G505" s="20" t="s">
        <v>13675</v>
      </c>
      <c r="H505" s="20" t="s">
        <v>13676</v>
      </c>
      <c r="I505" s="20" t="s">
        <v>10279</v>
      </c>
      <c r="J505" s="21" t="s">
        <v>11685</v>
      </c>
      <c r="K505" s="21"/>
      <c r="L505" s="21"/>
      <c r="M505" s="21"/>
      <c r="N505" s="21"/>
      <c r="O505" s="21"/>
    </row>
    <row r="506" ht="15.75" customHeight="1">
      <c r="A506" s="22" t="s">
        <v>13677</v>
      </c>
      <c r="B506" s="22" t="s">
        <v>13678</v>
      </c>
      <c r="C506" s="22" t="s">
        <v>13679</v>
      </c>
      <c r="D506" s="22" t="s">
        <v>13680</v>
      </c>
      <c r="E506" s="22" t="s">
        <v>55</v>
      </c>
      <c r="F506" s="22" t="s">
        <v>55</v>
      </c>
      <c r="G506" s="22" t="s">
        <v>13681</v>
      </c>
      <c r="H506" s="22" t="s">
        <v>13682</v>
      </c>
      <c r="I506" s="22" t="s">
        <v>10279</v>
      </c>
      <c r="J506" s="22" t="s">
        <v>12614</v>
      </c>
      <c r="K506" s="22"/>
      <c r="L506" s="22"/>
      <c r="M506" s="22"/>
      <c r="N506" s="22"/>
      <c r="O506" s="22"/>
    </row>
    <row r="507" ht="15.75" customHeight="1">
      <c r="A507" s="20" t="s">
        <v>13683</v>
      </c>
      <c r="B507" s="20" t="s">
        <v>13684</v>
      </c>
      <c r="C507" s="20" t="s">
        <v>13685</v>
      </c>
      <c r="D507" s="20" t="s">
        <v>13686</v>
      </c>
      <c r="E507" s="20" t="s">
        <v>55</v>
      </c>
      <c r="F507" s="20" t="s">
        <v>55</v>
      </c>
      <c r="G507" s="20" t="s">
        <v>13687</v>
      </c>
      <c r="H507" s="20" t="s">
        <v>13688</v>
      </c>
      <c r="I507" s="20" t="s">
        <v>10279</v>
      </c>
      <c r="J507" s="21" t="s">
        <v>12614</v>
      </c>
      <c r="K507" s="21"/>
      <c r="L507" s="21"/>
      <c r="M507" s="21"/>
      <c r="N507" s="21"/>
      <c r="O507" s="21"/>
    </row>
    <row r="508" ht="15.75" customHeight="1">
      <c r="A508" s="22" t="s">
        <v>13689</v>
      </c>
      <c r="B508" s="22" t="s">
        <v>13690</v>
      </c>
      <c r="C508" s="22"/>
      <c r="D508" s="22" t="s">
        <v>13691</v>
      </c>
      <c r="E508" s="22" t="s">
        <v>13692</v>
      </c>
      <c r="F508" s="22" t="s">
        <v>231</v>
      </c>
      <c r="G508" s="22" t="s">
        <v>13693</v>
      </c>
      <c r="H508" s="22" t="s">
        <v>13694</v>
      </c>
      <c r="I508" s="22" t="s">
        <v>10279</v>
      </c>
      <c r="J508" s="22" t="s">
        <v>10823</v>
      </c>
      <c r="K508" s="22"/>
      <c r="L508" s="22"/>
      <c r="M508" s="22"/>
      <c r="N508" s="22"/>
      <c r="O508" s="22"/>
    </row>
    <row r="509" ht="15.75" customHeight="1">
      <c r="A509" s="20" t="s">
        <v>13695</v>
      </c>
      <c r="B509" s="20" t="s">
        <v>13696</v>
      </c>
      <c r="C509" s="20" t="s">
        <v>13697</v>
      </c>
      <c r="D509" s="20" t="s">
        <v>13698</v>
      </c>
      <c r="E509" s="20" t="s">
        <v>55</v>
      </c>
      <c r="F509" s="20" t="s">
        <v>55</v>
      </c>
      <c r="G509" s="20" t="s">
        <v>13699</v>
      </c>
      <c r="H509" s="20" t="s">
        <v>13700</v>
      </c>
      <c r="I509" s="20" t="s">
        <v>10279</v>
      </c>
      <c r="J509" s="21" t="s">
        <v>11052</v>
      </c>
      <c r="K509" s="21" t="s">
        <v>13701</v>
      </c>
      <c r="L509" s="21" t="s">
        <v>13702</v>
      </c>
      <c r="M509" s="21"/>
      <c r="N509" s="21"/>
      <c r="O509" s="21"/>
    </row>
    <row r="510" ht="15.75" customHeight="1">
      <c r="A510" s="22" t="s">
        <v>13703</v>
      </c>
      <c r="B510" s="22" t="s">
        <v>13704</v>
      </c>
      <c r="C510" s="22" t="s">
        <v>13705</v>
      </c>
      <c r="D510" s="22" t="s">
        <v>13706</v>
      </c>
      <c r="E510" s="22" t="s">
        <v>1462</v>
      </c>
      <c r="F510" s="22" t="s">
        <v>1462</v>
      </c>
      <c r="G510" s="22" t="s">
        <v>13707</v>
      </c>
      <c r="H510" s="22" t="s">
        <v>13708</v>
      </c>
      <c r="I510" s="22" t="s">
        <v>10279</v>
      </c>
      <c r="J510" s="22" t="s">
        <v>13709</v>
      </c>
      <c r="K510" s="22"/>
      <c r="L510" s="22"/>
      <c r="M510" s="22"/>
      <c r="N510" s="22"/>
      <c r="O510" s="22"/>
    </row>
    <row r="511" ht="15.75" customHeight="1">
      <c r="A511" s="20" t="s">
        <v>13710</v>
      </c>
      <c r="B511" s="20" t="s">
        <v>13711</v>
      </c>
      <c r="C511" s="20" t="s">
        <v>13712</v>
      </c>
      <c r="D511" s="20" t="s">
        <v>13713</v>
      </c>
      <c r="E511" s="20" t="s">
        <v>1014</v>
      </c>
      <c r="F511" s="20" t="s">
        <v>1014</v>
      </c>
      <c r="G511" s="20" t="s">
        <v>13714</v>
      </c>
      <c r="H511" s="20" t="s">
        <v>13715</v>
      </c>
      <c r="I511" s="20" t="s">
        <v>10279</v>
      </c>
      <c r="J511" s="21" t="s">
        <v>13716</v>
      </c>
      <c r="K511" s="21"/>
      <c r="L511" s="21"/>
      <c r="M511" s="21"/>
      <c r="N511" s="21"/>
      <c r="O511" s="21"/>
    </row>
    <row r="512" ht="15.75" customHeight="1">
      <c r="A512" s="22" t="s">
        <v>13717</v>
      </c>
      <c r="B512" s="22" t="s">
        <v>13718</v>
      </c>
      <c r="C512" s="22" t="s">
        <v>13719</v>
      </c>
      <c r="D512" s="22" t="s">
        <v>13720</v>
      </c>
      <c r="E512" s="22" t="s">
        <v>129</v>
      </c>
      <c r="F512" s="22" t="s">
        <v>129</v>
      </c>
      <c r="G512" s="22" t="s">
        <v>13721</v>
      </c>
      <c r="H512" s="22" t="s">
        <v>13722</v>
      </c>
      <c r="I512" s="22" t="s">
        <v>10279</v>
      </c>
      <c r="J512" s="22" t="s">
        <v>10928</v>
      </c>
      <c r="K512" s="22"/>
      <c r="L512" s="22"/>
      <c r="M512" s="22"/>
      <c r="N512" s="22"/>
      <c r="O512" s="22"/>
    </row>
    <row r="513" ht="15.75" customHeight="1">
      <c r="A513" s="20" t="s">
        <v>13723</v>
      </c>
      <c r="B513" s="20" t="s">
        <v>13724</v>
      </c>
      <c r="C513" s="20" t="s">
        <v>13725</v>
      </c>
      <c r="D513" s="20" t="s">
        <v>13726</v>
      </c>
      <c r="E513" s="20" t="s">
        <v>7440</v>
      </c>
      <c r="F513" s="20" t="s">
        <v>231</v>
      </c>
      <c r="G513" s="20" t="s">
        <v>13727</v>
      </c>
      <c r="H513" s="20" t="s">
        <v>13728</v>
      </c>
      <c r="I513" s="20" t="s">
        <v>10279</v>
      </c>
      <c r="J513" s="21" t="s">
        <v>13729</v>
      </c>
      <c r="K513" s="21"/>
      <c r="L513" s="21"/>
      <c r="M513" s="21"/>
      <c r="N513" s="21"/>
      <c r="O513" s="21"/>
    </row>
    <row r="514" ht="15.75" customHeight="1">
      <c r="A514" s="22" t="s">
        <v>13730</v>
      </c>
      <c r="B514" s="22" t="s">
        <v>13731</v>
      </c>
      <c r="C514" s="22" t="s">
        <v>13732</v>
      </c>
      <c r="D514" s="22" t="s">
        <v>13733</v>
      </c>
      <c r="E514" s="22" t="s">
        <v>13734</v>
      </c>
      <c r="F514" s="22" t="s">
        <v>5441</v>
      </c>
      <c r="G514" s="22" t="s">
        <v>13735</v>
      </c>
      <c r="H514" s="22" t="s">
        <v>13736</v>
      </c>
      <c r="I514" s="22" t="s">
        <v>10279</v>
      </c>
      <c r="J514" s="22" t="s">
        <v>10569</v>
      </c>
      <c r="K514" s="22"/>
      <c r="L514" s="22"/>
      <c r="M514" s="22"/>
      <c r="N514" s="22"/>
      <c r="O514" s="22"/>
    </row>
    <row r="515" ht="15.75" customHeight="1">
      <c r="A515" s="20" t="s">
        <v>13737</v>
      </c>
      <c r="B515" s="20" t="s">
        <v>13738</v>
      </c>
      <c r="C515" s="20" t="s">
        <v>13739</v>
      </c>
      <c r="D515" s="20" t="s">
        <v>13740</v>
      </c>
      <c r="E515" s="20" t="s">
        <v>2162</v>
      </c>
      <c r="F515" s="20" t="s">
        <v>2162</v>
      </c>
      <c r="G515" s="20" t="s">
        <v>13741</v>
      </c>
      <c r="H515" s="20" t="s">
        <v>13742</v>
      </c>
      <c r="I515" s="20" t="s">
        <v>10279</v>
      </c>
      <c r="J515" s="21" t="s">
        <v>13743</v>
      </c>
      <c r="K515" s="21"/>
      <c r="L515" s="21"/>
      <c r="M515" s="21"/>
      <c r="N515" s="21"/>
      <c r="O515" s="21"/>
    </row>
    <row r="516" ht="15.75" customHeight="1">
      <c r="A516" s="22" t="s">
        <v>13744</v>
      </c>
      <c r="B516" s="22" t="s">
        <v>13745</v>
      </c>
      <c r="C516" s="22" t="s">
        <v>13746</v>
      </c>
      <c r="D516" s="22" t="s">
        <v>13747</v>
      </c>
      <c r="E516" s="22" t="s">
        <v>13748</v>
      </c>
      <c r="F516" s="22" t="s">
        <v>129</v>
      </c>
      <c r="G516" s="22" t="s">
        <v>13749</v>
      </c>
      <c r="H516" s="22"/>
      <c r="I516" s="22" t="s">
        <v>10279</v>
      </c>
      <c r="J516" s="22" t="s">
        <v>11725</v>
      </c>
      <c r="K516" s="22"/>
      <c r="L516" s="22"/>
      <c r="M516" s="22"/>
      <c r="N516" s="22"/>
      <c r="O516" s="22"/>
    </row>
    <row r="517" ht="15.75" customHeight="1">
      <c r="A517" s="20" t="s">
        <v>13750</v>
      </c>
      <c r="B517" s="20" t="s">
        <v>13751</v>
      </c>
      <c r="C517" s="20" t="s">
        <v>13752</v>
      </c>
      <c r="D517" s="20" t="s">
        <v>13753</v>
      </c>
      <c r="E517" s="20" t="s">
        <v>1541</v>
      </c>
      <c r="F517" s="20" t="s">
        <v>1541</v>
      </c>
      <c r="G517" s="20" t="s">
        <v>13754</v>
      </c>
      <c r="H517" s="20" t="s">
        <v>13755</v>
      </c>
      <c r="I517" s="20" t="s">
        <v>10279</v>
      </c>
      <c r="J517" s="21" t="s">
        <v>11072</v>
      </c>
      <c r="K517" s="21"/>
      <c r="L517" s="21"/>
      <c r="M517" s="21"/>
      <c r="N517" s="21"/>
      <c r="O517" s="21"/>
    </row>
    <row r="518" ht="15.75" customHeight="1">
      <c r="A518" s="22" t="s">
        <v>13756</v>
      </c>
      <c r="B518" s="22" t="s">
        <v>13757</v>
      </c>
      <c r="C518" s="22" t="s">
        <v>13758</v>
      </c>
      <c r="D518" s="22" t="s">
        <v>13759</v>
      </c>
      <c r="E518" s="22" t="s">
        <v>13760</v>
      </c>
      <c r="F518" s="22" t="s">
        <v>610</v>
      </c>
      <c r="G518" s="22" t="s">
        <v>13761</v>
      </c>
      <c r="H518" s="22" t="s">
        <v>13762</v>
      </c>
      <c r="I518" s="22" t="s">
        <v>10279</v>
      </c>
      <c r="J518" s="22" t="s">
        <v>10321</v>
      </c>
      <c r="K518" s="22"/>
      <c r="L518" s="22"/>
      <c r="M518" s="22"/>
      <c r="N518" s="22"/>
      <c r="O518" s="22"/>
    </row>
    <row r="519" ht="15.75" customHeight="1">
      <c r="A519" s="20" t="s">
        <v>13763</v>
      </c>
      <c r="B519" s="20" t="s">
        <v>13764</v>
      </c>
      <c r="C519" s="20"/>
      <c r="D519" s="20" t="s">
        <v>13765</v>
      </c>
      <c r="E519" s="20" t="s">
        <v>231</v>
      </c>
      <c r="F519" s="20" t="s">
        <v>231</v>
      </c>
      <c r="G519" s="20" t="s">
        <v>13766</v>
      </c>
      <c r="H519" s="20" t="s">
        <v>13767</v>
      </c>
      <c r="I519" s="20" t="s">
        <v>10279</v>
      </c>
      <c r="J519" s="21" t="s">
        <v>13768</v>
      </c>
      <c r="K519" s="21"/>
      <c r="L519" s="21"/>
      <c r="M519" s="21"/>
      <c r="N519" s="21"/>
      <c r="O519" s="21"/>
    </row>
    <row r="520" ht="15.75" customHeight="1">
      <c r="A520" s="22" t="s">
        <v>13769</v>
      </c>
      <c r="B520" s="22" t="s">
        <v>13051</v>
      </c>
      <c r="C520" s="22" t="s">
        <v>13052</v>
      </c>
      <c r="D520" s="22" t="s">
        <v>13770</v>
      </c>
      <c r="E520" s="22" t="s">
        <v>13054</v>
      </c>
      <c r="F520" s="22" t="s">
        <v>231</v>
      </c>
      <c r="G520" s="22" t="s">
        <v>13055</v>
      </c>
      <c r="H520" s="22" t="s">
        <v>13050</v>
      </c>
      <c r="I520" s="22" t="s">
        <v>10279</v>
      </c>
      <c r="J520" s="22" t="s">
        <v>10459</v>
      </c>
      <c r="K520" s="22"/>
      <c r="L520" s="22"/>
      <c r="M520" s="22"/>
      <c r="N520" s="22"/>
      <c r="O520" s="22"/>
    </row>
    <row r="521" ht="15.75" customHeight="1">
      <c r="A521" s="20" t="s">
        <v>13771</v>
      </c>
      <c r="B521" s="20" t="s">
        <v>13772</v>
      </c>
      <c r="C521" s="20" t="s">
        <v>13773</v>
      </c>
      <c r="D521" s="20" t="s">
        <v>13774</v>
      </c>
      <c r="E521" s="20" t="s">
        <v>55</v>
      </c>
      <c r="F521" s="20" t="s">
        <v>55</v>
      </c>
      <c r="G521" s="20" t="s">
        <v>13775</v>
      </c>
      <c r="H521" s="20" t="s">
        <v>13776</v>
      </c>
      <c r="I521" s="20" t="s">
        <v>10279</v>
      </c>
      <c r="J521" s="21" t="s">
        <v>11442</v>
      </c>
      <c r="K521" s="21"/>
      <c r="L521" s="21"/>
      <c r="M521" s="21"/>
      <c r="N521" s="21"/>
      <c r="O521" s="21"/>
    </row>
    <row r="522" ht="15.75" customHeight="1">
      <c r="A522" s="22" t="s">
        <v>13777</v>
      </c>
      <c r="B522" s="22" t="s">
        <v>13778</v>
      </c>
      <c r="C522" s="22" t="s">
        <v>13779</v>
      </c>
      <c r="D522" s="22" t="s">
        <v>13780</v>
      </c>
      <c r="E522" s="22" t="s">
        <v>55</v>
      </c>
      <c r="F522" s="22" t="s">
        <v>55</v>
      </c>
      <c r="G522" s="22" t="s">
        <v>13781</v>
      </c>
      <c r="H522" s="22" t="s">
        <v>13782</v>
      </c>
      <c r="I522" s="22" t="s">
        <v>10279</v>
      </c>
      <c r="J522" s="22" t="s">
        <v>10928</v>
      </c>
      <c r="K522" s="22"/>
      <c r="L522" s="22"/>
      <c r="M522" s="22"/>
      <c r="N522" s="22"/>
      <c r="O522" s="22"/>
    </row>
    <row r="523" ht="15.75" customHeight="1">
      <c r="A523" s="20" t="s">
        <v>13783</v>
      </c>
      <c r="B523" s="20" t="s">
        <v>13784</v>
      </c>
      <c r="C523" s="20" t="s">
        <v>13785</v>
      </c>
      <c r="D523" s="20" t="s">
        <v>13786</v>
      </c>
      <c r="E523" s="20" t="s">
        <v>231</v>
      </c>
      <c r="F523" s="20" t="s">
        <v>231</v>
      </c>
      <c r="G523" s="20" t="s">
        <v>13787</v>
      </c>
      <c r="H523" s="20" t="s">
        <v>13788</v>
      </c>
      <c r="I523" s="20" t="s">
        <v>10279</v>
      </c>
      <c r="J523" s="21" t="s">
        <v>10314</v>
      </c>
      <c r="K523" s="21"/>
      <c r="L523" s="21"/>
      <c r="M523" s="21"/>
      <c r="N523" s="21"/>
      <c r="O523" s="21"/>
    </row>
    <row r="524" ht="15.75" customHeight="1">
      <c r="A524" s="22" t="s">
        <v>13789</v>
      </c>
      <c r="B524" s="22" t="s">
        <v>13790</v>
      </c>
      <c r="C524" s="22" t="s">
        <v>13791</v>
      </c>
      <c r="D524" s="22" t="s">
        <v>13792</v>
      </c>
      <c r="E524" s="22" t="s">
        <v>13793</v>
      </c>
      <c r="F524" s="22" t="s">
        <v>926</v>
      </c>
      <c r="G524" s="22" t="s">
        <v>13794</v>
      </c>
      <c r="H524" s="22" t="s">
        <v>13795</v>
      </c>
      <c r="I524" s="22" t="s">
        <v>10279</v>
      </c>
      <c r="J524" s="22" t="s">
        <v>10569</v>
      </c>
      <c r="K524" s="22"/>
      <c r="L524" s="22"/>
      <c r="M524" s="22"/>
      <c r="N524" s="22"/>
      <c r="O524" s="22"/>
    </row>
    <row r="525" ht="15.75" customHeight="1">
      <c r="A525" s="20" t="s">
        <v>13796</v>
      </c>
      <c r="B525" s="20" t="s">
        <v>13797</v>
      </c>
      <c r="C525" s="20" t="s">
        <v>13798</v>
      </c>
      <c r="D525" s="20" t="s">
        <v>13799</v>
      </c>
      <c r="E525" s="20" t="s">
        <v>813</v>
      </c>
      <c r="F525" s="20" t="s">
        <v>813</v>
      </c>
      <c r="G525" s="20" t="s">
        <v>13800</v>
      </c>
      <c r="H525" s="20" t="s">
        <v>13801</v>
      </c>
      <c r="I525" s="20" t="s">
        <v>10279</v>
      </c>
      <c r="J525" s="21" t="s">
        <v>13372</v>
      </c>
      <c r="K525" s="21"/>
      <c r="L525" s="21"/>
      <c r="M525" s="21"/>
      <c r="N525" s="21"/>
      <c r="O525" s="21"/>
    </row>
    <row r="526" ht="15.75" customHeight="1">
      <c r="A526" s="22" t="s">
        <v>13802</v>
      </c>
      <c r="B526" s="22" t="s">
        <v>13803</v>
      </c>
      <c r="C526" s="22" t="s">
        <v>13804</v>
      </c>
      <c r="D526" s="22" t="s">
        <v>13805</v>
      </c>
      <c r="E526" s="22" t="s">
        <v>813</v>
      </c>
      <c r="F526" s="22" t="s">
        <v>813</v>
      </c>
      <c r="G526" s="22" t="s">
        <v>13806</v>
      </c>
      <c r="H526" s="22" t="s">
        <v>13807</v>
      </c>
      <c r="I526" s="22" t="s">
        <v>10279</v>
      </c>
      <c r="J526" s="22" t="s">
        <v>11239</v>
      </c>
      <c r="K526" s="22"/>
      <c r="L526" s="22"/>
      <c r="M526" s="22"/>
      <c r="N526" s="22"/>
      <c r="O526" s="22"/>
    </row>
    <row r="527" ht="15.75" customHeight="1">
      <c r="A527" s="20" t="s">
        <v>13808</v>
      </c>
      <c r="B527" s="20" t="s">
        <v>13809</v>
      </c>
      <c r="C527" s="20" t="s">
        <v>13810</v>
      </c>
      <c r="D527" s="20" t="s">
        <v>13811</v>
      </c>
      <c r="E527" s="20" t="s">
        <v>231</v>
      </c>
      <c r="F527" s="20" t="s">
        <v>231</v>
      </c>
      <c r="G527" s="20" t="s">
        <v>13510</v>
      </c>
      <c r="H527" s="20" t="s">
        <v>13812</v>
      </c>
      <c r="I527" s="20" t="s">
        <v>10279</v>
      </c>
      <c r="J527" s="21" t="s">
        <v>10321</v>
      </c>
      <c r="K527" s="21"/>
      <c r="L527" s="21"/>
      <c r="M527" s="21"/>
      <c r="N527" s="21"/>
      <c r="O527" s="21"/>
    </row>
    <row r="528" ht="15.75" customHeight="1">
      <c r="A528" s="22" t="s">
        <v>13813</v>
      </c>
      <c r="B528" s="22" t="s">
        <v>13814</v>
      </c>
      <c r="C528" s="22" t="s">
        <v>13815</v>
      </c>
      <c r="D528" s="22" t="s">
        <v>13816</v>
      </c>
      <c r="E528" s="22" t="s">
        <v>723</v>
      </c>
      <c r="F528" s="22" t="s">
        <v>406</v>
      </c>
      <c r="G528" s="22" t="s">
        <v>13817</v>
      </c>
      <c r="H528" s="22" t="s">
        <v>13818</v>
      </c>
      <c r="I528" s="22" t="s">
        <v>10279</v>
      </c>
      <c r="J528" s="22" t="s">
        <v>13819</v>
      </c>
      <c r="K528" s="22"/>
      <c r="L528" s="22"/>
      <c r="M528" s="22"/>
      <c r="N528" s="22"/>
      <c r="O528" s="22"/>
    </row>
    <row r="529" ht="15.75" customHeight="1">
      <c r="A529" s="20" t="s">
        <v>13820</v>
      </c>
      <c r="B529" s="20"/>
      <c r="C529" s="20"/>
      <c r="D529" s="20" t="s">
        <v>13821</v>
      </c>
      <c r="E529" s="20" t="s">
        <v>129</v>
      </c>
      <c r="F529" s="20" t="s">
        <v>129</v>
      </c>
      <c r="G529" s="20"/>
      <c r="H529" s="20"/>
      <c r="I529" s="20" t="s">
        <v>10279</v>
      </c>
      <c r="J529" s="21"/>
      <c r="K529" s="21"/>
      <c r="L529" s="21"/>
      <c r="M529" s="21"/>
      <c r="N529" s="21"/>
      <c r="O529" s="21"/>
    </row>
    <row r="530" ht="15.75" customHeight="1">
      <c r="A530" s="22" t="s">
        <v>13822</v>
      </c>
      <c r="B530" s="22" t="s">
        <v>13823</v>
      </c>
      <c r="C530" s="22" t="s">
        <v>13824</v>
      </c>
      <c r="D530" s="22" t="s">
        <v>13825</v>
      </c>
      <c r="E530" s="22" t="s">
        <v>231</v>
      </c>
      <c r="F530" s="22" t="s">
        <v>231</v>
      </c>
      <c r="G530" s="22" t="s">
        <v>13826</v>
      </c>
      <c r="H530" s="22"/>
      <c r="I530" s="22" t="s">
        <v>10279</v>
      </c>
      <c r="J530" s="22" t="s">
        <v>10321</v>
      </c>
      <c r="K530" s="22" t="s">
        <v>13827</v>
      </c>
      <c r="L530" s="22" t="s">
        <v>10498</v>
      </c>
      <c r="M530" s="22" t="s">
        <v>10499</v>
      </c>
      <c r="N530" s="22" t="s">
        <v>10500</v>
      </c>
      <c r="O530" s="22" t="s">
        <v>10501</v>
      </c>
    </row>
    <row r="531" ht="15.75" customHeight="1">
      <c r="A531" s="20" t="s">
        <v>13828</v>
      </c>
      <c r="B531" s="20" t="s">
        <v>13829</v>
      </c>
      <c r="C531" s="20" t="s">
        <v>13830</v>
      </c>
      <c r="D531" s="20" t="s">
        <v>13831</v>
      </c>
      <c r="E531" s="20" t="s">
        <v>12204</v>
      </c>
      <c r="F531" s="20" t="s">
        <v>5048</v>
      </c>
      <c r="G531" s="20" t="s">
        <v>13832</v>
      </c>
      <c r="H531" s="20" t="s">
        <v>13833</v>
      </c>
      <c r="I531" s="20" t="s">
        <v>10279</v>
      </c>
      <c r="J531" s="21" t="s">
        <v>12028</v>
      </c>
      <c r="K531" s="21"/>
      <c r="L531" s="21"/>
      <c r="M531" s="21"/>
      <c r="N531" s="21"/>
      <c r="O531" s="21"/>
    </row>
    <row r="532" ht="15.75" customHeight="1">
      <c r="A532" s="22" t="s">
        <v>13834</v>
      </c>
      <c r="B532" s="22" t="s">
        <v>13835</v>
      </c>
      <c r="C532" s="22" t="s">
        <v>13836</v>
      </c>
      <c r="D532" s="22" t="s">
        <v>13837</v>
      </c>
      <c r="E532" s="22" t="s">
        <v>3081</v>
      </c>
      <c r="F532" s="22" t="s">
        <v>926</v>
      </c>
      <c r="G532" s="22" t="s">
        <v>13838</v>
      </c>
      <c r="H532" s="22" t="s">
        <v>13839</v>
      </c>
      <c r="I532" s="22" t="s">
        <v>10279</v>
      </c>
      <c r="J532" s="22" t="s">
        <v>10958</v>
      </c>
      <c r="K532" s="22"/>
      <c r="L532" s="22"/>
      <c r="M532" s="22"/>
      <c r="N532" s="22"/>
      <c r="O532" s="22"/>
    </row>
    <row r="533" ht="15.75" customHeight="1">
      <c r="A533" s="20" t="s">
        <v>13840</v>
      </c>
      <c r="B533" s="20" t="s">
        <v>13841</v>
      </c>
      <c r="C533" s="20" t="s">
        <v>13842</v>
      </c>
      <c r="D533" s="20" t="s">
        <v>13843</v>
      </c>
      <c r="E533" s="20" t="s">
        <v>13844</v>
      </c>
      <c r="F533" s="20" t="s">
        <v>1171</v>
      </c>
      <c r="G533" s="20" t="s">
        <v>13845</v>
      </c>
      <c r="H533" s="20" t="s">
        <v>13846</v>
      </c>
      <c r="I533" s="20" t="s">
        <v>10279</v>
      </c>
      <c r="J533" s="21" t="s">
        <v>10328</v>
      </c>
      <c r="K533" s="21"/>
      <c r="L533" s="21"/>
      <c r="M533" s="21"/>
      <c r="N533" s="21"/>
      <c r="O533" s="21"/>
    </row>
    <row r="534" ht="15.75" customHeight="1">
      <c r="A534" s="22" t="s">
        <v>13847</v>
      </c>
      <c r="B534" s="22" t="s">
        <v>13848</v>
      </c>
      <c r="C534" s="22"/>
      <c r="D534" s="22" t="s">
        <v>13849</v>
      </c>
      <c r="E534" s="22" t="s">
        <v>55</v>
      </c>
      <c r="F534" s="22" t="s">
        <v>55</v>
      </c>
      <c r="G534" s="22" t="s">
        <v>13850</v>
      </c>
      <c r="H534" s="22" t="s">
        <v>13851</v>
      </c>
      <c r="I534" s="22" t="s">
        <v>10279</v>
      </c>
      <c r="J534" s="22" t="s">
        <v>10314</v>
      </c>
      <c r="K534" s="22" t="s">
        <v>13852</v>
      </c>
      <c r="L534" s="22" t="s">
        <v>13853</v>
      </c>
      <c r="M534" s="22" t="s">
        <v>13854</v>
      </c>
      <c r="N534" s="22" t="s">
        <v>13855</v>
      </c>
      <c r="O534" s="22" t="s">
        <v>13856</v>
      </c>
    </row>
    <row r="535" ht="15.75" customHeight="1">
      <c r="A535" s="20" t="s">
        <v>13857</v>
      </c>
      <c r="B535" s="20" t="s">
        <v>13858</v>
      </c>
      <c r="C535" s="20" t="s">
        <v>13859</v>
      </c>
      <c r="D535" s="20" t="s">
        <v>13860</v>
      </c>
      <c r="E535" s="20" t="s">
        <v>231</v>
      </c>
      <c r="F535" s="20" t="s">
        <v>231</v>
      </c>
      <c r="G535" s="20" t="s">
        <v>13861</v>
      </c>
      <c r="H535" s="20" t="s">
        <v>13862</v>
      </c>
      <c r="I535" s="20" t="s">
        <v>10279</v>
      </c>
      <c r="J535" s="21" t="s">
        <v>13863</v>
      </c>
      <c r="K535" s="21"/>
      <c r="L535" s="21"/>
      <c r="M535" s="21"/>
      <c r="N535" s="21"/>
      <c r="O535" s="21"/>
    </row>
    <row r="536" ht="15.75" customHeight="1">
      <c r="A536" s="22" t="s">
        <v>13864</v>
      </c>
      <c r="B536" s="22" t="s">
        <v>10839</v>
      </c>
      <c r="C536" s="22" t="s">
        <v>13865</v>
      </c>
      <c r="D536" s="22" t="s">
        <v>13866</v>
      </c>
      <c r="E536" s="22" t="s">
        <v>10842</v>
      </c>
      <c r="F536" s="22" t="s">
        <v>5048</v>
      </c>
      <c r="G536" s="22" t="s">
        <v>13867</v>
      </c>
      <c r="H536" s="22" t="s">
        <v>13868</v>
      </c>
      <c r="I536" s="22" t="s">
        <v>10279</v>
      </c>
      <c r="J536" s="22" t="s">
        <v>13869</v>
      </c>
      <c r="K536" s="22"/>
      <c r="L536" s="22"/>
      <c r="M536" s="22"/>
      <c r="N536" s="22"/>
      <c r="O536" s="22"/>
    </row>
    <row r="537" ht="15.75" customHeight="1">
      <c r="A537" s="20" t="s">
        <v>13870</v>
      </c>
      <c r="B537" s="20" t="s">
        <v>13871</v>
      </c>
      <c r="C537" s="20" t="s">
        <v>13872</v>
      </c>
      <c r="D537" s="20" t="s">
        <v>13873</v>
      </c>
      <c r="E537" s="20" t="s">
        <v>723</v>
      </c>
      <c r="F537" s="20" t="s">
        <v>406</v>
      </c>
      <c r="G537" s="20" t="s">
        <v>13874</v>
      </c>
      <c r="H537" s="20"/>
      <c r="I537" s="20" t="s">
        <v>10279</v>
      </c>
      <c r="J537" s="21" t="s">
        <v>13875</v>
      </c>
      <c r="K537" s="21"/>
      <c r="L537" s="21"/>
      <c r="M537" s="21"/>
      <c r="N537" s="21"/>
      <c r="O537" s="21"/>
    </row>
    <row r="538" ht="15.75" customHeight="1">
      <c r="A538" s="22" t="s">
        <v>13876</v>
      </c>
      <c r="B538" s="22" t="s">
        <v>13877</v>
      </c>
      <c r="C538" s="22" t="s">
        <v>13878</v>
      </c>
      <c r="D538" s="22" t="s">
        <v>13879</v>
      </c>
      <c r="E538" s="22" t="s">
        <v>13880</v>
      </c>
      <c r="F538" s="22" t="s">
        <v>129</v>
      </c>
      <c r="G538" s="22" t="s">
        <v>13881</v>
      </c>
      <c r="H538" s="22"/>
      <c r="I538" s="22" t="s">
        <v>10279</v>
      </c>
      <c r="J538" s="22" t="s">
        <v>10632</v>
      </c>
      <c r="K538" s="22"/>
      <c r="L538" s="22"/>
      <c r="M538" s="22"/>
      <c r="N538" s="22"/>
      <c r="O538" s="22"/>
    </row>
    <row r="539" ht="15.75" customHeight="1">
      <c r="A539" s="20" t="s">
        <v>13882</v>
      </c>
      <c r="B539" s="20" t="s">
        <v>13883</v>
      </c>
      <c r="C539" s="20" t="s">
        <v>13884</v>
      </c>
      <c r="D539" s="20" t="s">
        <v>13885</v>
      </c>
      <c r="E539" s="20" t="s">
        <v>13886</v>
      </c>
      <c r="F539" s="20" t="s">
        <v>11812</v>
      </c>
      <c r="G539" s="20" t="s">
        <v>13887</v>
      </c>
      <c r="H539" s="20" t="s">
        <v>13888</v>
      </c>
      <c r="I539" s="20" t="s">
        <v>10279</v>
      </c>
      <c r="J539" s="21" t="s">
        <v>13889</v>
      </c>
      <c r="K539" s="21"/>
      <c r="L539" s="21"/>
      <c r="M539" s="21"/>
      <c r="N539" s="21"/>
      <c r="O539" s="21"/>
    </row>
    <row r="540" ht="15.75" customHeight="1">
      <c r="A540" s="22" t="s">
        <v>13890</v>
      </c>
      <c r="B540" s="22" t="s">
        <v>13891</v>
      </c>
      <c r="C540" s="22" t="s">
        <v>13892</v>
      </c>
      <c r="D540" s="22" t="s">
        <v>13893</v>
      </c>
      <c r="E540" s="22" t="s">
        <v>1014</v>
      </c>
      <c r="F540" s="22" t="s">
        <v>1014</v>
      </c>
      <c r="G540" s="22" t="s">
        <v>13894</v>
      </c>
      <c r="H540" s="22" t="s">
        <v>13895</v>
      </c>
      <c r="I540" s="22" t="s">
        <v>10279</v>
      </c>
      <c r="J540" s="22" t="s">
        <v>10459</v>
      </c>
      <c r="K540" s="22"/>
      <c r="L540" s="22"/>
      <c r="M540" s="22"/>
      <c r="N540" s="22"/>
      <c r="O540" s="22"/>
    </row>
    <row r="541" ht="15.75" customHeight="1">
      <c r="A541" s="20" t="s">
        <v>13896</v>
      </c>
      <c r="B541" s="20" t="s">
        <v>13897</v>
      </c>
      <c r="C541" s="20" t="s">
        <v>13898</v>
      </c>
      <c r="D541" s="20" t="s">
        <v>13899</v>
      </c>
      <c r="E541" s="20" t="s">
        <v>100</v>
      </c>
      <c r="F541" s="20" t="s">
        <v>100</v>
      </c>
      <c r="G541" s="20" t="s">
        <v>13900</v>
      </c>
      <c r="H541" s="20" t="s">
        <v>13901</v>
      </c>
      <c r="I541" s="20" t="s">
        <v>10279</v>
      </c>
      <c r="J541" s="21" t="s">
        <v>10280</v>
      </c>
      <c r="K541" s="21"/>
      <c r="L541" s="21"/>
      <c r="M541" s="21"/>
      <c r="N541" s="21"/>
      <c r="O541" s="21"/>
    </row>
    <row r="542" ht="15.75" customHeight="1">
      <c r="A542" s="22" t="s">
        <v>13902</v>
      </c>
      <c r="B542" s="22" t="s">
        <v>13903</v>
      </c>
      <c r="C542" s="22" t="s">
        <v>13904</v>
      </c>
      <c r="D542" s="22" t="s">
        <v>13905</v>
      </c>
      <c r="E542" s="22" t="s">
        <v>1352</v>
      </c>
      <c r="F542" s="22" t="s">
        <v>1352</v>
      </c>
      <c r="G542" s="22" t="s">
        <v>13906</v>
      </c>
      <c r="H542" s="22" t="s">
        <v>13907</v>
      </c>
      <c r="I542" s="22" t="s">
        <v>10279</v>
      </c>
      <c r="J542" s="22" t="s">
        <v>13908</v>
      </c>
      <c r="K542" s="22"/>
      <c r="L542" s="22"/>
      <c r="M542" s="22"/>
      <c r="N542" s="22"/>
      <c r="O542" s="22"/>
    </row>
    <row r="543" ht="15.75" customHeight="1">
      <c r="A543" s="20" t="s">
        <v>13909</v>
      </c>
      <c r="B543" s="20" t="s">
        <v>13910</v>
      </c>
      <c r="C543" s="20" t="s">
        <v>13911</v>
      </c>
      <c r="D543" s="20" t="s">
        <v>13912</v>
      </c>
      <c r="E543" s="20" t="s">
        <v>100</v>
      </c>
      <c r="F543" s="20" t="s">
        <v>100</v>
      </c>
      <c r="G543" s="20" t="s">
        <v>13913</v>
      </c>
      <c r="H543" s="20" t="s">
        <v>13914</v>
      </c>
      <c r="I543" s="20" t="s">
        <v>10279</v>
      </c>
      <c r="J543" s="21" t="s">
        <v>10411</v>
      </c>
      <c r="K543" s="21"/>
      <c r="L543" s="21"/>
      <c r="M543" s="21"/>
      <c r="N543" s="21"/>
      <c r="O543" s="21"/>
    </row>
    <row r="544" ht="15.75" customHeight="1">
      <c r="A544" s="22" t="s">
        <v>13915</v>
      </c>
      <c r="B544" s="22" t="s">
        <v>13916</v>
      </c>
      <c r="C544" s="22" t="s">
        <v>13917</v>
      </c>
      <c r="D544" s="22" t="s">
        <v>13918</v>
      </c>
      <c r="E544" s="22" t="s">
        <v>10705</v>
      </c>
      <c r="F544" s="22" t="s">
        <v>10706</v>
      </c>
      <c r="G544" s="22" t="s">
        <v>10707</v>
      </c>
      <c r="H544" s="22" t="s">
        <v>13919</v>
      </c>
      <c r="I544" s="22" t="s">
        <v>10279</v>
      </c>
      <c r="J544" s="22" t="s">
        <v>10314</v>
      </c>
      <c r="K544" s="22"/>
      <c r="L544" s="22"/>
      <c r="M544" s="22"/>
      <c r="N544" s="22"/>
      <c r="O544" s="22"/>
    </row>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J1:O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5" t="s">
        <v>2</v>
      </c>
      <c r="B1" s="15"/>
      <c r="C1" s="15"/>
      <c r="D1" s="15"/>
      <c r="E1" s="16"/>
      <c r="F1" s="26" t="s">
        <v>30</v>
      </c>
      <c r="G1" s="16"/>
      <c r="H1" s="27"/>
      <c r="I1" s="27"/>
      <c r="J1" s="27"/>
      <c r="K1" s="27"/>
      <c r="L1" s="27"/>
      <c r="M1" s="27"/>
      <c r="N1" s="27"/>
      <c r="O1" s="27"/>
      <c r="P1" s="27"/>
      <c r="Q1" s="27"/>
      <c r="R1" s="27"/>
      <c r="S1" s="27"/>
      <c r="T1" s="27"/>
      <c r="U1" s="27"/>
      <c r="V1" s="27"/>
      <c r="W1" s="27"/>
      <c r="X1" s="27"/>
      <c r="Y1" s="27"/>
      <c r="Z1" s="27"/>
    </row>
    <row r="2">
      <c r="A2" s="28" t="s">
        <v>6</v>
      </c>
      <c r="B2" s="28" t="s">
        <v>12</v>
      </c>
      <c r="C2" s="28" t="s">
        <v>14</v>
      </c>
      <c r="D2" s="28" t="s">
        <v>16</v>
      </c>
      <c r="E2" s="28" t="s">
        <v>28</v>
      </c>
      <c r="F2" s="29" t="s">
        <v>13920</v>
      </c>
      <c r="G2" s="29" t="s">
        <v>13921</v>
      </c>
      <c r="H2" s="27"/>
      <c r="I2" s="27"/>
      <c r="J2" s="27"/>
      <c r="K2" s="27"/>
      <c r="L2" s="27"/>
      <c r="M2" s="27"/>
      <c r="N2" s="27"/>
      <c r="O2" s="27"/>
      <c r="P2" s="27"/>
      <c r="Q2" s="27"/>
      <c r="R2" s="27"/>
      <c r="S2" s="27"/>
      <c r="T2" s="27"/>
      <c r="U2" s="27"/>
      <c r="V2" s="27"/>
      <c r="W2" s="27"/>
      <c r="X2" s="27"/>
      <c r="Y2" s="27"/>
      <c r="Z2" s="27"/>
    </row>
    <row r="3">
      <c r="A3" s="30" t="s">
        <v>13922</v>
      </c>
      <c r="B3" s="30" t="s">
        <v>13923</v>
      </c>
      <c r="C3" s="31"/>
      <c r="D3" s="30" t="s">
        <v>13924</v>
      </c>
      <c r="E3" s="30" t="s">
        <v>13925</v>
      </c>
      <c r="F3" s="32" t="s">
        <v>13926</v>
      </c>
      <c r="G3" s="32" t="s">
        <v>13927</v>
      </c>
      <c r="H3" s="27"/>
      <c r="I3" s="27"/>
      <c r="J3" s="27"/>
      <c r="K3" s="27"/>
      <c r="L3" s="27"/>
      <c r="M3" s="27"/>
      <c r="N3" s="27"/>
      <c r="O3" s="27"/>
      <c r="P3" s="27"/>
      <c r="Q3" s="27"/>
      <c r="R3" s="27"/>
      <c r="S3" s="27"/>
      <c r="T3" s="27"/>
      <c r="U3" s="27"/>
      <c r="V3" s="27"/>
      <c r="W3" s="27"/>
      <c r="X3" s="27"/>
      <c r="Y3" s="27"/>
      <c r="Z3" s="27"/>
    </row>
    <row r="4">
      <c r="A4" s="33" t="s">
        <v>13928</v>
      </c>
      <c r="B4" s="33" t="s">
        <v>13929</v>
      </c>
      <c r="C4" s="34"/>
      <c r="D4" s="33" t="s">
        <v>13930</v>
      </c>
      <c r="E4" s="33" t="s">
        <v>13925</v>
      </c>
      <c r="F4" s="33" t="s">
        <v>13931</v>
      </c>
      <c r="G4" s="33" t="s">
        <v>13932</v>
      </c>
      <c r="H4" s="27"/>
      <c r="I4" s="27"/>
      <c r="J4" s="27"/>
      <c r="K4" s="27"/>
      <c r="L4" s="27"/>
      <c r="M4" s="27"/>
      <c r="N4" s="27"/>
      <c r="O4" s="27"/>
      <c r="P4" s="27"/>
      <c r="Q4" s="27"/>
      <c r="R4" s="27"/>
      <c r="S4" s="27"/>
      <c r="T4" s="27"/>
      <c r="U4" s="27"/>
      <c r="V4" s="27"/>
      <c r="W4" s="27"/>
      <c r="X4" s="27"/>
      <c r="Y4" s="27"/>
      <c r="Z4" s="27"/>
    </row>
    <row r="5">
      <c r="A5" s="30" t="s">
        <v>13933</v>
      </c>
      <c r="B5" s="30" t="s">
        <v>13934</v>
      </c>
      <c r="C5" s="30" t="s">
        <v>13935</v>
      </c>
      <c r="D5" s="30" t="s">
        <v>13936</v>
      </c>
      <c r="E5" s="30" t="s">
        <v>13925</v>
      </c>
      <c r="F5" s="32" t="s">
        <v>13937</v>
      </c>
      <c r="G5" s="35"/>
      <c r="H5" s="27"/>
      <c r="I5" s="27"/>
      <c r="J5" s="27"/>
      <c r="K5" s="27"/>
      <c r="L5" s="27"/>
      <c r="M5" s="27"/>
      <c r="N5" s="27"/>
      <c r="O5" s="27"/>
      <c r="P5" s="27"/>
      <c r="Q5" s="27"/>
      <c r="R5" s="27"/>
      <c r="S5" s="27"/>
      <c r="T5" s="27"/>
      <c r="U5" s="27"/>
      <c r="V5" s="27"/>
      <c r="W5" s="27"/>
      <c r="X5" s="27"/>
      <c r="Y5" s="27"/>
      <c r="Z5" s="27"/>
    </row>
    <row r="6">
      <c r="A6" s="33" t="s">
        <v>13938</v>
      </c>
      <c r="B6" s="33" t="s">
        <v>13939</v>
      </c>
      <c r="C6" s="33" t="s">
        <v>13940</v>
      </c>
      <c r="D6" s="33" t="s">
        <v>13941</v>
      </c>
      <c r="E6" s="33" t="s">
        <v>13925</v>
      </c>
      <c r="F6" s="33" t="s">
        <v>13937</v>
      </c>
      <c r="G6" s="34"/>
      <c r="H6" s="27"/>
      <c r="I6" s="27"/>
      <c r="J6" s="27"/>
      <c r="K6" s="27"/>
      <c r="L6" s="27"/>
      <c r="M6" s="27"/>
      <c r="N6" s="27"/>
      <c r="O6" s="27"/>
      <c r="P6" s="27"/>
      <c r="Q6" s="27"/>
      <c r="R6" s="27"/>
      <c r="S6" s="27"/>
      <c r="T6" s="27"/>
      <c r="U6" s="27"/>
      <c r="V6" s="27"/>
      <c r="W6" s="27"/>
      <c r="X6" s="27"/>
      <c r="Y6" s="27"/>
      <c r="Z6" s="27"/>
    </row>
    <row r="7">
      <c r="A7" s="30" t="s">
        <v>13942</v>
      </c>
      <c r="B7" s="30" t="s">
        <v>13943</v>
      </c>
      <c r="C7" s="30" t="s">
        <v>13944</v>
      </c>
      <c r="D7" s="31"/>
      <c r="E7" s="30" t="s">
        <v>13925</v>
      </c>
      <c r="F7" s="32" t="s">
        <v>3568</v>
      </c>
      <c r="G7" s="35"/>
      <c r="H7" s="27"/>
      <c r="I7" s="27"/>
      <c r="J7" s="27"/>
      <c r="K7" s="27"/>
      <c r="L7" s="27"/>
      <c r="M7" s="27"/>
      <c r="N7" s="27"/>
      <c r="O7" s="27"/>
      <c r="P7" s="27"/>
      <c r="Q7" s="27"/>
      <c r="R7" s="27"/>
      <c r="S7" s="27"/>
      <c r="T7" s="27"/>
      <c r="U7" s="27"/>
      <c r="V7" s="27"/>
      <c r="W7" s="27"/>
      <c r="X7" s="27"/>
      <c r="Y7" s="27"/>
      <c r="Z7" s="27"/>
    </row>
    <row r="8">
      <c r="A8" s="33" t="s">
        <v>13945</v>
      </c>
      <c r="B8" s="33" t="s">
        <v>13946</v>
      </c>
      <c r="C8" s="33" t="s">
        <v>13947</v>
      </c>
      <c r="D8" s="33" t="s">
        <v>13948</v>
      </c>
      <c r="E8" s="33" t="s">
        <v>13925</v>
      </c>
      <c r="F8" s="33" t="s">
        <v>816</v>
      </c>
      <c r="G8" s="34"/>
      <c r="H8" s="27"/>
      <c r="I8" s="27"/>
      <c r="J8" s="27"/>
      <c r="K8" s="27"/>
      <c r="L8" s="27"/>
      <c r="M8" s="27"/>
      <c r="N8" s="27"/>
      <c r="O8" s="27"/>
      <c r="P8" s="27"/>
      <c r="Q8" s="27"/>
      <c r="R8" s="27"/>
      <c r="S8" s="27"/>
      <c r="T8" s="27"/>
      <c r="U8" s="27"/>
      <c r="V8" s="27"/>
      <c r="W8" s="27"/>
      <c r="X8" s="27"/>
      <c r="Y8" s="27"/>
      <c r="Z8" s="27"/>
    </row>
    <row r="9">
      <c r="A9" s="30" t="s">
        <v>13949</v>
      </c>
      <c r="B9" s="30" t="s">
        <v>13950</v>
      </c>
      <c r="C9" s="30" t="s">
        <v>13951</v>
      </c>
      <c r="D9" s="30" t="s">
        <v>13952</v>
      </c>
      <c r="E9" s="30" t="s">
        <v>13925</v>
      </c>
      <c r="F9" s="32" t="s">
        <v>3568</v>
      </c>
      <c r="G9" s="35"/>
      <c r="H9" s="27"/>
      <c r="I9" s="27"/>
      <c r="J9" s="27"/>
      <c r="K9" s="27"/>
      <c r="L9" s="27"/>
      <c r="M9" s="27"/>
      <c r="N9" s="27"/>
      <c r="O9" s="27"/>
      <c r="P9" s="27"/>
      <c r="Q9" s="27"/>
      <c r="R9" s="27"/>
      <c r="S9" s="27"/>
      <c r="T9" s="27"/>
      <c r="U9" s="27"/>
      <c r="V9" s="27"/>
      <c r="W9" s="27"/>
      <c r="X9" s="27"/>
      <c r="Y9" s="27"/>
      <c r="Z9" s="27"/>
    </row>
    <row r="10">
      <c r="A10" s="33" t="s">
        <v>13953</v>
      </c>
      <c r="B10" s="33" t="s">
        <v>13954</v>
      </c>
      <c r="C10" s="33" t="s">
        <v>13955</v>
      </c>
      <c r="D10" s="33" t="s">
        <v>13956</v>
      </c>
      <c r="E10" s="33" t="s">
        <v>13925</v>
      </c>
      <c r="F10" s="33" t="s">
        <v>13957</v>
      </c>
      <c r="G10" s="34"/>
      <c r="H10" s="27"/>
      <c r="I10" s="27"/>
      <c r="J10" s="27"/>
      <c r="K10" s="27"/>
      <c r="L10" s="27"/>
      <c r="M10" s="27"/>
      <c r="N10" s="27"/>
      <c r="O10" s="27"/>
      <c r="P10" s="27"/>
      <c r="Q10" s="27"/>
      <c r="R10" s="27"/>
      <c r="S10" s="27"/>
      <c r="T10" s="27"/>
      <c r="U10" s="27"/>
      <c r="V10" s="27"/>
      <c r="W10" s="27"/>
      <c r="X10" s="27"/>
      <c r="Y10" s="27"/>
      <c r="Z10" s="27"/>
    </row>
    <row r="11">
      <c r="A11" s="30" t="s">
        <v>13958</v>
      </c>
      <c r="B11" s="30" t="s">
        <v>13959</v>
      </c>
      <c r="C11" s="30" t="s">
        <v>13960</v>
      </c>
      <c r="D11" s="30" t="s">
        <v>13961</v>
      </c>
      <c r="E11" s="30" t="s">
        <v>13925</v>
      </c>
      <c r="F11" s="32" t="s">
        <v>13962</v>
      </c>
      <c r="G11" s="35"/>
      <c r="H11" s="27"/>
      <c r="I11" s="27"/>
      <c r="J11" s="27"/>
      <c r="K11" s="27"/>
      <c r="L11" s="27"/>
      <c r="M11" s="27"/>
      <c r="N11" s="27"/>
      <c r="O11" s="27"/>
      <c r="P11" s="27"/>
      <c r="Q11" s="27"/>
      <c r="R11" s="27"/>
      <c r="S11" s="27"/>
      <c r="T11" s="27"/>
      <c r="U11" s="27"/>
      <c r="V11" s="27"/>
      <c r="W11" s="27"/>
      <c r="X11" s="27"/>
      <c r="Y11" s="27"/>
      <c r="Z11" s="27"/>
    </row>
    <row r="12">
      <c r="A12" s="33" t="s">
        <v>13963</v>
      </c>
      <c r="B12" s="33" t="s">
        <v>13964</v>
      </c>
      <c r="C12" s="34"/>
      <c r="D12" s="33" t="s">
        <v>13965</v>
      </c>
      <c r="E12" s="33" t="s">
        <v>13925</v>
      </c>
      <c r="F12" s="33" t="s">
        <v>13966</v>
      </c>
      <c r="G12" s="34"/>
      <c r="H12" s="27"/>
      <c r="I12" s="27"/>
      <c r="J12" s="27"/>
      <c r="K12" s="27"/>
      <c r="L12" s="27"/>
      <c r="M12" s="27"/>
      <c r="N12" s="27"/>
      <c r="O12" s="27"/>
      <c r="P12" s="27"/>
      <c r="Q12" s="27"/>
      <c r="R12" s="27"/>
      <c r="S12" s="27"/>
      <c r="T12" s="27"/>
      <c r="U12" s="27"/>
      <c r="V12" s="27"/>
      <c r="W12" s="27"/>
      <c r="X12" s="27"/>
      <c r="Y12" s="27"/>
      <c r="Z12" s="27"/>
    </row>
    <row r="13">
      <c r="A13" s="30" t="s">
        <v>13967</v>
      </c>
      <c r="B13" s="30" t="s">
        <v>13968</v>
      </c>
      <c r="C13" s="30" t="s">
        <v>13969</v>
      </c>
      <c r="D13" s="30" t="s">
        <v>13970</v>
      </c>
      <c r="E13" s="30" t="s">
        <v>13925</v>
      </c>
      <c r="F13" s="32" t="s">
        <v>13971</v>
      </c>
      <c r="G13" s="35"/>
      <c r="H13" s="27"/>
      <c r="I13" s="27"/>
      <c r="J13" s="27"/>
      <c r="K13" s="27"/>
      <c r="L13" s="27"/>
      <c r="M13" s="27"/>
      <c r="N13" s="27"/>
      <c r="O13" s="27"/>
      <c r="P13" s="27"/>
      <c r="Q13" s="27"/>
      <c r="R13" s="27"/>
      <c r="S13" s="27"/>
      <c r="T13" s="27"/>
      <c r="U13" s="27"/>
      <c r="V13" s="27"/>
      <c r="W13" s="27"/>
      <c r="X13" s="27"/>
      <c r="Y13" s="27"/>
      <c r="Z13" s="27"/>
    </row>
    <row r="14">
      <c r="A14" s="33" t="s">
        <v>13972</v>
      </c>
      <c r="B14" s="33" t="s">
        <v>13973</v>
      </c>
      <c r="C14" s="33" t="s">
        <v>13974</v>
      </c>
      <c r="D14" s="33" t="s">
        <v>13975</v>
      </c>
      <c r="E14" s="33" t="s">
        <v>13925</v>
      </c>
      <c r="F14" s="33" t="s">
        <v>13976</v>
      </c>
      <c r="G14" s="34"/>
      <c r="H14" s="27"/>
      <c r="I14" s="27"/>
      <c r="J14" s="27"/>
      <c r="K14" s="27"/>
      <c r="L14" s="27"/>
      <c r="M14" s="27"/>
      <c r="N14" s="27"/>
      <c r="O14" s="27"/>
      <c r="P14" s="27"/>
      <c r="Q14" s="27"/>
      <c r="R14" s="27"/>
      <c r="S14" s="27"/>
      <c r="T14" s="27"/>
      <c r="U14" s="27"/>
      <c r="V14" s="27"/>
      <c r="W14" s="27"/>
      <c r="X14" s="27"/>
      <c r="Y14" s="27"/>
      <c r="Z14" s="27"/>
    </row>
    <row r="15">
      <c r="A15" s="30" t="s">
        <v>13977</v>
      </c>
      <c r="B15" s="30" t="s">
        <v>13978</v>
      </c>
      <c r="C15" s="30" t="s">
        <v>13979</v>
      </c>
      <c r="D15" s="30" t="s">
        <v>13980</v>
      </c>
      <c r="E15" s="30" t="s">
        <v>13925</v>
      </c>
      <c r="F15" s="32" t="s">
        <v>13981</v>
      </c>
      <c r="G15" s="35"/>
      <c r="H15" s="27"/>
      <c r="I15" s="27"/>
      <c r="J15" s="27"/>
      <c r="K15" s="27"/>
      <c r="L15" s="27"/>
      <c r="M15" s="27"/>
      <c r="N15" s="27"/>
      <c r="O15" s="27"/>
      <c r="P15" s="27"/>
      <c r="Q15" s="27"/>
      <c r="R15" s="27"/>
      <c r="S15" s="27"/>
      <c r="T15" s="27"/>
      <c r="U15" s="27"/>
      <c r="V15" s="27"/>
      <c r="W15" s="27"/>
      <c r="X15" s="27"/>
      <c r="Y15" s="27"/>
      <c r="Z15" s="27"/>
    </row>
    <row r="16">
      <c r="A16" s="33" t="s">
        <v>13982</v>
      </c>
      <c r="B16" s="33" t="s">
        <v>13983</v>
      </c>
      <c r="C16" s="33" t="s">
        <v>13984</v>
      </c>
      <c r="D16" s="34"/>
      <c r="E16" s="33" t="s">
        <v>13925</v>
      </c>
      <c r="F16" s="33" t="s">
        <v>3568</v>
      </c>
      <c r="G16" s="34"/>
      <c r="H16" s="27"/>
      <c r="I16" s="27"/>
      <c r="J16" s="27"/>
      <c r="K16" s="27"/>
      <c r="L16" s="27"/>
      <c r="M16" s="27"/>
      <c r="N16" s="27"/>
      <c r="O16" s="27"/>
      <c r="P16" s="27"/>
      <c r="Q16" s="27"/>
      <c r="R16" s="27"/>
      <c r="S16" s="27"/>
      <c r="T16" s="27"/>
      <c r="U16" s="27"/>
      <c r="V16" s="27"/>
      <c r="W16" s="27"/>
      <c r="X16" s="27"/>
      <c r="Y16" s="27"/>
      <c r="Z16" s="27"/>
    </row>
    <row r="17">
      <c r="A17" s="30" t="s">
        <v>13985</v>
      </c>
      <c r="B17" s="30" t="s">
        <v>13986</v>
      </c>
      <c r="C17" s="30" t="s">
        <v>13987</v>
      </c>
      <c r="D17" s="30" t="s">
        <v>13988</v>
      </c>
      <c r="E17" s="30" t="s">
        <v>13925</v>
      </c>
      <c r="F17" s="32" t="s">
        <v>13989</v>
      </c>
      <c r="G17" s="35"/>
      <c r="H17" s="27"/>
      <c r="I17" s="27"/>
      <c r="J17" s="27"/>
      <c r="K17" s="27"/>
      <c r="L17" s="27"/>
      <c r="M17" s="27"/>
      <c r="N17" s="27"/>
      <c r="O17" s="27"/>
      <c r="P17" s="27"/>
      <c r="Q17" s="27"/>
      <c r="R17" s="27"/>
      <c r="S17" s="27"/>
      <c r="T17" s="27"/>
      <c r="U17" s="27"/>
      <c r="V17" s="27"/>
      <c r="W17" s="27"/>
      <c r="X17" s="27"/>
      <c r="Y17" s="27"/>
      <c r="Z17" s="27"/>
    </row>
    <row r="18">
      <c r="A18" s="33" t="s">
        <v>13990</v>
      </c>
      <c r="B18" s="33" t="s">
        <v>13991</v>
      </c>
      <c r="C18" s="33" t="s">
        <v>13992</v>
      </c>
      <c r="D18" s="33" t="s">
        <v>13993</v>
      </c>
      <c r="E18" s="33" t="s">
        <v>13925</v>
      </c>
      <c r="F18" s="33" t="s">
        <v>3568</v>
      </c>
      <c r="G18" s="34"/>
      <c r="H18" s="27"/>
      <c r="I18" s="27"/>
      <c r="J18" s="27"/>
      <c r="K18" s="27"/>
      <c r="L18" s="27"/>
      <c r="M18" s="27"/>
      <c r="N18" s="27"/>
      <c r="O18" s="27"/>
      <c r="P18" s="27"/>
      <c r="Q18" s="27"/>
      <c r="R18" s="27"/>
      <c r="S18" s="27"/>
      <c r="T18" s="27"/>
      <c r="U18" s="27"/>
      <c r="V18" s="27"/>
      <c r="W18" s="27"/>
      <c r="X18" s="27"/>
      <c r="Y18" s="27"/>
      <c r="Z18" s="27"/>
    </row>
    <row r="19">
      <c r="A19" s="30" t="s">
        <v>13994</v>
      </c>
      <c r="B19" s="30" t="s">
        <v>13995</v>
      </c>
      <c r="C19" s="31"/>
      <c r="D19" s="30" t="s">
        <v>13996</v>
      </c>
      <c r="E19" s="30" t="s">
        <v>13925</v>
      </c>
      <c r="F19" s="32" t="s">
        <v>13962</v>
      </c>
      <c r="G19" s="35"/>
      <c r="H19" s="27"/>
      <c r="I19" s="27"/>
      <c r="J19" s="27"/>
      <c r="K19" s="27"/>
      <c r="L19" s="27"/>
      <c r="M19" s="27"/>
      <c r="N19" s="27"/>
      <c r="O19" s="27"/>
      <c r="P19" s="27"/>
      <c r="Q19" s="27"/>
      <c r="R19" s="27"/>
      <c r="S19" s="27"/>
      <c r="T19" s="27"/>
      <c r="U19" s="27"/>
      <c r="V19" s="27"/>
      <c r="W19" s="27"/>
      <c r="X19" s="27"/>
      <c r="Y19" s="27"/>
      <c r="Z19" s="27"/>
    </row>
    <row r="20">
      <c r="A20" s="33" t="s">
        <v>13997</v>
      </c>
      <c r="B20" s="33" t="s">
        <v>13998</v>
      </c>
      <c r="C20" s="33" t="s">
        <v>13999</v>
      </c>
      <c r="D20" s="33" t="s">
        <v>14000</v>
      </c>
      <c r="E20" s="33" t="s">
        <v>13925</v>
      </c>
      <c r="F20" s="33" t="s">
        <v>13981</v>
      </c>
      <c r="G20" s="34"/>
      <c r="H20" s="27"/>
      <c r="I20" s="27"/>
      <c r="J20" s="27"/>
      <c r="K20" s="27"/>
      <c r="L20" s="27"/>
      <c r="M20" s="27"/>
      <c r="N20" s="27"/>
      <c r="O20" s="27"/>
      <c r="P20" s="27"/>
      <c r="Q20" s="27"/>
      <c r="R20" s="27"/>
      <c r="S20" s="27"/>
      <c r="T20" s="27"/>
      <c r="U20" s="27"/>
      <c r="V20" s="27"/>
      <c r="W20" s="27"/>
      <c r="X20" s="27"/>
      <c r="Y20" s="27"/>
      <c r="Z20" s="27"/>
    </row>
    <row r="21">
      <c r="A21" s="30" t="s">
        <v>14001</v>
      </c>
      <c r="B21" s="30" t="s">
        <v>14002</v>
      </c>
      <c r="C21" s="30" t="s">
        <v>14003</v>
      </c>
      <c r="D21" s="30" t="s">
        <v>14004</v>
      </c>
      <c r="E21" s="30" t="s">
        <v>13925</v>
      </c>
      <c r="F21" s="32" t="s">
        <v>3568</v>
      </c>
      <c r="G21" s="35"/>
      <c r="H21" s="27"/>
      <c r="I21" s="27"/>
      <c r="J21" s="27"/>
      <c r="K21" s="27"/>
      <c r="L21" s="27"/>
      <c r="M21" s="27"/>
      <c r="N21" s="27"/>
      <c r="O21" s="27"/>
      <c r="P21" s="27"/>
      <c r="Q21" s="27"/>
      <c r="R21" s="27"/>
      <c r="S21" s="27"/>
      <c r="T21" s="27"/>
      <c r="U21" s="27"/>
      <c r="V21" s="27"/>
      <c r="W21" s="27"/>
      <c r="X21" s="27"/>
      <c r="Y21" s="27"/>
      <c r="Z21" s="27"/>
    </row>
    <row r="22">
      <c r="A22" s="33" t="s">
        <v>14005</v>
      </c>
      <c r="B22" s="33" t="s">
        <v>14006</v>
      </c>
      <c r="C22" s="33" t="s">
        <v>14007</v>
      </c>
      <c r="D22" s="33" t="s">
        <v>14008</v>
      </c>
      <c r="E22" s="33" t="s">
        <v>13925</v>
      </c>
      <c r="F22" s="33" t="s">
        <v>14009</v>
      </c>
      <c r="G22" s="34"/>
      <c r="H22" s="27"/>
      <c r="I22" s="27"/>
      <c r="J22" s="27"/>
      <c r="K22" s="27"/>
      <c r="L22" s="27"/>
      <c r="M22" s="27"/>
      <c r="N22" s="27"/>
      <c r="O22" s="27"/>
      <c r="P22" s="27"/>
      <c r="Q22" s="27"/>
      <c r="R22" s="27"/>
      <c r="S22" s="27"/>
      <c r="T22" s="27"/>
      <c r="U22" s="27"/>
      <c r="V22" s="27"/>
      <c r="W22" s="27"/>
      <c r="X22" s="27"/>
      <c r="Y22" s="27"/>
      <c r="Z22" s="27"/>
    </row>
    <row r="23">
      <c r="A23" s="30" t="s">
        <v>14010</v>
      </c>
      <c r="B23" s="30" t="s">
        <v>14011</v>
      </c>
      <c r="C23" s="30" t="s">
        <v>14012</v>
      </c>
      <c r="D23" s="30" t="s">
        <v>14013</v>
      </c>
      <c r="E23" s="30" t="s">
        <v>13925</v>
      </c>
      <c r="F23" s="32" t="s">
        <v>13962</v>
      </c>
      <c r="G23" s="35"/>
      <c r="H23" s="27"/>
      <c r="I23" s="27"/>
      <c r="J23" s="27"/>
      <c r="K23" s="27"/>
      <c r="L23" s="27"/>
      <c r="M23" s="27"/>
      <c r="N23" s="27"/>
      <c r="O23" s="27"/>
      <c r="P23" s="27"/>
      <c r="Q23" s="27"/>
      <c r="R23" s="27"/>
      <c r="S23" s="27"/>
      <c r="T23" s="27"/>
      <c r="U23" s="27"/>
      <c r="V23" s="27"/>
      <c r="W23" s="27"/>
      <c r="X23" s="27"/>
      <c r="Y23" s="27"/>
      <c r="Z23" s="27"/>
    </row>
    <row r="24">
      <c r="A24" s="33" t="s">
        <v>14014</v>
      </c>
      <c r="B24" s="33" t="s">
        <v>11817</v>
      </c>
      <c r="C24" s="33" t="s">
        <v>14015</v>
      </c>
      <c r="D24" s="33" t="s">
        <v>14016</v>
      </c>
      <c r="E24" s="33" t="s">
        <v>13925</v>
      </c>
      <c r="F24" s="33" t="s">
        <v>13931</v>
      </c>
      <c r="G24" s="34"/>
      <c r="H24" s="27"/>
      <c r="I24" s="27"/>
      <c r="J24" s="27"/>
      <c r="K24" s="27"/>
      <c r="L24" s="27"/>
      <c r="M24" s="27"/>
      <c r="N24" s="27"/>
      <c r="O24" s="27"/>
      <c r="P24" s="27"/>
      <c r="Q24" s="27"/>
      <c r="R24" s="27"/>
      <c r="S24" s="27"/>
      <c r="T24" s="27"/>
      <c r="U24" s="27"/>
      <c r="V24" s="27"/>
      <c r="W24" s="27"/>
      <c r="X24" s="27"/>
      <c r="Y24" s="27"/>
      <c r="Z24" s="27"/>
    </row>
    <row r="25">
      <c r="A25" s="30" t="s">
        <v>14017</v>
      </c>
      <c r="B25" s="30" t="s">
        <v>14018</v>
      </c>
      <c r="C25" s="30" t="s">
        <v>14019</v>
      </c>
      <c r="D25" s="30" t="s">
        <v>14020</v>
      </c>
      <c r="E25" s="30" t="s">
        <v>13925</v>
      </c>
      <c r="F25" s="32" t="s">
        <v>14009</v>
      </c>
      <c r="G25" s="35"/>
      <c r="H25" s="27"/>
      <c r="I25" s="27"/>
      <c r="J25" s="27"/>
      <c r="K25" s="27"/>
      <c r="L25" s="27"/>
      <c r="M25" s="27"/>
      <c r="N25" s="27"/>
      <c r="O25" s="27"/>
      <c r="P25" s="27"/>
      <c r="Q25" s="27"/>
      <c r="R25" s="27"/>
      <c r="S25" s="27"/>
      <c r="T25" s="27"/>
      <c r="U25" s="27"/>
      <c r="V25" s="27"/>
      <c r="W25" s="27"/>
      <c r="X25" s="27"/>
      <c r="Y25" s="27"/>
      <c r="Z25" s="27"/>
    </row>
    <row r="26">
      <c r="A26" s="33" t="s">
        <v>14021</v>
      </c>
      <c r="B26" s="33" t="s">
        <v>14022</v>
      </c>
      <c r="C26" s="33" t="s">
        <v>14023</v>
      </c>
      <c r="D26" s="33" t="s">
        <v>14024</v>
      </c>
      <c r="E26" s="33" t="s">
        <v>13925</v>
      </c>
      <c r="F26" s="33" t="s">
        <v>13981</v>
      </c>
      <c r="G26" s="34"/>
      <c r="H26" s="27"/>
      <c r="I26" s="27"/>
      <c r="J26" s="27"/>
      <c r="K26" s="27"/>
      <c r="L26" s="27"/>
      <c r="M26" s="27"/>
      <c r="N26" s="27"/>
      <c r="O26" s="27"/>
      <c r="P26" s="27"/>
      <c r="Q26" s="27"/>
      <c r="R26" s="27"/>
      <c r="S26" s="27"/>
      <c r="T26" s="27"/>
      <c r="U26" s="27"/>
      <c r="V26" s="27"/>
      <c r="W26" s="27"/>
      <c r="X26" s="27"/>
      <c r="Y26" s="27"/>
      <c r="Z26" s="27"/>
    </row>
    <row r="27">
      <c r="A27" s="30" t="s">
        <v>14025</v>
      </c>
      <c r="B27" s="30" t="s">
        <v>14026</v>
      </c>
      <c r="C27" s="30" t="s">
        <v>14027</v>
      </c>
      <c r="D27" s="30" t="s">
        <v>14028</v>
      </c>
      <c r="E27" s="30" t="s">
        <v>13925</v>
      </c>
      <c r="F27" s="32" t="s">
        <v>3568</v>
      </c>
      <c r="G27" s="35"/>
      <c r="H27" s="27"/>
      <c r="I27" s="27"/>
      <c r="J27" s="27"/>
      <c r="K27" s="27"/>
      <c r="L27" s="27"/>
      <c r="M27" s="27"/>
      <c r="N27" s="27"/>
      <c r="O27" s="27"/>
      <c r="P27" s="27"/>
      <c r="Q27" s="27"/>
      <c r="R27" s="27"/>
      <c r="S27" s="27"/>
      <c r="T27" s="27"/>
      <c r="U27" s="27"/>
      <c r="V27" s="27"/>
      <c r="W27" s="27"/>
      <c r="X27" s="27"/>
      <c r="Y27" s="27"/>
      <c r="Z27" s="27"/>
    </row>
    <row r="28">
      <c r="A28" s="33" t="s">
        <v>14029</v>
      </c>
      <c r="B28" s="33" t="s">
        <v>14030</v>
      </c>
      <c r="C28" s="34"/>
      <c r="D28" s="33" t="s">
        <v>14031</v>
      </c>
      <c r="E28" s="33" t="s">
        <v>13925</v>
      </c>
      <c r="F28" s="33" t="s">
        <v>13966</v>
      </c>
      <c r="G28" s="34"/>
      <c r="H28" s="27"/>
      <c r="I28" s="27"/>
      <c r="J28" s="27"/>
      <c r="K28" s="27"/>
      <c r="L28" s="27"/>
      <c r="M28" s="27"/>
      <c r="N28" s="27"/>
      <c r="O28" s="27"/>
      <c r="P28" s="27"/>
      <c r="Q28" s="27"/>
      <c r="R28" s="27"/>
      <c r="S28" s="27"/>
      <c r="T28" s="27"/>
      <c r="U28" s="27"/>
      <c r="V28" s="27"/>
      <c r="W28" s="27"/>
      <c r="X28" s="27"/>
      <c r="Y28" s="27"/>
      <c r="Z28" s="27"/>
    </row>
    <row r="29">
      <c r="A29" s="30" t="s">
        <v>14032</v>
      </c>
      <c r="B29" s="30" t="s">
        <v>14033</v>
      </c>
      <c r="C29" s="30" t="s">
        <v>14034</v>
      </c>
      <c r="D29" s="30" t="s">
        <v>14035</v>
      </c>
      <c r="E29" s="30" t="s">
        <v>13925</v>
      </c>
      <c r="F29" s="32" t="s">
        <v>14036</v>
      </c>
      <c r="G29" s="35"/>
      <c r="H29" s="27"/>
      <c r="I29" s="27"/>
      <c r="J29" s="27"/>
      <c r="K29" s="27"/>
      <c r="L29" s="27"/>
      <c r="M29" s="27"/>
      <c r="N29" s="27"/>
      <c r="O29" s="27"/>
      <c r="P29" s="27"/>
      <c r="Q29" s="27"/>
      <c r="R29" s="27"/>
      <c r="S29" s="27"/>
      <c r="T29" s="27"/>
      <c r="U29" s="27"/>
      <c r="V29" s="27"/>
      <c r="W29" s="27"/>
      <c r="X29" s="27"/>
      <c r="Y29" s="27"/>
      <c r="Z29" s="27"/>
    </row>
    <row r="30">
      <c r="A30" s="33" t="s">
        <v>14037</v>
      </c>
      <c r="B30" s="33" t="s">
        <v>14038</v>
      </c>
      <c r="C30" s="33" t="s">
        <v>14039</v>
      </c>
      <c r="D30" s="33" t="s">
        <v>14040</v>
      </c>
      <c r="E30" s="33" t="s">
        <v>13925</v>
      </c>
      <c r="F30" s="33" t="s">
        <v>13931</v>
      </c>
      <c r="G30" s="34"/>
      <c r="H30" s="27"/>
      <c r="I30" s="27"/>
      <c r="J30" s="27"/>
      <c r="K30" s="27"/>
      <c r="L30" s="27"/>
      <c r="M30" s="27"/>
      <c r="N30" s="27"/>
      <c r="O30" s="27"/>
      <c r="P30" s="27"/>
      <c r="Q30" s="27"/>
      <c r="R30" s="27"/>
      <c r="S30" s="27"/>
      <c r="T30" s="27"/>
      <c r="U30" s="27"/>
      <c r="V30" s="27"/>
      <c r="W30" s="27"/>
      <c r="X30" s="27"/>
      <c r="Y30" s="27"/>
      <c r="Z30" s="27"/>
    </row>
    <row r="31">
      <c r="A31" s="30" t="s">
        <v>14041</v>
      </c>
      <c r="B31" s="30" t="s">
        <v>14042</v>
      </c>
      <c r="C31" s="30" t="s">
        <v>14043</v>
      </c>
      <c r="D31" s="30" t="s">
        <v>14044</v>
      </c>
      <c r="E31" s="30" t="s">
        <v>13925</v>
      </c>
      <c r="F31" s="32" t="s">
        <v>14045</v>
      </c>
      <c r="G31" s="35"/>
      <c r="H31" s="27"/>
      <c r="I31" s="27"/>
      <c r="J31" s="27"/>
      <c r="K31" s="27"/>
      <c r="L31" s="27"/>
      <c r="M31" s="27"/>
      <c r="N31" s="27"/>
      <c r="O31" s="27"/>
      <c r="P31" s="27"/>
      <c r="Q31" s="27"/>
      <c r="R31" s="27"/>
      <c r="S31" s="27"/>
      <c r="T31" s="27"/>
      <c r="U31" s="27"/>
      <c r="V31" s="27"/>
      <c r="W31" s="27"/>
      <c r="X31" s="27"/>
      <c r="Y31" s="27"/>
      <c r="Z31" s="27"/>
    </row>
    <row r="32">
      <c r="A32" s="33" t="s">
        <v>14046</v>
      </c>
      <c r="B32" s="33" t="s">
        <v>14047</v>
      </c>
      <c r="C32" s="33" t="s">
        <v>14048</v>
      </c>
      <c r="D32" s="34"/>
      <c r="E32" s="33" t="s">
        <v>13925</v>
      </c>
      <c r="F32" s="33" t="s">
        <v>13989</v>
      </c>
      <c r="G32" s="34"/>
      <c r="H32" s="27"/>
      <c r="I32" s="27"/>
      <c r="J32" s="27"/>
      <c r="K32" s="27"/>
      <c r="L32" s="27"/>
      <c r="M32" s="27"/>
      <c r="N32" s="27"/>
      <c r="O32" s="27"/>
      <c r="P32" s="27"/>
      <c r="Q32" s="27"/>
      <c r="R32" s="27"/>
      <c r="S32" s="27"/>
      <c r="T32" s="27"/>
      <c r="U32" s="27"/>
      <c r="V32" s="27"/>
      <c r="W32" s="27"/>
      <c r="X32" s="27"/>
      <c r="Y32" s="27"/>
      <c r="Z32" s="27"/>
    </row>
    <row r="33">
      <c r="A33" s="30" t="s">
        <v>14049</v>
      </c>
      <c r="B33" s="30" t="s">
        <v>14050</v>
      </c>
      <c r="C33" s="30" t="s">
        <v>14051</v>
      </c>
      <c r="D33" s="30" t="s">
        <v>14052</v>
      </c>
      <c r="E33" s="30" t="s">
        <v>13925</v>
      </c>
      <c r="F33" s="32" t="s">
        <v>14053</v>
      </c>
      <c r="G33" s="35"/>
      <c r="H33" s="27"/>
      <c r="I33" s="27"/>
      <c r="J33" s="27"/>
      <c r="K33" s="27"/>
      <c r="L33" s="27"/>
      <c r="M33" s="27"/>
      <c r="N33" s="27"/>
      <c r="O33" s="27"/>
      <c r="P33" s="27"/>
      <c r="Q33" s="27"/>
      <c r="R33" s="27"/>
      <c r="S33" s="27"/>
      <c r="T33" s="27"/>
      <c r="U33" s="27"/>
      <c r="V33" s="27"/>
      <c r="W33" s="27"/>
      <c r="X33" s="27"/>
      <c r="Y33" s="27"/>
      <c r="Z33" s="27"/>
    </row>
    <row r="34">
      <c r="A34" s="33" t="s">
        <v>14054</v>
      </c>
      <c r="B34" s="33" t="s">
        <v>14055</v>
      </c>
      <c r="C34" s="33" t="s">
        <v>14056</v>
      </c>
      <c r="D34" s="33" t="s">
        <v>14057</v>
      </c>
      <c r="E34" s="33" t="s">
        <v>13925</v>
      </c>
      <c r="F34" s="33" t="s">
        <v>14036</v>
      </c>
      <c r="G34" s="34"/>
      <c r="H34" s="27"/>
      <c r="I34" s="27"/>
      <c r="J34" s="27"/>
      <c r="K34" s="27"/>
      <c r="L34" s="27"/>
      <c r="M34" s="27"/>
      <c r="N34" s="27"/>
      <c r="O34" s="27"/>
      <c r="P34" s="27"/>
      <c r="Q34" s="27"/>
      <c r="R34" s="27"/>
      <c r="S34" s="27"/>
      <c r="T34" s="27"/>
      <c r="U34" s="27"/>
      <c r="V34" s="27"/>
      <c r="W34" s="27"/>
      <c r="X34" s="27"/>
      <c r="Y34" s="27"/>
      <c r="Z34" s="27"/>
    </row>
    <row r="35">
      <c r="A35" s="30" t="s">
        <v>14058</v>
      </c>
      <c r="B35" s="30" t="s">
        <v>14059</v>
      </c>
      <c r="C35" s="30" t="s">
        <v>14060</v>
      </c>
      <c r="D35" s="30" t="s">
        <v>14061</v>
      </c>
      <c r="E35" s="30" t="s">
        <v>13925</v>
      </c>
      <c r="F35" s="32" t="s">
        <v>13962</v>
      </c>
      <c r="G35" s="35"/>
      <c r="H35" s="27"/>
      <c r="I35" s="27"/>
      <c r="J35" s="27"/>
      <c r="K35" s="27"/>
      <c r="L35" s="27"/>
      <c r="M35" s="27"/>
      <c r="N35" s="27"/>
      <c r="O35" s="27"/>
      <c r="P35" s="27"/>
      <c r="Q35" s="27"/>
      <c r="R35" s="27"/>
      <c r="S35" s="27"/>
      <c r="T35" s="27"/>
      <c r="U35" s="27"/>
      <c r="V35" s="27"/>
      <c r="W35" s="27"/>
      <c r="X35" s="27"/>
      <c r="Y35" s="27"/>
      <c r="Z35" s="27"/>
    </row>
    <row r="36">
      <c r="A36" s="33" t="s">
        <v>14062</v>
      </c>
      <c r="B36" s="33" t="s">
        <v>14063</v>
      </c>
      <c r="C36" s="33" t="s">
        <v>14064</v>
      </c>
      <c r="D36" s="33" t="s">
        <v>14065</v>
      </c>
      <c r="E36" s="33" t="s">
        <v>13925</v>
      </c>
      <c r="F36" s="33" t="s">
        <v>3568</v>
      </c>
      <c r="G36" s="34"/>
      <c r="H36" s="27"/>
      <c r="I36" s="27"/>
      <c r="J36" s="27"/>
      <c r="K36" s="27"/>
      <c r="L36" s="27"/>
      <c r="M36" s="27"/>
      <c r="N36" s="27"/>
      <c r="O36" s="27"/>
      <c r="P36" s="27"/>
      <c r="Q36" s="27"/>
      <c r="R36" s="27"/>
      <c r="S36" s="27"/>
      <c r="T36" s="27"/>
      <c r="U36" s="27"/>
      <c r="V36" s="27"/>
      <c r="W36" s="27"/>
      <c r="X36" s="27"/>
      <c r="Y36" s="27"/>
      <c r="Z36" s="27"/>
    </row>
    <row r="37">
      <c r="A37" s="30" t="s">
        <v>14066</v>
      </c>
      <c r="B37" s="30" t="s">
        <v>14067</v>
      </c>
      <c r="C37" s="30" t="s">
        <v>14068</v>
      </c>
      <c r="D37" s="30" t="s">
        <v>14069</v>
      </c>
      <c r="E37" s="30" t="s">
        <v>13925</v>
      </c>
      <c r="F37" s="32" t="s">
        <v>3568</v>
      </c>
      <c r="G37" s="35"/>
      <c r="H37" s="27"/>
      <c r="I37" s="27"/>
      <c r="J37" s="27"/>
      <c r="K37" s="27"/>
      <c r="L37" s="27"/>
      <c r="M37" s="27"/>
      <c r="N37" s="27"/>
      <c r="O37" s="27"/>
      <c r="P37" s="27"/>
      <c r="Q37" s="27"/>
      <c r="R37" s="27"/>
      <c r="S37" s="27"/>
      <c r="T37" s="27"/>
      <c r="U37" s="27"/>
      <c r="V37" s="27"/>
      <c r="W37" s="27"/>
      <c r="X37" s="27"/>
      <c r="Y37" s="27"/>
      <c r="Z37" s="27"/>
    </row>
    <row r="38">
      <c r="A38" s="33" t="s">
        <v>14070</v>
      </c>
      <c r="B38" s="33" t="s">
        <v>14071</v>
      </c>
      <c r="C38" s="33" t="s">
        <v>14072</v>
      </c>
      <c r="D38" s="33" t="s">
        <v>14073</v>
      </c>
      <c r="E38" s="33" t="s">
        <v>13925</v>
      </c>
      <c r="F38" s="33" t="s">
        <v>13962</v>
      </c>
      <c r="G38" s="34"/>
      <c r="H38" s="27"/>
      <c r="I38" s="27"/>
      <c r="J38" s="27"/>
      <c r="K38" s="27"/>
      <c r="L38" s="27"/>
      <c r="M38" s="27"/>
      <c r="N38" s="27"/>
      <c r="O38" s="27"/>
      <c r="P38" s="27"/>
      <c r="Q38" s="27"/>
      <c r="R38" s="27"/>
      <c r="S38" s="27"/>
      <c r="T38" s="27"/>
      <c r="U38" s="27"/>
      <c r="V38" s="27"/>
      <c r="W38" s="27"/>
      <c r="X38" s="27"/>
      <c r="Y38" s="27"/>
      <c r="Z38" s="27"/>
    </row>
    <row r="39">
      <c r="A39" s="30" t="s">
        <v>14074</v>
      </c>
      <c r="B39" s="30" t="s">
        <v>14075</v>
      </c>
      <c r="C39" s="31"/>
      <c r="D39" s="30" t="s">
        <v>14076</v>
      </c>
      <c r="E39" s="30" t="s">
        <v>13925</v>
      </c>
      <c r="F39" s="32" t="s">
        <v>3568</v>
      </c>
      <c r="G39" s="35"/>
      <c r="H39" s="27"/>
      <c r="I39" s="27"/>
      <c r="J39" s="27"/>
      <c r="K39" s="27"/>
      <c r="L39" s="27"/>
      <c r="M39" s="27"/>
      <c r="N39" s="27"/>
      <c r="O39" s="27"/>
      <c r="P39" s="27"/>
      <c r="Q39" s="27"/>
      <c r="R39" s="27"/>
      <c r="S39" s="27"/>
      <c r="T39" s="27"/>
      <c r="U39" s="27"/>
      <c r="V39" s="27"/>
      <c r="W39" s="27"/>
      <c r="X39" s="27"/>
      <c r="Y39" s="27"/>
      <c r="Z39" s="27"/>
    </row>
    <row r="40">
      <c r="A40" s="33" t="s">
        <v>14077</v>
      </c>
      <c r="B40" s="33" t="s">
        <v>14078</v>
      </c>
      <c r="C40" s="33" t="s">
        <v>14079</v>
      </c>
      <c r="D40" s="34"/>
      <c r="E40" s="33" t="s">
        <v>13925</v>
      </c>
      <c r="F40" s="33" t="s">
        <v>13989</v>
      </c>
      <c r="G40" s="34"/>
      <c r="H40" s="27"/>
      <c r="I40" s="27"/>
      <c r="J40" s="27"/>
      <c r="K40" s="27"/>
      <c r="L40" s="27"/>
      <c r="M40" s="27"/>
      <c r="N40" s="27"/>
      <c r="O40" s="27"/>
      <c r="P40" s="27"/>
      <c r="Q40" s="27"/>
      <c r="R40" s="27"/>
      <c r="S40" s="27"/>
      <c r="T40" s="27"/>
      <c r="U40" s="27"/>
      <c r="V40" s="27"/>
      <c r="W40" s="27"/>
      <c r="X40" s="27"/>
      <c r="Y40" s="27"/>
      <c r="Z40" s="27"/>
    </row>
    <row r="41">
      <c r="A41" s="30" t="s">
        <v>14080</v>
      </c>
      <c r="B41" s="30" t="s">
        <v>14081</v>
      </c>
      <c r="C41" s="30" t="s">
        <v>14082</v>
      </c>
      <c r="D41" s="31"/>
      <c r="E41" s="30" t="s">
        <v>13925</v>
      </c>
      <c r="F41" s="32" t="s">
        <v>3568</v>
      </c>
      <c r="G41" s="35"/>
      <c r="H41" s="27"/>
      <c r="I41" s="27"/>
      <c r="J41" s="27"/>
      <c r="K41" s="27"/>
      <c r="L41" s="27"/>
      <c r="M41" s="27"/>
      <c r="N41" s="27"/>
      <c r="O41" s="27"/>
      <c r="P41" s="27"/>
      <c r="Q41" s="27"/>
      <c r="R41" s="27"/>
      <c r="S41" s="27"/>
      <c r="T41" s="27"/>
      <c r="U41" s="27"/>
      <c r="V41" s="27"/>
      <c r="W41" s="27"/>
      <c r="X41" s="27"/>
      <c r="Y41" s="27"/>
      <c r="Z41" s="27"/>
    </row>
    <row r="42">
      <c r="A42" s="33" t="s">
        <v>14083</v>
      </c>
      <c r="B42" s="33" t="s">
        <v>14084</v>
      </c>
      <c r="C42" s="33" t="s">
        <v>14085</v>
      </c>
      <c r="D42" s="33" t="s">
        <v>14086</v>
      </c>
      <c r="E42" s="33" t="s">
        <v>13925</v>
      </c>
      <c r="F42" s="33" t="s">
        <v>13962</v>
      </c>
      <c r="G42" s="34"/>
      <c r="H42" s="27"/>
      <c r="I42" s="27"/>
      <c r="J42" s="27"/>
      <c r="K42" s="27"/>
      <c r="L42" s="27"/>
      <c r="M42" s="27"/>
      <c r="N42" s="27"/>
      <c r="O42" s="27"/>
      <c r="P42" s="27"/>
      <c r="Q42" s="27"/>
      <c r="R42" s="27"/>
      <c r="S42" s="27"/>
      <c r="T42" s="27"/>
      <c r="U42" s="27"/>
      <c r="V42" s="27"/>
      <c r="W42" s="27"/>
      <c r="X42" s="27"/>
      <c r="Y42" s="27"/>
      <c r="Z42" s="27"/>
    </row>
    <row r="43">
      <c r="A43" s="30" t="s">
        <v>14087</v>
      </c>
      <c r="B43" s="30" t="s">
        <v>14088</v>
      </c>
      <c r="C43" s="31"/>
      <c r="D43" s="30" t="s">
        <v>14089</v>
      </c>
      <c r="E43" s="30" t="s">
        <v>13925</v>
      </c>
      <c r="F43" s="32" t="s">
        <v>3568</v>
      </c>
      <c r="G43" s="35"/>
      <c r="H43" s="27"/>
      <c r="I43" s="27"/>
      <c r="J43" s="27"/>
      <c r="K43" s="27"/>
      <c r="L43" s="27"/>
      <c r="M43" s="27"/>
      <c r="N43" s="27"/>
      <c r="O43" s="27"/>
      <c r="P43" s="27"/>
      <c r="Q43" s="27"/>
      <c r="R43" s="27"/>
      <c r="S43" s="27"/>
      <c r="T43" s="27"/>
      <c r="U43" s="27"/>
      <c r="V43" s="27"/>
      <c r="W43" s="27"/>
      <c r="X43" s="27"/>
      <c r="Y43" s="27"/>
      <c r="Z43" s="27"/>
    </row>
    <row r="44">
      <c r="A44" s="33" t="s">
        <v>14090</v>
      </c>
      <c r="B44" s="33" t="s">
        <v>14091</v>
      </c>
      <c r="C44" s="33" t="s">
        <v>14092</v>
      </c>
      <c r="D44" s="33" t="s">
        <v>14093</v>
      </c>
      <c r="E44" s="33" t="s">
        <v>13925</v>
      </c>
      <c r="F44" s="33" t="s">
        <v>14094</v>
      </c>
      <c r="G44" s="34"/>
      <c r="H44" s="27"/>
      <c r="I44" s="27"/>
      <c r="J44" s="27"/>
      <c r="K44" s="27"/>
      <c r="L44" s="27"/>
      <c r="M44" s="27"/>
      <c r="N44" s="27"/>
      <c r="O44" s="27"/>
      <c r="P44" s="27"/>
      <c r="Q44" s="27"/>
      <c r="R44" s="27"/>
      <c r="S44" s="27"/>
      <c r="T44" s="27"/>
      <c r="U44" s="27"/>
      <c r="V44" s="27"/>
      <c r="W44" s="27"/>
      <c r="X44" s="27"/>
      <c r="Y44" s="27"/>
      <c r="Z44" s="27"/>
    </row>
    <row r="45">
      <c r="A45" s="30" t="s">
        <v>14095</v>
      </c>
      <c r="B45" s="30" t="s">
        <v>14096</v>
      </c>
      <c r="C45" s="30" t="s">
        <v>14097</v>
      </c>
      <c r="D45" s="30" t="s">
        <v>14098</v>
      </c>
      <c r="E45" s="30" t="s">
        <v>13925</v>
      </c>
      <c r="F45" s="32" t="s">
        <v>14009</v>
      </c>
      <c r="G45" s="35"/>
      <c r="H45" s="27"/>
      <c r="I45" s="27"/>
      <c r="J45" s="27"/>
      <c r="K45" s="27"/>
      <c r="L45" s="27"/>
      <c r="M45" s="27"/>
      <c r="N45" s="27"/>
      <c r="O45" s="27"/>
      <c r="P45" s="27"/>
      <c r="Q45" s="27"/>
      <c r="R45" s="27"/>
      <c r="S45" s="27"/>
      <c r="T45" s="27"/>
      <c r="U45" s="27"/>
      <c r="V45" s="27"/>
      <c r="W45" s="27"/>
      <c r="X45" s="27"/>
      <c r="Y45" s="27"/>
      <c r="Z45" s="27"/>
    </row>
    <row r="46">
      <c r="A46" s="33" t="s">
        <v>14099</v>
      </c>
      <c r="B46" s="33" t="s">
        <v>14100</v>
      </c>
      <c r="C46" s="33" t="s">
        <v>14101</v>
      </c>
      <c r="D46" s="34"/>
      <c r="E46" s="33" t="s">
        <v>13925</v>
      </c>
      <c r="F46" s="33" t="s">
        <v>3568</v>
      </c>
      <c r="G46" s="34"/>
      <c r="H46" s="27"/>
      <c r="I46" s="27"/>
      <c r="J46" s="27"/>
      <c r="K46" s="27"/>
      <c r="L46" s="27"/>
      <c r="M46" s="27"/>
      <c r="N46" s="27"/>
      <c r="O46" s="27"/>
      <c r="P46" s="27"/>
      <c r="Q46" s="27"/>
      <c r="R46" s="27"/>
      <c r="S46" s="27"/>
      <c r="T46" s="27"/>
      <c r="U46" s="27"/>
      <c r="V46" s="27"/>
      <c r="W46" s="27"/>
      <c r="X46" s="27"/>
      <c r="Y46" s="27"/>
      <c r="Z46" s="27"/>
    </row>
    <row r="47">
      <c r="A47" s="30" t="s">
        <v>14102</v>
      </c>
      <c r="B47" s="30" t="s">
        <v>14103</v>
      </c>
      <c r="C47" s="30" t="s">
        <v>14104</v>
      </c>
      <c r="D47" s="30" t="s">
        <v>14105</v>
      </c>
      <c r="E47" s="30" t="s">
        <v>13925</v>
      </c>
      <c r="F47" s="32" t="s">
        <v>3568</v>
      </c>
      <c r="G47" s="35"/>
      <c r="H47" s="27"/>
      <c r="I47" s="27"/>
      <c r="J47" s="27"/>
      <c r="K47" s="27"/>
      <c r="L47" s="27"/>
      <c r="M47" s="27"/>
      <c r="N47" s="27"/>
      <c r="O47" s="27"/>
      <c r="P47" s="27"/>
      <c r="Q47" s="27"/>
      <c r="R47" s="27"/>
      <c r="S47" s="27"/>
      <c r="T47" s="27"/>
      <c r="U47" s="27"/>
      <c r="V47" s="27"/>
      <c r="W47" s="27"/>
      <c r="X47" s="27"/>
      <c r="Y47" s="27"/>
      <c r="Z47" s="27"/>
    </row>
    <row r="48">
      <c r="A48" s="33" t="s">
        <v>14106</v>
      </c>
      <c r="B48" s="33" t="s">
        <v>14107</v>
      </c>
      <c r="C48" s="34"/>
      <c r="D48" s="33" t="s">
        <v>14108</v>
      </c>
      <c r="E48" s="33" t="s">
        <v>13925</v>
      </c>
      <c r="F48" s="33" t="s">
        <v>14109</v>
      </c>
      <c r="G48" s="34"/>
      <c r="H48" s="27"/>
      <c r="I48" s="27"/>
      <c r="J48" s="27"/>
      <c r="K48" s="27"/>
      <c r="L48" s="27"/>
      <c r="M48" s="27"/>
      <c r="N48" s="27"/>
      <c r="O48" s="27"/>
      <c r="P48" s="27"/>
      <c r="Q48" s="27"/>
      <c r="R48" s="27"/>
      <c r="S48" s="27"/>
      <c r="T48" s="27"/>
      <c r="U48" s="27"/>
      <c r="V48" s="27"/>
      <c r="W48" s="27"/>
      <c r="X48" s="27"/>
      <c r="Y48" s="27"/>
      <c r="Z48" s="27"/>
    </row>
    <row r="49">
      <c r="A49" s="30" t="s">
        <v>14110</v>
      </c>
      <c r="B49" s="30" t="s">
        <v>14111</v>
      </c>
      <c r="C49" s="31"/>
      <c r="D49" s="30" t="s">
        <v>14112</v>
      </c>
      <c r="E49" s="30" t="s">
        <v>13925</v>
      </c>
      <c r="F49" s="32" t="s">
        <v>3568</v>
      </c>
      <c r="G49" s="35"/>
      <c r="H49" s="27"/>
      <c r="I49" s="27"/>
      <c r="J49" s="27"/>
      <c r="K49" s="27"/>
      <c r="L49" s="27"/>
      <c r="M49" s="27"/>
      <c r="N49" s="27"/>
      <c r="O49" s="27"/>
      <c r="P49" s="27"/>
      <c r="Q49" s="27"/>
      <c r="R49" s="27"/>
      <c r="S49" s="27"/>
      <c r="T49" s="27"/>
      <c r="U49" s="27"/>
      <c r="V49" s="27"/>
      <c r="W49" s="27"/>
      <c r="X49" s="27"/>
      <c r="Y49" s="27"/>
      <c r="Z49" s="27"/>
    </row>
    <row r="50">
      <c r="A50" s="33" t="s">
        <v>14113</v>
      </c>
      <c r="B50" s="33" t="s">
        <v>14114</v>
      </c>
      <c r="C50" s="33" t="s">
        <v>14115</v>
      </c>
      <c r="D50" s="33" t="s">
        <v>14116</v>
      </c>
      <c r="E50" s="33" t="s">
        <v>13925</v>
      </c>
      <c r="F50" s="33" t="s">
        <v>13962</v>
      </c>
      <c r="G50" s="34"/>
      <c r="H50" s="27"/>
      <c r="I50" s="27"/>
      <c r="J50" s="27"/>
      <c r="K50" s="27"/>
      <c r="L50" s="27"/>
      <c r="M50" s="27"/>
      <c r="N50" s="27"/>
      <c r="O50" s="27"/>
      <c r="P50" s="27"/>
      <c r="Q50" s="27"/>
      <c r="R50" s="27"/>
      <c r="S50" s="27"/>
      <c r="T50" s="27"/>
      <c r="U50" s="27"/>
      <c r="V50" s="27"/>
      <c r="W50" s="27"/>
      <c r="X50" s="27"/>
      <c r="Y50" s="27"/>
      <c r="Z50" s="27"/>
    </row>
    <row r="51">
      <c r="A51" s="30" t="s">
        <v>14117</v>
      </c>
      <c r="B51" s="30" t="s">
        <v>14118</v>
      </c>
      <c r="C51" s="30" t="s">
        <v>14119</v>
      </c>
      <c r="D51" s="30" t="s">
        <v>14120</v>
      </c>
      <c r="E51" s="30" t="s">
        <v>13925</v>
      </c>
      <c r="F51" s="32" t="s">
        <v>13957</v>
      </c>
      <c r="G51" s="35"/>
      <c r="H51" s="27"/>
      <c r="I51" s="27"/>
      <c r="J51" s="27"/>
      <c r="K51" s="27"/>
      <c r="L51" s="27"/>
      <c r="M51" s="27"/>
      <c r="N51" s="27"/>
      <c r="O51" s="27"/>
      <c r="P51" s="27"/>
      <c r="Q51" s="27"/>
      <c r="R51" s="27"/>
      <c r="S51" s="27"/>
      <c r="T51" s="27"/>
      <c r="U51" s="27"/>
      <c r="V51" s="27"/>
      <c r="W51" s="27"/>
      <c r="X51" s="27"/>
      <c r="Y51" s="27"/>
      <c r="Z51" s="27"/>
    </row>
    <row r="52">
      <c r="A52" s="33" t="s">
        <v>14121</v>
      </c>
      <c r="B52" s="33" t="s">
        <v>14122</v>
      </c>
      <c r="C52" s="34"/>
      <c r="D52" s="33" t="s">
        <v>14123</v>
      </c>
      <c r="E52" s="33" t="s">
        <v>13925</v>
      </c>
      <c r="F52" s="33" t="s">
        <v>14036</v>
      </c>
      <c r="G52" s="34"/>
      <c r="H52" s="27"/>
      <c r="I52" s="27"/>
      <c r="J52" s="27"/>
      <c r="K52" s="27"/>
      <c r="L52" s="27"/>
      <c r="M52" s="27"/>
      <c r="N52" s="27"/>
      <c r="O52" s="27"/>
      <c r="P52" s="27"/>
      <c r="Q52" s="27"/>
      <c r="R52" s="27"/>
      <c r="S52" s="27"/>
      <c r="T52" s="27"/>
      <c r="U52" s="27"/>
      <c r="V52" s="27"/>
      <c r="W52" s="27"/>
      <c r="X52" s="27"/>
      <c r="Y52" s="27"/>
      <c r="Z52" s="27"/>
    </row>
    <row r="53">
      <c r="A53" s="30" t="s">
        <v>14124</v>
      </c>
      <c r="B53" s="30" t="s">
        <v>14125</v>
      </c>
      <c r="C53" s="30" t="s">
        <v>14126</v>
      </c>
      <c r="D53" s="30" t="s">
        <v>14127</v>
      </c>
      <c r="E53" s="30" t="s">
        <v>13925</v>
      </c>
      <c r="F53" s="32" t="s">
        <v>13962</v>
      </c>
      <c r="G53" s="35"/>
      <c r="H53" s="27"/>
      <c r="I53" s="27"/>
      <c r="J53" s="27"/>
      <c r="K53" s="27"/>
      <c r="L53" s="27"/>
      <c r="M53" s="27"/>
      <c r="N53" s="27"/>
      <c r="O53" s="27"/>
      <c r="P53" s="27"/>
      <c r="Q53" s="27"/>
      <c r="R53" s="27"/>
      <c r="S53" s="27"/>
      <c r="T53" s="27"/>
      <c r="U53" s="27"/>
      <c r="V53" s="27"/>
      <c r="W53" s="27"/>
      <c r="X53" s="27"/>
      <c r="Y53" s="27"/>
      <c r="Z53" s="27"/>
    </row>
    <row r="54">
      <c r="A54" s="33" t="s">
        <v>14128</v>
      </c>
      <c r="B54" s="33" t="s">
        <v>14129</v>
      </c>
      <c r="C54" s="33" t="s">
        <v>14130</v>
      </c>
      <c r="D54" s="33" t="s">
        <v>14131</v>
      </c>
      <c r="E54" s="33" t="s">
        <v>13925</v>
      </c>
      <c r="F54" s="33" t="s">
        <v>3568</v>
      </c>
      <c r="G54" s="34"/>
      <c r="H54" s="27"/>
      <c r="I54" s="27"/>
      <c r="J54" s="27"/>
      <c r="K54" s="27"/>
      <c r="L54" s="27"/>
      <c r="M54" s="27"/>
      <c r="N54" s="27"/>
      <c r="O54" s="27"/>
      <c r="P54" s="27"/>
      <c r="Q54" s="27"/>
      <c r="R54" s="27"/>
      <c r="S54" s="27"/>
      <c r="T54" s="27"/>
      <c r="U54" s="27"/>
      <c r="V54" s="27"/>
      <c r="W54" s="27"/>
      <c r="X54" s="27"/>
      <c r="Y54" s="27"/>
      <c r="Z54" s="27"/>
    </row>
    <row r="55">
      <c r="A55" s="30" t="s">
        <v>14132</v>
      </c>
      <c r="B55" s="30" t="s">
        <v>12713</v>
      </c>
      <c r="C55" s="30" t="s">
        <v>14133</v>
      </c>
      <c r="D55" s="30" t="s">
        <v>14134</v>
      </c>
      <c r="E55" s="30" t="s">
        <v>13925</v>
      </c>
      <c r="F55" s="32" t="s">
        <v>3568</v>
      </c>
      <c r="G55" s="35"/>
      <c r="H55" s="27"/>
      <c r="I55" s="27"/>
      <c r="J55" s="27"/>
      <c r="K55" s="27"/>
      <c r="L55" s="27"/>
      <c r="M55" s="27"/>
      <c r="N55" s="27"/>
      <c r="O55" s="27"/>
      <c r="P55" s="27"/>
      <c r="Q55" s="27"/>
      <c r="R55" s="27"/>
      <c r="S55" s="27"/>
      <c r="T55" s="27"/>
      <c r="U55" s="27"/>
      <c r="V55" s="27"/>
      <c r="W55" s="27"/>
      <c r="X55" s="27"/>
      <c r="Y55" s="27"/>
      <c r="Z55" s="27"/>
    </row>
    <row r="56">
      <c r="A56" s="33" t="s">
        <v>14135</v>
      </c>
      <c r="B56" s="33" t="s">
        <v>14136</v>
      </c>
      <c r="C56" s="33" t="s">
        <v>14137</v>
      </c>
      <c r="D56" s="34"/>
      <c r="E56" s="33" t="s">
        <v>13925</v>
      </c>
      <c r="F56" s="33" t="s">
        <v>13989</v>
      </c>
      <c r="G56" s="34"/>
      <c r="H56" s="27"/>
      <c r="I56" s="27"/>
      <c r="J56" s="27"/>
      <c r="K56" s="27"/>
      <c r="L56" s="27"/>
      <c r="M56" s="27"/>
      <c r="N56" s="27"/>
      <c r="O56" s="27"/>
      <c r="P56" s="27"/>
      <c r="Q56" s="27"/>
      <c r="R56" s="27"/>
      <c r="S56" s="27"/>
      <c r="T56" s="27"/>
      <c r="U56" s="27"/>
      <c r="V56" s="27"/>
      <c r="W56" s="27"/>
      <c r="X56" s="27"/>
      <c r="Y56" s="27"/>
      <c r="Z56" s="27"/>
    </row>
    <row r="57">
      <c r="A57" s="30" t="s">
        <v>14138</v>
      </c>
      <c r="B57" s="30" t="s">
        <v>14139</v>
      </c>
      <c r="C57" s="31"/>
      <c r="D57" s="30" t="s">
        <v>14140</v>
      </c>
      <c r="E57" s="30" t="s">
        <v>13925</v>
      </c>
      <c r="F57" s="32" t="s">
        <v>13962</v>
      </c>
      <c r="G57" s="35"/>
      <c r="H57" s="27"/>
      <c r="I57" s="27"/>
      <c r="J57" s="27"/>
      <c r="K57" s="27"/>
      <c r="L57" s="27"/>
      <c r="M57" s="27"/>
      <c r="N57" s="27"/>
      <c r="O57" s="27"/>
      <c r="P57" s="27"/>
      <c r="Q57" s="27"/>
      <c r="R57" s="27"/>
      <c r="S57" s="27"/>
      <c r="T57" s="27"/>
      <c r="U57" s="27"/>
      <c r="V57" s="27"/>
      <c r="W57" s="27"/>
      <c r="X57" s="27"/>
      <c r="Y57" s="27"/>
      <c r="Z57" s="27"/>
    </row>
    <row r="58">
      <c r="A58" s="33" t="s">
        <v>14141</v>
      </c>
      <c r="B58" s="33" t="s">
        <v>14142</v>
      </c>
      <c r="C58" s="34"/>
      <c r="D58" s="33" t="s">
        <v>14143</v>
      </c>
      <c r="E58" s="33" t="s">
        <v>13925</v>
      </c>
      <c r="F58" s="33" t="s">
        <v>13957</v>
      </c>
      <c r="G58" s="34"/>
      <c r="H58" s="27"/>
      <c r="I58" s="27"/>
      <c r="J58" s="27"/>
      <c r="K58" s="27"/>
      <c r="L58" s="27"/>
      <c r="M58" s="27"/>
      <c r="N58" s="27"/>
      <c r="O58" s="27"/>
      <c r="P58" s="27"/>
      <c r="Q58" s="27"/>
      <c r="R58" s="27"/>
      <c r="S58" s="27"/>
      <c r="T58" s="27"/>
      <c r="U58" s="27"/>
      <c r="V58" s="27"/>
      <c r="W58" s="27"/>
      <c r="X58" s="27"/>
      <c r="Y58" s="27"/>
      <c r="Z58" s="27"/>
    </row>
    <row r="59">
      <c r="A59" s="30" t="s">
        <v>14144</v>
      </c>
      <c r="B59" s="30" t="s">
        <v>14145</v>
      </c>
      <c r="C59" s="30" t="s">
        <v>14146</v>
      </c>
      <c r="D59" s="30" t="s">
        <v>14147</v>
      </c>
      <c r="E59" s="30" t="s">
        <v>13925</v>
      </c>
      <c r="F59" s="32" t="s">
        <v>3568</v>
      </c>
      <c r="G59" s="35"/>
      <c r="H59" s="27"/>
      <c r="I59" s="27"/>
      <c r="J59" s="27"/>
      <c r="K59" s="27"/>
      <c r="L59" s="27"/>
      <c r="M59" s="27"/>
      <c r="N59" s="27"/>
      <c r="O59" s="27"/>
      <c r="P59" s="27"/>
      <c r="Q59" s="27"/>
      <c r="R59" s="27"/>
      <c r="S59" s="27"/>
      <c r="T59" s="27"/>
      <c r="U59" s="27"/>
      <c r="V59" s="27"/>
      <c r="W59" s="27"/>
      <c r="X59" s="27"/>
      <c r="Y59" s="27"/>
      <c r="Z59" s="27"/>
    </row>
    <row r="60">
      <c r="A60" s="33" t="s">
        <v>14148</v>
      </c>
      <c r="B60" s="33" t="s">
        <v>14149</v>
      </c>
      <c r="C60" s="33" t="s">
        <v>14150</v>
      </c>
      <c r="D60" s="33" t="s">
        <v>14151</v>
      </c>
      <c r="E60" s="33" t="s">
        <v>13925</v>
      </c>
      <c r="F60" s="33" t="s">
        <v>3568</v>
      </c>
      <c r="G60" s="34"/>
      <c r="H60" s="27"/>
      <c r="I60" s="27"/>
      <c r="J60" s="27"/>
      <c r="K60" s="27"/>
      <c r="L60" s="27"/>
      <c r="M60" s="27"/>
      <c r="N60" s="27"/>
      <c r="O60" s="27"/>
      <c r="P60" s="27"/>
      <c r="Q60" s="27"/>
      <c r="R60" s="27"/>
      <c r="S60" s="27"/>
      <c r="T60" s="27"/>
      <c r="U60" s="27"/>
      <c r="V60" s="27"/>
      <c r="W60" s="27"/>
      <c r="X60" s="27"/>
      <c r="Y60" s="27"/>
      <c r="Z60" s="27"/>
    </row>
    <row r="61">
      <c r="A61" s="30" t="s">
        <v>14152</v>
      </c>
      <c r="B61" s="30" t="s">
        <v>14153</v>
      </c>
      <c r="C61" s="31"/>
      <c r="D61" s="30" t="s">
        <v>14154</v>
      </c>
      <c r="E61" s="30" t="s">
        <v>13925</v>
      </c>
      <c r="F61" s="32" t="s">
        <v>13989</v>
      </c>
      <c r="G61" s="35"/>
      <c r="H61" s="27"/>
      <c r="I61" s="27"/>
      <c r="J61" s="27"/>
      <c r="K61" s="27"/>
      <c r="L61" s="27"/>
      <c r="M61" s="27"/>
      <c r="N61" s="27"/>
      <c r="O61" s="27"/>
      <c r="P61" s="27"/>
      <c r="Q61" s="27"/>
      <c r="R61" s="27"/>
      <c r="S61" s="27"/>
      <c r="T61" s="27"/>
      <c r="U61" s="27"/>
      <c r="V61" s="27"/>
      <c r="W61" s="27"/>
      <c r="X61" s="27"/>
      <c r="Y61" s="27"/>
      <c r="Z61" s="27"/>
    </row>
    <row r="62">
      <c r="A62" s="33" t="s">
        <v>14155</v>
      </c>
      <c r="B62" s="33" t="s">
        <v>14156</v>
      </c>
      <c r="C62" s="34"/>
      <c r="D62" s="33" t="s">
        <v>14157</v>
      </c>
      <c r="E62" s="33" t="s">
        <v>13925</v>
      </c>
      <c r="F62" s="33" t="s">
        <v>13962</v>
      </c>
      <c r="G62" s="34"/>
      <c r="H62" s="27"/>
      <c r="I62" s="27"/>
      <c r="J62" s="27"/>
      <c r="K62" s="27"/>
      <c r="L62" s="27"/>
      <c r="M62" s="27"/>
      <c r="N62" s="27"/>
      <c r="O62" s="27"/>
      <c r="P62" s="27"/>
      <c r="Q62" s="27"/>
      <c r="R62" s="27"/>
      <c r="S62" s="27"/>
      <c r="T62" s="27"/>
      <c r="U62" s="27"/>
      <c r="V62" s="27"/>
      <c r="W62" s="27"/>
      <c r="X62" s="27"/>
      <c r="Y62" s="27"/>
      <c r="Z62" s="27"/>
    </row>
    <row r="63">
      <c r="A63" s="30" t="s">
        <v>14158</v>
      </c>
      <c r="B63" s="30" t="s">
        <v>14159</v>
      </c>
      <c r="C63" s="31"/>
      <c r="D63" s="30" t="s">
        <v>14160</v>
      </c>
      <c r="E63" s="30" t="s">
        <v>13925</v>
      </c>
      <c r="F63" s="32" t="s">
        <v>3568</v>
      </c>
      <c r="G63" s="35"/>
      <c r="H63" s="27"/>
      <c r="I63" s="27"/>
      <c r="J63" s="27"/>
      <c r="K63" s="27"/>
      <c r="L63" s="27"/>
      <c r="M63" s="27"/>
      <c r="N63" s="27"/>
      <c r="O63" s="27"/>
      <c r="P63" s="27"/>
      <c r="Q63" s="27"/>
      <c r="R63" s="27"/>
      <c r="S63" s="27"/>
      <c r="T63" s="27"/>
      <c r="U63" s="27"/>
      <c r="V63" s="27"/>
      <c r="W63" s="27"/>
      <c r="X63" s="27"/>
      <c r="Y63" s="27"/>
      <c r="Z63" s="27"/>
    </row>
    <row r="64">
      <c r="A64" s="33" t="s">
        <v>14161</v>
      </c>
      <c r="B64" s="33" t="s">
        <v>14162</v>
      </c>
      <c r="C64" s="33" t="s">
        <v>14163</v>
      </c>
      <c r="D64" s="33" t="s">
        <v>14164</v>
      </c>
      <c r="E64" s="33" t="s">
        <v>13925</v>
      </c>
      <c r="F64" s="33" t="s">
        <v>3568</v>
      </c>
      <c r="G64" s="34"/>
      <c r="H64" s="27"/>
      <c r="I64" s="27"/>
      <c r="J64" s="27"/>
      <c r="K64" s="27"/>
      <c r="L64" s="27"/>
      <c r="M64" s="27"/>
      <c r="N64" s="27"/>
      <c r="O64" s="27"/>
      <c r="P64" s="27"/>
      <c r="Q64" s="27"/>
      <c r="R64" s="27"/>
      <c r="S64" s="27"/>
      <c r="T64" s="27"/>
      <c r="U64" s="27"/>
      <c r="V64" s="27"/>
      <c r="W64" s="27"/>
      <c r="X64" s="27"/>
      <c r="Y64" s="27"/>
      <c r="Z64" s="27"/>
    </row>
    <row r="65">
      <c r="A65" s="30" t="s">
        <v>14165</v>
      </c>
      <c r="B65" s="30" t="s">
        <v>14166</v>
      </c>
      <c r="C65" s="30" t="s">
        <v>14167</v>
      </c>
      <c r="D65" s="30" t="s">
        <v>14168</v>
      </c>
      <c r="E65" s="30" t="s">
        <v>13925</v>
      </c>
      <c r="F65" s="32" t="s">
        <v>816</v>
      </c>
      <c r="G65" s="35"/>
      <c r="H65" s="27"/>
      <c r="I65" s="27"/>
      <c r="J65" s="27"/>
      <c r="K65" s="27"/>
      <c r="L65" s="27"/>
      <c r="M65" s="27"/>
      <c r="N65" s="27"/>
      <c r="O65" s="27"/>
      <c r="P65" s="27"/>
      <c r="Q65" s="27"/>
      <c r="R65" s="27"/>
      <c r="S65" s="27"/>
      <c r="T65" s="27"/>
      <c r="U65" s="27"/>
      <c r="V65" s="27"/>
      <c r="W65" s="27"/>
      <c r="X65" s="27"/>
      <c r="Y65" s="27"/>
      <c r="Z65" s="27"/>
    </row>
    <row r="66">
      <c r="A66" s="33" t="s">
        <v>14169</v>
      </c>
      <c r="B66" s="33" t="s">
        <v>14170</v>
      </c>
      <c r="C66" s="33" t="s">
        <v>14079</v>
      </c>
      <c r="D66" s="33" t="s">
        <v>14171</v>
      </c>
      <c r="E66" s="33" t="s">
        <v>13925</v>
      </c>
      <c r="F66" s="33" t="s">
        <v>13989</v>
      </c>
      <c r="G66" s="34"/>
      <c r="H66" s="27"/>
      <c r="I66" s="27"/>
      <c r="J66" s="27"/>
      <c r="K66" s="27"/>
      <c r="L66" s="27"/>
      <c r="M66" s="27"/>
      <c r="N66" s="27"/>
      <c r="O66" s="27"/>
      <c r="P66" s="27"/>
      <c r="Q66" s="27"/>
      <c r="R66" s="27"/>
      <c r="S66" s="27"/>
      <c r="T66" s="27"/>
      <c r="U66" s="27"/>
      <c r="V66" s="27"/>
      <c r="W66" s="27"/>
      <c r="X66" s="27"/>
      <c r="Y66" s="27"/>
      <c r="Z66" s="27"/>
    </row>
    <row r="67">
      <c r="A67" s="30" t="s">
        <v>14172</v>
      </c>
      <c r="B67" s="30" t="s">
        <v>14173</v>
      </c>
      <c r="C67" s="30" t="s">
        <v>14174</v>
      </c>
      <c r="D67" s="30" t="s">
        <v>14175</v>
      </c>
      <c r="E67" s="30" t="s">
        <v>13925</v>
      </c>
      <c r="F67" s="32" t="s">
        <v>13989</v>
      </c>
      <c r="G67" s="35"/>
      <c r="H67" s="27"/>
      <c r="I67" s="27"/>
      <c r="J67" s="27"/>
      <c r="K67" s="27"/>
      <c r="L67" s="27"/>
      <c r="M67" s="27"/>
      <c r="N67" s="27"/>
      <c r="O67" s="27"/>
      <c r="P67" s="27"/>
      <c r="Q67" s="27"/>
      <c r="R67" s="27"/>
      <c r="S67" s="27"/>
      <c r="T67" s="27"/>
      <c r="U67" s="27"/>
      <c r="V67" s="27"/>
      <c r="W67" s="27"/>
      <c r="X67" s="27"/>
      <c r="Y67" s="27"/>
      <c r="Z67" s="27"/>
    </row>
    <row r="68">
      <c r="A68" s="33" t="s">
        <v>14176</v>
      </c>
      <c r="B68" s="33" t="s">
        <v>14177</v>
      </c>
      <c r="C68" s="33" t="s">
        <v>14178</v>
      </c>
      <c r="D68" s="33" t="s">
        <v>14179</v>
      </c>
      <c r="E68" s="33" t="s">
        <v>13925</v>
      </c>
      <c r="F68" s="33" t="s">
        <v>14180</v>
      </c>
      <c r="G68" s="34"/>
      <c r="H68" s="27"/>
      <c r="I68" s="27"/>
      <c r="J68" s="27"/>
      <c r="K68" s="27"/>
      <c r="L68" s="27"/>
      <c r="M68" s="27"/>
      <c r="N68" s="27"/>
      <c r="O68" s="27"/>
      <c r="P68" s="27"/>
      <c r="Q68" s="27"/>
      <c r="R68" s="27"/>
      <c r="S68" s="27"/>
      <c r="T68" s="27"/>
      <c r="U68" s="27"/>
      <c r="V68" s="27"/>
      <c r="W68" s="27"/>
      <c r="X68" s="27"/>
      <c r="Y68" s="27"/>
      <c r="Z68" s="27"/>
    </row>
    <row r="69">
      <c r="A69" s="30" t="s">
        <v>14181</v>
      </c>
      <c r="B69" s="30" t="s">
        <v>14182</v>
      </c>
      <c r="C69" s="30" t="s">
        <v>14183</v>
      </c>
      <c r="D69" s="31"/>
      <c r="E69" s="30" t="s">
        <v>13925</v>
      </c>
      <c r="F69" s="32" t="s">
        <v>14184</v>
      </c>
      <c r="G69" s="35"/>
      <c r="H69" s="27"/>
      <c r="I69" s="27"/>
      <c r="J69" s="27"/>
      <c r="K69" s="27"/>
      <c r="L69" s="27"/>
      <c r="M69" s="27"/>
      <c r="N69" s="27"/>
      <c r="O69" s="27"/>
      <c r="P69" s="27"/>
      <c r="Q69" s="27"/>
      <c r="R69" s="27"/>
      <c r="S69" s="27"/>
      <c r="T69" s="27"/>
      <c r="U69" s="27"/>
      <c r="V69" s="27"/>
      <c r="W69" s="27"/>
      <c r="X69" s="27"/>
      <c r="Y69" s="27"/>
      <c r="Z69" s="27"/>
    </row>
    <row r="70">
      <c r="A70" s="33" t="s">
        <v>14185</v>
      </c>
      <c r="B70" s="33" t="s">
        <v>14186</v>
      </c>
      <c r="C70" s="33" t="s">
        <v>14187</v>
      </c>
      <c r="D70" s="34"/>
      <c r="E70" s="33" t="s">
        <v>13925</v>
      </c>
      <c r="F70" s="33" t="s">
        <v>14188</v>
      </c>
      <c r="G70" s="34"/>
      <c r="H70" s="27"/>
      <c r="I70" s="27"/>
      <c r="J70" s="27"/>
      <c r="K70" s="27"/>
      <c r="L70" s="27"/>
      <c r="M70" s="27"/>
      <c r="N70" s="27"/>
      <c r="O70" s="27"/>
      <c r="P70" s="27"/>
      <c r="Q70" s="27"/>
      <c r="R70" s="27"/>
      <c r="S70" s="27"/>
      <c r="T70" s="27"/>
      <c r="U70" s="27"/>
      <c r="V70" s="27"/>
      <c r="W70" s="27"/>
      <c r="X70" s="27"/>
      <c r="Y70" s="27"/>
      <c r="Z70" s="27"/>
    </row>
    <row r="71">
      <c r="A71" s="30" t="s">
        <v>14189</v>
      </c>
      <c r="B71" s="30" t="s">
        <v>14190</v>
      </c>
      <c r="C71" s="30" t="s">
        <v>14191</v>
      </c>
      <c r="D71" s="30" t="s">
        <v>14192</v>
      </c>
      <c r="E71" s="30" t="s">
        <v>13925</v>
      </c>
      <c r="F71" s="32" t="s">
        <v>3568</v>
      </c>
      <c r="G71" s="35"/>
      <c r="H71" s="27"/>
      <c r="I71" s="27"/>
      <c r="J71" s="27"/>
      <c r="K71" s="27"/>
      <c r="L71" s="27"/>
      <c r="M71" s="27"/>
      <c r="N71" s="27"/>
      <c r="O71" s="27"/>
      <c r="P71" s="27"/>
      <c r="Q71" s="27"/>
      <c r="R71" s="27"/>
      <c r="S71" s="27"/>
      <c r="T71" s="27"/>
      <c r="U71" s="27"/>
      <c r="V71" s="27"/>
      <c r="W71" s="27"/>
      <c r="X71" s="27"/>
      <c r="Y71" s="27"/>
      <c r="Z71" s="27"/>
    </row>
    <row r="72">
      <c r="A72" s="33" t="s">
        <v>14193</v>
      </c>
      <c r="B72" s="33" t="s">
        <v>14194</v>
      </c>
      <c r="C72" s="34"/>
      <c r="D72" s="34"/>
      <c r="E72" s="33" t="s">
        <v>13925</v>
      </c>
      <c r="F72" s="33" t="s">
        <v>13962</v>
      </c>
      <c r="G72" s="34"/>
      <c r="H72" s="27"/>
      <c r="I72" s="27"/>
      <c r="J72" s="27"/>
      <c r="K72" s="27"/>
      <c r="L72" s="27"/>
      <c r="M72" s="27"/>
      <c r="N72" s="27"/>
      <c r="O72" s="27"/>
      <c r="P72" s="27"/>
      <c r="Q72" s="27"/>
      <c r="R72" s="27"/>
      <c r="S72" s="27"/>
      <c r="T72" s="27"/>
      <c r="U72" s="27"/>
      <c r="V72" s="27"/>
      <c r="W72" s="27"/>
      <c r="X72" s="27"/>
      <c r="Y72" s="27"/>
      <c r="Z72" s="27"/>
    </row>
    <row r="73">
      <c r="A73" s="30" t="s">
        <v>14195</v>
      </c>
      <c r="B73" s="30" t="s">
        <v>14196</v>
      </c>
      <c r="C73" s="30" t="s">
        <v>14197</v>
      </c>
      <c r="D73" s="31"/>
      <c r="E73" s="30" t="s">
        <v>13925</v>
      </c>
      <c r="F73" s="32" t="s">
        <v>14198</v>
      </c>
      <c r="G73" s="35"/>
      <c r="H73" s="27"/>
      <c r="I73" s="27"/>
      <c r="J73" s="27"/>
      <c r="K73" s="27"/>
      <c r="L73" s="27"/>
      <c r="M73" s="27"/>
      <c r="N73" s="27"/>
      <c r="O73" s="27"/>
      <c r="P73" s="27"/>
      <c r="Q73" s="27"/>
      <c r="R73" s="27"/>
      <c r="S73" s="27"/>
      <c r="T73" s="27"/>
      <c r="U73" s="27"/>
      <c r="V73" s="27"/>
      <c r="W73" s="27"/>
      <c r="X73" s="27"/>
      <c r="Y73" s="27"/>
      <c r="Z73" s="27"/>
    </row>
    <row r="74">
      <c r="A74" s="33" t="s">
        <v>14199</v>
      </c>
      <c r="B74" s="33" t="s">
        <v>14200</v>
      </c>
      <c r="C74" s="34"/>
      <c r="D74" s="33" t="s">
        <v>14201</v>
      </c>
      <c r="E74" s="33" t="s">
        <v>13925</v>
      </c>
      <c r="F74" s="33" t="s">
        <v>13989</v>
      </c>
      <c r="G74" s="34"/>
      <c r="H74" s="27"/>
      <c r="I74" s="27"/>
      <c r="J74" s="27"/>
      <c r="K74" s="27"/>
      <c r="L74" s="27"/>
      <c r="M74" s="27"/>
      <c r="N74" s="27"/>
      <c r="O74" s="27"/>
      <c r="P74" s="27"/>
      <c r="Q74" s="27"/>
      <c r="R74" s="27"/>
      <c r="S74" s="27"/>
      <c r="T74" s="27"/>
      <c r="U74" s="27"/>
      <c r="V74" s="27"/>
      <c r="W74" s="27"/>
      <c r="X74" s="27"/>
      <c r="Y74" s="27"/>
      <c r="Z74" s="27"/>
    </row>
    <row r="75">
      <c r="A75" s="30" t="s">
        <v>12563</v>
      </c>
      <c r="B75" s="30" t="s">
        <v>12564</v>
      </c>
      <c r="C75" s="30" t="s">
        <v>14202</v>
      </c>
      <c r="D75" s="31"/>
      <c r="E75" s="30" t="s">
        <v>13925</v>
      </c>
      <c r="F75" s="32" t="s">
        <v>13966</v>
      </c>
      <c r="G75" s="35"/>
      <c r="H75" s="27"/>
      <c r="I75" s="27"/>
      <c r="J75" s="27"/>
      <c r="K75" s="27"/>
      <c r="L75" s="27"/>
      <c r="M75" s="27"/>
      <c r="N75" s="27"/>
      <c r="O75" s="27"/>
      <c r="P75" s="27"/>
      <c r="Q75" s="27"/>
      <c r="R75" s="27"/>
      <c r="S75" s="27"/>
      <c r="T75" s="27"/>
      <c r="U75" s="27"/>
      <c r="V75" s="27"/>
      <c r="W75" s="27"/>
      <c r="X75" s="27"/>
      <c r="Y75" s="27"/>
      <c r="Z75" s="27"/>
    </row>
    <row r="76">
      <c r="A76" s="33" t="s">
        <v>14203</v>
      </c>
      <c r="B76" s="33" t="s">
        <v>14204</v>
      </c>
      <c r="C76" s="34"/>
      <c r="D76" s="33" t="s">
        <v>14205</v>
      </c>
      <c r="E76" s="33" t="s">
        <v>13925</v>
      </c>
      <c r="F76" s="33" t="s">
        <v>13989</v>
      </c>
      <c r="G76" s="34"/>
      <c r="H76" s="27"/>
      <c r="I76" s="27"/>
      <c r="J76" s="27"/>
      <c r="K76" s="27"/>
      <c r="L76" s="27"/>
      <c r="M76" s="27"/>
      <c r="N76" s="27"/>
      <c r="O76" s="27"/>
      <c r="P76" s="27"/>
      <c r="Q76" s="27"/>
      <c r="R76" s="27"/>
      <c r="S76" s="27"/>
      <c r="T76" s="27"/>
      <c r="U76" s="27"/>
      <c r="V76" s="27"/>
      <c r="W76" s="27"/>
      <c r="X76" s="27"/>
      <c r="Y76" s="27"/>
      <c r="Z76" s="27"/>
    </row>
    <row r="77">
      <c r="A77" s="30" t="s">
        <v>14206</v>
      </c>
      <c r="B77" s="30" t="s">
        <v>14207</v>
      </c>
      <c r="C77" s="30" t="s">
        <v>14208</v>
      </c>
      <c r="D77" s="30" t="s">
        <v>14209</v>
      </c>
      <c r="E77" s="30" t="s">
        <v>13925</v>
      </c>
      <c r="F77" s="32" t="s">
        <v>816</v>
      </c>
      <c r="G77" s="35"/>
      <c r="H77" s="27"/>
      <c r="I77" s="27"/>
      <c r="J77" s="27"/>
      <c r="K77" s="27"/>
      <c r="L77" s="27"/>
      <c r="M77" s="27"/>
      <c r="N77" s="27"/>
      <c r="O77" s="27"/>
      <c r="P77" s="27"/>
      <c r="Q77" s="27"/>
      <c r="R77" s="27"/>
      <c r="S77" s="27"/>
      <c r="T77" s="27"/>
      <c r="U77" s="27"/>
      <c r="V77" s="27"/>
      <c r="W77" s="27"/>
      <c r="X77" s="27"/>
      <c r="Y77" s="27"/>
      <c r="Z77" s="27"/>
    </row>
    <row r="78">
      <c r="A78" s="33" t="s">
        <v>14210</v>
      </c>
      <c r="B78" s="34"/>
      <c r="C78" s="33" t="s">
        <v>14211</v>
      </c>
      <c r="D78" s="33" t="s">
        <v>14212</v>
      </c>
      <c r="E78" s="33" t="s">
        <v>13925</v>
      </c>
      <c r="F78" s="33" t="s">
        <v>13931</v>
      </c>
      <c r="G78" s="34"/>
      <c r="H78" s="27"/>
      <c r="I78" s="27"/>
      <c r="J78" s="27"/>
      <c r="K78" s="27"/>
      <c r="L78" s="27"/>
      <c r="M78" s="27"/>
      <c r="N78" s="27"/>
      <c r="O78" s="27"/>
      <c r="P78" s="27"/>
      <c r="Q78" s="27"/>
      <c r="R78" s="27"/>
      <c r="S78" s="27"/>
      <c r="T78" s="27"/>
      <c r="U78" s="27"/>
      <c r="V78" s="27"/>
      <c r="W78" s="27"/>
      <c r="X78" s="27"/>
      <c r="Y78" s="27"/>
      <c r="Z78" s="27"/>
    </row>
    <row r="79">
      <c r="A79" s="30" t="s">
        <v>14213</v>
      </c>
      <c r="B79" s="30" t="s">
        <v>14214</v>
      </c>
      <c r="C79" s="30" t="s">
        <v>14215</v>
      </c>
      <c r="D79" s="31"/>
      <c r="E79" s="30" t="s">
        <v>13925</v>
      </c>
      <c r="F79" s="32" t="s">
        <v>14184</v>
      </c>
      <c r="G79" s="35"/>
      <c r="H79" s="27"/>
      <c r="I79" s="27"/>
      <c r="J79" s="27"/>
      <c r="K79" s="27"/>
      <c r="L79" s="27"/>
      <c r="M79" s="27"/>
      <c r="N79" s="27"/>
      <c r="O79" s="27"/>
      <c r="P79" s="27"/>
      <c r="Q79" s="27"/>
      <c r="R79" s="27"/>
      <c r="S79" s="27"/>
      <c r="T79" s="27"/>
      <c r="U79" s="27"/>
      <c r="V79" s="27"/>
      <c r="W79" s="27"/>
      <c r="X79" s="27"/>
      <c r="Y79" s="27"/>
      <c r="Z79" s="27"/>
    </row>
    <row r="80">
      <c r="A80" s="33" t="s">
        <v>14216</v>
      </c>
      <c r="B80" s="33" t="s">
        <v>14217</v>
      </c>
      <c r="C80" s="33" t="s">
        <v>14218</v>
      </c>
      <c r="D80" s="33" t="s">
        <v>14219</v>
      </c>
      <c r="E80" s="33" t="s">
        <v>13925</v>
      </c>
      <c r="F80" s="33" t="s">
        <v>3568</v>
      </c>
      <c r="G80" s="34"/>
      <c r="H80" s="27"/>
      <c r="I80" s="27"/>
      <c r="J80" s="27"/>
      <c r="K80" s="27"/>
      <c r="L80" s="27"/>
      <c r="M80" s="27"/>
      <c r="N80" s="27"/>
      <c r="O80" s="27"/>
      <c r="P80" s="27"/>
      <c r="Q80" s="27"/>
      <c r="R80" s="27"/>
      <c r="S80" s="27"/>
      <c r="T80" s="27"/>
      <c r="U80" s="27"/>
      <c r="V80" s="27"/>
      <c r="W80" s="27"/>
      <c r="X80" s="27"/>
      <c r="Y80" s="27"/>
      <c r="Z80" s="27"/>
    </row>
    <row r="81">
      <c r="A81" s="30" t="s">
        <v>14220</v>
      </c>
      <c r="B81" s="30" t="s">
        <v>14221</v>
      </c>
      <c r="C81" s="31"/>
      <c r="D81" s="30" t="s">
        <v>14222</v>
      </c>
      <c r="E81" s="30" t="s">
        <v>13925</v>
      </c>
      <c r="F81" s="32" t="s">
        <v>14009</v>
      </c>
      <c r="G81" s="35"/>
      <c r="H81" s="27"/>
      <c r="I81" s="27"/>
      <c r="J81" s="27"/>
      <c r="K81" s="27"/>
      <c r="L81" s="27"/>
      <c r="M81" s="27"/>
      <c r="N81" s="27"/>
      <c r="O81" s="27"/>
      <c r="P81" s="27"/>
      <c r="Q81" s="27"/>
      <c r="R81" s="27"/>
      <c r="S81" s="27"/>
      <c r="T81" s="27"/>
      <c r="U81" s="27"/>
      <c r="V81" s="27"/>
      <c r="W81" s="27"/>
      <c r="X81" s="27"/>
      <c r="Y81" s="27"/>
      <c r="Z81" s="27"/>
    </row>
    <row r="82">
      <c r="A82" s="33" t="s">
        <v>14223</v>
      </c>
      <c r="B82" s="33" t="s">
        <v>14224</v>
      </c>
      <c r="C82" s="33" t="s">
        <v>14225</v>
      </c>
      <c r="D82" s="33" t="s">
        <v>14226</v>
      </c>
      <c r="E82" s="33" t="s">
        <v>13925</v>
      </c>
      <c r="F82" s="33" t="s">
        <v>14227</v>
      </c>
      <c r="G82" s="34"/>
      <c r="H82" s="27"/>
      <c r="I82" s="27"/>
      <c r="J82" s="27"/>
      <c r="K82" s="27"/>
      <c r="L82" s="27"/>
      <c r="M82" s="27"/>
      <c r="N82" s="27"/>
      <c r="O82" s="27"/>
      <c r="P82" s="27"/>
      <c r="Q82" s="27"/>
      <c r="R82" s="27"/>
      <c r="S82" s="27"/>
      <c r="T82" s="27"/>
      <c r="U82" s="27"/>
      <c r="V82" s="27"/>
      <c r="W82" s="27"/>
      <c r="X82" s="27"/>
      <c r="Y82" s="27"/>
      <c r="Z82" s="27"/>
    </row>
    <row r="83">
      <c r="A83" s="30" t="s">
        <v>14228</v>
      </c>
      <c r="B83" s="30" t="s">
        <v>14229</v>
      </c>
      <c r="C83" s="30" t="s">
        <v>14230</v>
      </c>
      <c r="D83" s="30" t="s">
        <v>14231</v>
      </c>
      <c r="E83" s="30" t="s">
        <v>13925</v>
      </c>
      <c r="F83" s="32" t="s">
        <v>3568</v>
      </c>
      <c r="G83" s="35"/>
      <c r="H83" s="27"/>
      <c r="I83" s="27"/>
      <c r="J83" s="27"/>
      <c r="K83" s="27"/>
      <c r="L83" s="27"/>
      <c r="M83" s="27"/>
      <c r="N83" s="27"/>
      <c r="O83" s="27"/>
      <c r="P83" s="27"/>
      <c r="Q83" s="27"/>
      <c r="R83" s="27"/>
      <c r="S83" s="27"/>
      <c r="T83" s="27"/>
      <c r="U83" s="27"/>
      <c r="V83" s="27"/>
      <c r="W83" s="27"/>
      <c r="X83" s="27"/>
      <c r="Y83" s="27"/>
      <c r="Z83" s="27"/>
    </row>
    <row r="84">
      <c r="A84" s="33" t="s">
        <v>14232</v>
      </c>
      <c r="B84" s="33" t="s">
        <v>14233</v>
      </c>
      <c r="C84" s="33" t="s">
        <v>14234</v>
      </c>
      <c r="D84" s="33" t="s">
        <v>14235</v>
      </c>
      <c r="E84" s="33" t="s">
        <v>13925</v>
      </c>
      <c r="F84" s="33" t="s">
        <v>13989</v>
      </c>
      <c r="G84" s="34"/>
      <c r="H84" s="27"/>
      <c r="I84" s="27"/>
      <c r="J84" s="27"/>
      <c r="K84" s="27"/>
      <c r="L84" s="27"/>
      <c r="M84" s="27"/>
      <c r="N84" s="27"/>
      <c r="O84" s="27"/>
      <c r="P84" s="27"/>
      <c r="Q84" s="27"/>
      <c r="R84" s="27"/>
      <c r="S84" s="27"/>
      <c r="T84" s="27"/>
      <c r="U84" s="27"/>
      <c r="V84" s="27"/>
      <c r="W84" s="27"/>
      <c r="X84" s="27"/>
      <c r="Y84" s="27"/>
      <c r="Z84" s="27"/>
    </row>
    <row r="85">
      <c r="A85" s="30" t="s">
        <v>14236</v>
      </c>
      <c r="B85" s="30" t="s">
        <v>14237</v>
      </c>
      <c r="C85" s="30" t="s">
        <v>14238</v>
      </c>
      <c r="D85" s="30" t="s">
        <v>14239</v>
      </c>
      <c r="E85" s="30" t="s">
        <v>13925</v>
      </c>
      <c r="F85" s="32" t="s">
        <v>14094</v>
      </c>
      <c r="G85" s="35"/>
      <c r="H85" s="27"/>
      <c r="I85" s="27"/>
      <c r="J85" s="27"/>
      <c r="K85" s="27"/>
      <c r="L85" s="27"/>
      <c r="M85" s="27"/>
      <c r="N85" s="27"/>
      <c r="O85" s="27"/>
      <c r="P85" s="27"/>
      <c r="Q85" s="27"/>
      <c r="R85" s="27"/>
      <c r="S85" s="27"/>
      <c r="T85" s="27"/>
      <c r="U85" s="27"/>
      <c r="V85" s="27"/>
      <c r="W85" s="27"/>
      <c r="X85" s="27"/>
      <c r="Y85" s="27"/>
      <c r="Z85" s="27"/>
    </row>
    <row r="86">
      <c r="A86" s="33" t="s">
        <v>14240</v>
      </c>
      <c r="B86" s="33" t="s">
        <v>14241</v>
      </c>
      <c r="C86" s="33" t="s">
        <v>14242</v>
      </c>
      <c r="D86" s="33" t="s">
        <v>14243</v>
      </c>
      <c r="E86" s="33" t="s">
        <v>13925</v>
      </c>
      <c r="F86" s="33" t="s">
        <v>3568</v>
      </c>
      <c r="G86" s="34"/>
      <c r="H86" s="27"/>
      <c r="I86" s="27"/>
      <c r="J86" s="27"/>
      <c r="K86" s="27"/>
      <c r="L86" s="27"/>
      <c r="M86" s="27"/>
      <c r="N86" s="27"/>
      <c r="O86" s="27"/>
      <c r="P86" s="27"/>
      <c r="Q86" s="27"/>
      <c r="R86" s="27"/>
      <c r="S86" s="27"/>
      <c r="T86" s="27"/>
      <c r="U86" s="27"/>
      <c r="V86" s="27"/>
      <c r="W86" s="27"/>
      <c r="X86" s="27"/>
      <c r="Y86" s="27"/>
      <c r="Z86" s="27"/>
    </row>
    <row r="87">
      <c r="A87" s="30" t="s">
        <v>14244</v>
      </c>
      <c r="B87" s="30" t="s">
        <v>14245</v>
      </c>
      <c r="C87" s="31"/>
      <c r="D87" s="31"/>
      <c r="E87" s="30" t="s">
        <v>13925</v>
      </c>
      <c r="F87" s="32" t="s">
        <v>13989</v>
      </c>
      <c r="G87" s="35"/>
      <c r="H87" s="27"/>
      <c r="I87" s="27"/>
      <c r="J87" s="27"/>
      <c r="K87" s="27"/>
      <c r="L87" s="27"/>
      <c r="M87" s="27"/>
      <c r="N87" s="27"/>
      <c r="O87" s="27"/>
      <c r="P87" s="27"/>
      <c r="Q87" s="27"/>
      <c r="R87" s="27"/>
      <c r="S87" s="27"/>
      <c r="T87" s="27"/>
      <c r="U87" s="27"/>
      <c r="V87" s="27"/>
      <c r="W87" s="27"/>
      <c r="X87" s="27"/>
      <c r="Y87" s="27"/>
      <c r="Z87" s="27"/>
    </row>
    <row r="88">
      <c r="A88" s="33" t="s">
        <v>14246</v>
      </c>
      <c r="B88" s="33" t="s">
        <v>14247</v>
      </c>
      <c r="C88" s="33" t="s">
        <v>14248</v>
      </c>
      <c r="D88" s="33" t="s">
        <v>14249</v>
      </c>
      <c r="E88" s="33" t="s">
        <v>13925</v>
      </c>
      <c r="F88" s="33" t="s">
        <v>14009</v>
      </c>
      <c r="G88" s="34"/>
      <c r="H88" s="27"/>
      <c r="I88" s="27"/>
      <c r="J88" s="27"/>
      <c r="K88" s="27"/>
      <c r="L88" s="27"/>
      <c r="M88" s="27"/>
      <c r="N88" s="27"/>
      <c r="O88" s="27"/>
      <c r="P88" s="27"/>
      <c r="Q88" s="27"/>
      <c r="R88" s="27"/>
      <c r="S88" s="27"/>
      <c r="T88" s="27"/>
      <c r="U88" s="27"/>
      <c r="V88" s="27"/>
      <c r="W88" s="27"/>
      <c r="X88" s="27"/>
      <c r="Y88" s="27"/>
      <c r="Z88" s="27"/>
    </row>
    <row r="89">
      <c r="A89" s="30" t="s">
        <v>14250</v>
      </c>
      <c r="B89" s="30" t="s">
        <v>14251</v>
      </c>
      <c r="C89" s="30" t="s">
        <v>14252</v>
      </c>
      <c r="D89" s="31"/>
      <c r="E89" s="30" t="s">
        <v>13925</v>
      </c>
      <c r="F89" s="32" t="s">
        <v>13981</v>
      </c>
      <c r="G89" s="35"/>
      <c r="H89" s="27"/>
      <c r="I89" s="27"/>
      <c r="J89" s="27"/>
      <c r="K89" s="27"/>
      <c r="L89" s="27"/>
      <c r="M89" s="27"/>
      <c r="N89" s="27"/>
      <c r="O89" s="27"/>
      <c r="P89" s="27"/>
      <c r="Q89" s="27"/>
      <c r="R89" s="27"/>
      <c r="S89" s="27"/>
      <c r="T89" s="27"/>
      <c r="U89" s="27"/>
      <c r="V89" s="27"/>
      <c r="W89" s="27"/>
      <c r="X89" s="27"/>
      <c r="Y89" s="27"/>
      <c r="Z89" s="27"/>
    </row>
    <row r="90">
      <c r="A90" s="33" t="s">
        <v>13102</v>
      </c>
      <c r="B90" s="33" t="s">
        <v>14253</v>
      </c>
      <c r="C90" s="33" t="s">
        <v>14254</v>
      </c>
      <c r="D90" s="33" t="s">
        <v>14255</v>
      </c>
      <c r="E90" s="33" t="s">
        <v>13925</v>
      </c>
      <c r="F90" s="33" t="s">
        <v>14184</v>
      </c>
      <c r="G90" s="34"/>
      <c r="H90" s="27"/>
      <c r="I90" s="27"/>
      <c r="J90" s="27"/>
      <c r="K90" s="27"/>
      <c r="L90" s="27"/>
      <c r="M90" s="27"/>
      <c r="N90" s="27"/>
      <c r="O90" s="27"/>
      <c r="P90" s="27"/>
      <c r="Q90" s="27"/>
      <c r="R90" s="27"/>
      <c r="S90" s="27"/>
      <c r="T90" s="27"/>
      <c r="U90" s="27"/>
      <c r="V90" s="27"/>
      <c r="W90" s="27"/>
      <c r="X90" s="27"/>
      <c r="Y90" s="27"/>
      <c r="Z90" s="27"/>
    </row>
    <row r="91">
      <c r="A91" s="30" t="s">
        <v>14256</v>
      </c>
      <c r="B91" s="30" t="s">
        <v>14257</v>
      </c>
      <c r="C91" s="30" t="s">
        <v>14258</v>
      </c>
      <c r="D91" s="30" t="s">
        <v>14259</v>
      </c>
      <c r="E91" s="30" t="s">
        <v>13925</v>
      </c>
      <c r="F91" s="32" t="s">
        <v>3568</v>
      </c>
      <c r="G91" s="35"/>
      <c r="H91" s="27"/>
      <c r="I91" s="27"/>
      <c r="J91" s="27"/>
      <c r="K91" s="27"/>
      <c r="L91" s="27"/>
      <c r="M91" s="27"/>
      <c r="N91" s="27"/>
      <c r="O91" s="27"/>
      <c r="P91" s="27"/>
      <c r="Q91" s="27"/>
      <c r="R91" s="27"/>
      <c r="S91" s="27"/>
      <c r="T91" s="27"/>
      <c r="U91" s="27"/>
      <c r="V91" s="27"/>
      <c r="W91" s="27"/>
      <c r="X91" s="27"/>
      <c r="Y91" s="27"/>
      <c r="Z91" s="27"/>
    </row>
    <row r="92">
      <c r="A92" s="33" t="s">
        <v>11221</v>
      </c>
      <c r="B92" s="33" t="s">
        <v>14260</v>
      </c>
      <c r="C92" s="33" t="s">
        <v>14261</v>
      </c>
      <c r="D92" s="33" t="s">
        <v>14262</v>
      </c>
      <c r="E92" s="33" t="s">
        <v>13925</v>
      </c>
      <c r="F92" s="33" t="s">
        <v>3568</v>
      </c>
      <c r="G92" s="34"/>
      <c r="H92" s="27"/>
      <c r="I92" s="27"/>
      <c r="J92" s="27"/>
      <c r="K92" s="27"/>
      <c r="L92" s="27"/>
      <c r="M92" s="27"/>
      <c r="N92" s="27"/>
      <c r="O92" s="27"/>
      <c r="P92" s="27"/>
      <c r="Q92" s="27"/>
      <c r="R92" s="27"/>
      <c r="S92" s="27"/>
      <c r="T92" s="27"/>
      <c r="U92" s="27"/>
      <c r="V92" s="27"/>
      <c r="W92" s="27"/>
      <c r="X92" s="27"/>
      <c r="Y92" s="27"/>
      <c r="Z92" s="27"/>
    </row>
    <row r="93">
      <c r="A93" s="30" t="s">
        <v>14263</v>
      </c>
      <c r="B93" s="30" t="s">
        <v>14264</v>
      </c>
      <c r="C93" s="30" t="s">
        <v>14265</v>
      </c>
      <c r="D93" s="30" t="s">
        <v>14266</v>
      </c>
      <c r="E93" s="30" t="s">
        <v>13925</v>
      </c>
      <c r="F93" s="32" t="s">
        <v>13962</v>
      </c>
      <c r="G93" s="35"/>
      <c r="H93" s="27"/>
      <c r="I93" s="27"/>
      <c r="J93" s="27"/>
      <c r="K93" s="27"/>
      <c r="L93" s="27"/>
      <c r="M93" s="27"/>
      <c r="N93" s="27"/>
      <c r="O93" s="27"/>
      <c r="P93" s="27"/>
      <c r="Q93" s="27"/>
      <c r="R93" s="27"/>
      <c r="S93" s="27"/>
      <c r="T93" s="27"/>
      <c r="U93" s="27"/>
      <c r="V93" s="27"/>
      <c r="W93" s="27"/>
      <c r="X93" s="27"/>
      <c r="Y93" s="27"/>
      <c r="Z93" s="27"/>
    </row>
    <row r="94">
      <c r="A94" s="33" t="s">
        <v>14267</v>
      </c>
      <c r="B94" s="33" t="s">
        <v>14268</v>
      </c>
      <c r="C94" s="33" t="s">
        <v>13955</v>
      </c>
      <c r="D94" s="33" t="s">
        <v>14269</v>
      </c>
      <c r="E94" s="33" t="s">
        <v>13925</v>
      </c>
      <c r="F94" s="33" t="s">
        <v>3568</v>
      </c>
      <c r="G94" s="34"/>
      <c r="H94" s="27"/>
      <c r="I94" s="27"/>
      <c r="J94" s="27"/>
      <c r="K94" s="27"/>
      <c r="L94" s="27"/>
      <c r="M94" s="27"/>
      <c r="N94" s="27"/>
      <c r="O94" s="27"/>
      <c r="P94" s="27"/>
      <c r="Q94" s="27"/>
      <c r="R94" s="27"/>
      <c r="S94" s="27"/>
      <c r="T94" s="27"/>
      <c r="U94" s="27"/>
      <c r="V94" s="27"/>
      <c r="W94" s="27"/>
      <c r="X94" s="27"/>
      <c r="Y94" s="27"/>
      <c r="Z94" s="27"/>
    </row>
    <row r="95">
      <c r="A95" s="30" t="s">
        <v>14270</v>
      </c>
      <c r="B95" s="30" t="s">
        <v>14271</v>
      </c>
      <c r="C95" s="31"/>
      <c r="D95" s="30" t="s">
        <v>14272</v>
      </c>
      <c r="E95" s="30" t="s">
        <v>13925</v>
      </c>
      <c r="F95" s="32" t="s">
        <v>3568</v>
      </c>
      <c r="G95" s="35"/>
      <c r="H95" s="27"/>
      <c r="I95" s="27"/>
      <c r="J95" s="27"/>
      <c r="K95" s="27"/>
      <c r="L95" s="27"/>
      <c r="M95" s="27"/>
      <c r="N95" s="27"/>
      <c r="O95" s="27"/>
      <c r="P95" s="27"/>
      <c r="Q95" s="27"/>
      <c r="R95" s="27"/>
      <c r="S95" s="27"/>
      <c r="T95" s="27"/>
      <c r="U95" s="27"/>
      <c r="V95" s="27"/>
      <c r="W95" s="27"/>
      <c r="X95" s="27"/>
      <c r="Y95" s="27"/>
      <c r="Z95" s="27"/>
    </row>
    <row r="96">
      <c r="A96" s="33" t="s">
        <v>14273</v>
      </c>
      <c r="B96" s="33" t="s">
        <v>14274</v>
      </c>
      <c r="C96" s="33" t="s">
        <v>14275</v>
      </c>
      <c r="D96" s="33" t="s">
        <v>14276</v>
      </c>
      <c r="E96" s="33" t="s">
        <v>13925</v>
      </c>
      <c r="F96" s="33" t="s">
        <v>3568</v>
      </c>
      <c r="G96" s="34"/>
      <c r="H96" s="27"/>
      <c r="I96" s="27"/>
      <c r="J96" s="27"/>
      <c r="K96" s="27"/>
      <c r="L96" s="27"/>
      <c r="M96" s="27"/>
      <c r="N96" s="27"/>
      <c r="O96" s="27"/>
      <c r="P96" s="27"/>
      <c r="Q96" s="27"/>
      <c r="R96" s="27"/>
      <c r="S96" s="27"/>
      <c r="T96" s="27"/>
      <c r="U96" s="27"/>
      <c r="V96" s="27"/>
      <c r="W96" s="27"/>
      <c r="X96" s="27"/>
      <c r="Y96" s="27"/>
      <c r="Z96" s="27"/>
    </row>
    <row r="97">
      <c r="A97" s="30" t="s">
        <v>14277</v>
      </c>
      <c r="B97" s="30" t="s">
        <v>14278</v>
      </c>
      <c r="C97" s="30" t="s">
        <v>14279</v>
      </c>
      <c r="D97" s="30" t="s">
        <v>14280</v>
      </c>
      <c r="E97" s="30" t="s">
        <v>13925</v>
      </c>
      <c r="F97" s="32" t="s">
        <v>13962</v>
      </c>
      <c r="G97" s="35"/>
      <c r="H97" s="27"/>
      <c r="I97" s="27"/>
      <c r="J97" s="27"/>
      <c r="K97" s="27"/>
      <c r="L97" s="27"/>
      <c r="M97" s="27"/>
      <c r="N97" s="27"/>
      <c r="O97" s="27"/>
      <c r="P97" s="27"/>
      <c r="Q97" s="27"/>
      <c r="R97" s="27"/>
      <c r="S97" s="27"/>
      <c r="T97" s="27"/>
      <c r="U97" s="27"/>
      <c r="V97" s="27"/>
      <c r="W97" s="27"/>
      <c r="X97" s="27"/>
      <c r="Y97" s="27"/>
      <c r="Z97" s="27"/>
    </row>
    <row r="98">
      <c r="A98" s="33" t="s">
        <v>14281</v>
      </c>
      <c r="B98" s="33" t="s">
        <v>14282</v>
      </c>
      <c r="C98" s="33" t="s">
        <v>14283</v>
      </c>
      <c r="D98" s="33" t="s">
        <v>14284</v>
      </c>
      <c r="E98" s="33" t="s">
        <v>13925</v>
      </c>
      <c r="F98" s="33" t="s">
        <v>3568</v>
      </c>
      <c r="G98" s="34"/>
      <c r="H98" s="27"/>
      <c r="I98" s="27"/>
      <c r="J98" s="27"/>
      <c r="K98" s="27"/>
      <c r="L98" s="27"/>
      <c r="M98" s="27"/>
      <c r="N98" s="27"/>
      <c r="O98" s="27"/>
      <c r="P98" s="27"/>
      <c r="Q98" s="27"/>
      <c r="R98" s="27"/>
      <c r="S98" s="27"/>
      <c r="T98" s="27"/>
      <c r="U98" s="27"/>
      <c r="V98" s="27"/>
      <c r="W98" s="27"/>
      <c r="X98" s="27"/>
      <c r="Y98" s="27"/>
      <c r="Z98" s="27"/>
    </row>
    <row r="99">
      <c r="A99" s="30" t="s">
        <v>14285</v>
      </c>
      <c r="B99" s="30" t="s">
        <v>14286</v>
      </c>
      <c r="C99" s="30" t="s">
        <v>14287</v>
      </c>
      <c r="D99" s="30" t="s">
        <v>14288</v>
      </c>
      <c r="E99" s="30" t="s">
        <v>13925</v>
      </c>
      <c r="F99" s="32" t="s">
        <v>3568</v>
      </c>
      <c r="G99" s="35"/>
      <c r="H99" s="27"/>
      <c r="I99" s="27"/>
      <c r="J99" s="27"/>
      <c r="K99" s="27"/>
      <c r="L99" s="27"/>
      <c r="M99" s="27"/>
      <c r="N99" s="27"/>
      <c r="O99" s="27"/>
      <c r="P99" s="27"/>
      <c r="Q99" s="27"/>
      <c r="R99" s="27"/>
      <c r="S99" s="27"/>
      <c r="T99" s="27"/>
      <c r="U99" s="27"/>
      <c r="V99" s="27"/>
      <c r="W99" s="27"/>
      <c r="X99" s="27"/>
      <c r="Y99" s="27"/>
      <c r="Z99" s="27"/>
    </row>
    <row r="100">
      <c r="A100" s="33" t="s">
        <v>14289</v>
      </c>
      <c r="B100" s="33" t="s">
        <v>14290</v>
      </c>
      <c r="C100" s="33" t="s">
        <v>14291</v>
      </c>
      <c r="D100" s="33" t="s">
        <v>14292</v>
      </c>
      <c r="E100" s="33" t="s">
        <v>13925</v>
      </c>
      <c r="F100" s="33" t="s">
        <v>13989</v>
      </c>
      <c r="G100" s="34"/>
      <c r="H100" s="27"/>
      <c r="I100" s="27"/>
      <c r="J100" s="27"/>
      <c r="K100" s="27"/>
      <c r="L100" s="27"/>
      <c r="M100" s="27"/>
      <c r="N100" s="27"/>
      <c r="O100" s="27"/>
      <c r="P100" s="27"/>
      <c r="Q100" s="27"/>
      <c r="R100" s="27"/>
      <c r="S100" s="27"/>
      <c r="T100" s="27"/>
      <c r="U100" s="27"/>
      <c r="V100" s="27"/>
      <c r="W100" s="27"/>
      <c r="X100" s="27"/>
      <c r="Y100" s="27"/>
      <c r="Z100" s="27"/>
    </row>
    <row r="101">
      <c r="A101" s="30" t="s">
        <v>14293</v>
      </c>
      <c r="B101" s="30" t="s">
        <v>14294</v>
      </c>
      <c r="C101" s="30" t="s">
        <v>14295</v>
      </c>
      <c r="D101" s="30" t="s">
        <v>14296</v>
      </c>
      <c r="E101" s="30" t="s">
        <v>13925</v>
      </c>
      <c r="F101" s="32" t="s">
        <v>13962</v>
      </c>
      <c r="G101" s="35"/>
      <c r="H101" s="27"/>
      <c r="I101" s="27"/>
      <c r="J101" s="27"/>
      <c r="K101" s="27"/>
      <c r="L101" s="27"/>
      <c r="M101" s="27"/>
      <c r="N101" s="27"/>
      <c r="O101" s="27"/>
      <c r="P101" s="27"/>
      <c r="Q101" s="27"/>
      <c r="R101" s="27"/>
      <c r="S101" s="27"/>
      <c r="T101" s="27"/>
      <c r="U101" s="27"/>
      <c r="V101" s="27"/>
      <c r="W101" s="27"/>
      <c r="X101" s="27"/>
      <c r="Y101" s="27"/>
      <c r="Z101" s="27"/>
    </row>
    <row r="102">
      <c r="A102" s="33" t="s">
        <v>14297</v>
      </c>
      <c r="B102" s="33" t="s">
        <v>14298</v>
      </c>
      <c r="C102" s="33" t="s">
        <v>14299</v>
      </c>
      <c r="D102" s="33" t="s">
        <v>14300</v>
      </c>
      <c r="E102" s="33" t="s">
        <v>13925</v>
      </c>
      <c r="F102" s="33" t="s">
        <v>13962</v>
      </c>
      <c r="G102" s="34"/>
      <c r="H102" s="27"/>
      <c r="I102" s="27"/>
      <c r="J102" s="27"/>
      <c r="K102" s="27"/>
      <c r="L102" s="27"/>
      <c r="M102" s="27"/>
      <c r="N102" s="27"/>
      <c r="O102" s="27"/>
      <c r="P102" s="27"/>
      <c r="Q102" s="27"/>
      <c r="R102" s="27"/>
      <c r="S102" s="27"/>
      <c r="T102" s="27"/>
      <c r="U102" s="27"/>
      <c r="V102" s="27"/>
      <c r="W102" s="27"/>
      <c r="X102" s="27"/>
      <c r="Y102" s="27"/>
      <c r="Z102" s="27"/>
    </row>
    <row r="103">
      <c r="A103" s="30" t="s">
        <v>14301</v>
      </c>
      <c r="B103" s="30" t="s">
        <v>14302</v>
      </c>
      <c r="C103" s="31"/>
      <c r="D103" s="30" t="s">
        <v>14303</v>
      </c>
      <c r="E103" s="30" t="s">
        <v>13925</v>
      </c>
      <c r="F103" s="32" t="s">
        <v>13962</v>
      </c>
      <c r="G103" s="35"/>
      <c r="H103" s="27"/>
      <c r="I103" s="27"/>
      <c r="J103" s="27"/>
      <c r="K103" s="27"/>
      <c r="L103" s="27"/>
      <c r="M103" s="27"/>
      <c r="N103" s="27"/>
      <c r="O103" s="27"/>
      <c r="P103" s="27"/>
      <c r="Q103" s="27"/>
      <c r="R103" s="27"/>
      <c r="S103" s="27"/>
      <c r="T103" s="27"/>
      <c r="U103" s="27"/>
      <c r="V103" s="27"/>
      <c r="W103" s="27"/>
      <c r="X103" s="27"/>
      <c r="Y103" s="27"/>
      <c r="Z103" s="27"/>
    </row>
    <row r="104">
      <c r="A104" s="33" t="s">
        <v>14304</v>
      </c>
      <c r="B104" s="33" t="s">
        <v>14305</v>
      </c>
      <c r="C104" s="34"/>
      <c r="D104" s="33" t="s">
        <v>14306</v>
      </c>
      <c r="E104" s="33" t="s">
        <v>13925</v>
      </c>
      <c r="F104" s="33" t="s">
        <v>3568</v>
      </c>
      <c r="G104" s="34"/>
      <c r="H104" s="27"/>
      <c r="I104" s="27"/>
      <c r="J104" s="27"/>
      <c r="K104" s="27"/>
      <c r="L104" s="27"/>
      <c r="M104" s="27"/>
      <c r="N104" s="27"/>
      <c r="O104" s="27"/>
      <c r="P104" s="27"/>
      <c r="Q104" s="27"/>
      <c r="R104" s="27"/>
      <c r="S104" s="27"/>
      <c r="T104" s="27"/>
      <c r="U104" s="27"/>
      <c r="V104" s="27"/>
      <c r="W104" s="27"/>
      <c r="X104" s="27"/>
      <c r="Y104" s="27"/>
      <c r="Z104" s="27"/>
    </row>
    <row r="105">
      <c r="A105" s="30" t="s">
        <v>14307</v>
      </c>
      <c r="B105" s="30" t="s">
        <v>14308</v>
      </c>
      <c r="C105" s="30" t="s">
        <v>14309</v>
      </c>
      <c r="D105" s="30" t="s">
        <v>14310</v>
      </c>
      <c r="E105" s="30" t="s">
        <v>13925</v>
      </c>
      <c r="F105" s="32" t="s">
        <v>13981</v>
      </c>
      <c r="G105" s="35"/>
      <c r="H105" s="27"/>
      <c r="I105" s="27"/>
      <c r="J105" s="27"/>
      <c r="K105" s="27"/>
      <c r="L105" s="27"/>
      <c r="M105" s="27"/>
      <c r="N105" s="27"/>
      <c r="O105" s="27"/>
      <c r="P105" s="27"/>
      <c r="Q105" s="27"/>
      <c r="R105" s="27"/>
      <c r="S105" s="27"/>
      <c r="T105" s="27"/>
      <c r="U105" s="27"/>
      <c r="V105" s="27"/>
      <c r="W105" s="27"/>
      <c r="X105" s="27"/>
      <c r="Y105" s="27"/>
      <c r="Z105" s="27"/>
    </row>
    <row r="106">
      <c r="A106" s="33" t="s">
        <v>14311</v>
      </c>
      <c r="B106" s="33" t="s">
        <v>14312</v>
      </c>
      <c r="C106" s="33" t="s">
        <v>14313</v>
      </c>
      <c r="D106" s="33" t="s">
        <v>14314</v>
      </c>
      <c r="E106" s="33" t="s">
        <v>13925</v>
      </c>
      <c r="F106" s="33" t="s">
        <v>13962</v>
      </c>
      <c r="G106" s="34"/>
      <c r="H106" s="27"/>
      <c r="I106" s="27"/>
      <c r="J106" s="27"/>
      <c r="K106" s="27"/>
      <c r="L106" s="27"/>
      <c r="M106" s="27"/>
      <c r="N106" s="27"/>
      <c r="O106" s="27"/>
      <c r="P106" s="27"/>
      <c r="Q106" s="27"/>
      <c r="R106" s="27"/>
      <c r="S106" s="27"/>
      <c r="T106" s="27"/>
      <c r="U106" s="27"/>
      <c r="V106" s="27"/>
      <c r="W106" s="27"/>
      <c r="X106" s="27"/>
      <c r="Y106" s="27"/>
      <c r="Z106" s="27"/>
    </row>
    <row r="107">
      <c r="A107" s="30" t="s">
        <v>14315</v>
      </c>
      <c r="B107" s="30" t="s">
        <v>14316</v>
      </c>
      <c r="C107" s="30" t="s">
        <v>14317</v>
      </c>
      <c r="D107" s="30" t="s">
        <v>14318</v>
      </c>
      <c r="E107" s="30" t="s">
        <v>13925</v>
      </c>
      <c r="F107" s="32" t="s">
        <v>13989</v>
      </c>
      <c r="G107" s="35"/>
      <c r="H107" s="27"/>
      <c r="I107" s="27"/>
      <c r="J107" s="27"/>
      <c r="K107" s="27"/>
      <c r="L107" s="27"/>
      <c r="M107" s="27"/>
      <c r="N107" s="27"/>
      <c r="O107" s="27"/>
      <c r="P107" s="27"/>
      <c r="Q107" s="27"/>
      <c r="R107" s="27"/>
      <c r="S107" s="27"/>
      <c r="T107" s="27"/>
      <c r="U107" s="27"/>
      <c r="V107" s="27"/>
      <c r="W107" s="27"/>
      <c r="X107" s="27"/>
      <c r="Y107" s="27"/>
      <c r="Z107" s="27"/>
    </row>
    <row r="108">
      <c r="A108" s="33" t="s">
        <v>14319</v>
      </c>
      <c r="B108" s="33" t="s">
        <v>14320</v>
      </c>
      <c r="C108" s="34"/>
      <c r="D108" s="33" t="s">
        <v>14321</v>
      </c>
      <c r="E108" s="33" t="s">
        <v>13925</v>
      </c>
      <c r="F108" s="33" t="s">
        <v>3568</v>
      </c>
      <c r="G108" s="34"/>
      <c r="H108" s="27"/>
      <c r="I108" s="27"/>
      <c r="J108" s="27"/>
      <c r="K108" s="27"/>
      <c r="L108" s="27"/>
      <c r="M108" s="27"/>
      <c r="N108" s="27"/>
      <c r="O108" s="27"/>
      <c r="P108" s="27"/>
      <c r="Q108" s="27"/>
      <c r="R108" s="27"/>
      <c r="S108" s="27"/>
      <c r="T108" s="27"/>
      <c r="U108" s="27"/>
      <c r="V108" s="27"/>
      <c r="W108" s="27"/>
      <c r="X108" s="27"/>
      <c r="Y108" s="27"/>
      <c r="Z108" s="27"/>
    </row>
    <row r="109">
      <c r="A109" s="30" t="s">
        <v>14322</v>
      </c>
      <c r="B109" s="30" t="s">
        <v>14323</v>
      </c>
      <c r="C109" s="30" t="s">
        <v>14324</v>
      </c>
      <c r="D109" s="30" t="s">
        <v>14325</v>
      </c>
      <c r="E109" s="30" t="s">
        <v>13925</v>
      </c>
      <c r="F109" s="32" t="s">
        <v>14045</v>
      </c>
      <c r="G109" s="35"/>
      <c r="H109" s="27"/>
      <c r="I109" s="27"/>
      <c r="J109" s="27"/>
      <c r="K109" s="27"/>
      <c r="L109" s="27"/>
      <c r="M109" s="27"/>
      <c r="N109" s="27"/>
      <c r="O109" s="27"/>
      <c r="P109" s="27"/>
      <c r="Q109" s="27"/>
      <c r="R109" s="27"/>
      <c r="S109" s="27"/>
      <c r="T109" s="27"/>
      <c r="U109" s="27"/>
      <c r="V109" s="27"/>
      <c r="W109" s="27"/>
      <c r="X109" s="27"/>
      <c r="Y109" s="27"/>
      <c r="Z109" s="27"/>
    </row>
    <row r="110">
      <c r="A110" s="33" t="s">
        <v>14326</v>
      </c>
      <c r="B110" s="33" t="s">
        <v>14327</v>
      </c>
      <c r="C110" s="34"/>
      <c r="D110" s="33" t="s">
        <v>14328</v>
      </c>
      <c r="E110" s="33" t="s">
        <v>13925</v>
      </c>
      <c r="F110" s="33" t="s">
        <v>13962</v>
      </c>
      <c r="G110" s="34"/>
      <c r="H110" s="27"/>
      <c r="I110" s="27"/>
      <c r="J110" s="27"/>
      <c r="K110" s="27"/>
      <c r="L110" s="27"/>
      <c r="M110" s="27"/>
      <c r="N110" s="27"/>
      <c r="O110" s="27"/>
      <c r="P110" s="27"/>
      <c r="Q110" s="27"/>
      <c r="R110" s="27"/>
      <c r="S110" s="27"/>
      <c r="T110" s="27"/>
      <c r="U110" s="27"/>
      <c r="V110" s="27"/>
      <c r="W110" s="27"/>
      <c r="X110" s="27"/>
      <c r="Y110" s="27"/>
      <c r="Z110" s="27"/>
    </row>
    <row r="111">
      <c r="A111" s="30" t="s">
        <v>14329</v>
      </c>
      <c r="B111" s="30" t="s">
        <v>14330</v>
      </c>
      <c r="C111" s="31"/>
      <c r="D111" s="30" t="s">
        <v>14331</v>
      </c>
      <c r="E111" s="30" t="s">
        <v>13925</v>
      </c>
      <c r="F111" s="32" t="s">
        <v>3568</v>
      </c>
      <c r="G111" s="35"/>
      <c r="H111" s="27"/>
      <c r="I111" s="27"/>
      <c r="J111" s="27"/>
      <c r="K111" s="27"/>
      <c r="L111" s="27"/>
      <c r="M111" s="27"/>
      <c r="N111" s="27"/>
      <c r="O111" s="27"/>
      <c r="P111" s="27"/>
      <c r="Q111" s="27"/>
      <c r="R111" s="27"/>
      <c r="S111" s="27"/>
      <c r="T111" s="27"/>
      <c r="U111" s="27"/>
      <c r="V111" s="27"/>
      <c r="W111" s="27"/>
      <c r="X111" s="27"/>
      <c r="Y111" s="27"/>
      <c r="Z111" s="27"/>
    </row>
    <row r="112">
      <c r="A112" s="33" t="s">
        <v>14332</v>
      </c>
      <c r="B112" s="33" t="s">
        <v>14333</v>
      </c>
      <c r="C112" s="33" t="s">
        <v>14334</v>
      </c>
      <c r="D112" s="33" t="s">
        <v>14335</v>
      </c>
      <c r="E112" s="33" t="s">
        <v>13925</v>
      </c>
      <c r="F112" s="33" t="s">
        <v>13962</v>
      </c>
      <c r="G112" s="34"/>
      <c r="H112" s="27"/>
      <c r="I112" s="27"/>
      <c r="J112" s="27"/>
      <c r="K112" s="27"/>
      <c r="L112" s="27"/>
      <c r="M112" s="27"/>
      <c r="N112" s="27"/>
      <c r="O112" s="27"/>
      <c r="P112" s="27"/>
      <c r="Q112" s="27"/>
      <c r="R112" s="27"/>
      <c r="S112" s="27"/>
      <c r="T112" s="27"/>
      <c r="U112" s="27"/>
      <c r="V112" s="27"/>
      <c r="W112" s="27"/>
      <c r="X112" s="27"/>
      <c r="Y112" s="27"/>
      <c r="Z112" s="27"/>
    </row>
    <row r="113">
      <c r="A113" s="30" t="s">
        <v>14336</v>
      </c>
      <c r="B113" s="30" t="s">
        <v>14337</v>
      </c>
      <c r="C113" s="31"/>
      <c r="D113" s="30" t="s">
        <v>14338</v>
      </c>
      <c r="E113" s="30" t="s">
        <v>13925</v>
      </c>
      <c r="F113" s="32" t="s">
        <v>3568</v>
      </c>
      <c r="G113" s="35"/>
      <c r="H113" s="27"/>
      <c r="I113" s="27"/>
      <c r="J113" s="27"/>
      <c r="K113" s="27"/>
      <c r="L113" s="27"/>
      <c r="M113" s="27"/>
      <c r="N113" s="27"/>
      <c r="O113" s="27"/>
      <c r="P113" s="27"/>
      <c r="Q113" s="27"/>
      <c r="R113" s="27"/>
      <c r="S113" s="27"/>
      <c r="T113" s="27"/>
      <c r="U113" s="27"/>
      <c r="V113" s="27"/>
      <c r="W113" s="27"/>
      <c r="X113" s="27"/>
      <c r="Y113" s="27"/>
      <c r="Z113" s="27"/>
    </row>
    <row r="114">
      <c r="A114" s="33" t="s">
        <v>14339</v>
      </c>
      <c r="B114" s="33" t="s">
        <v>14340</v>
      </c>
      <c r="C114" s="33" t="s">
        <v>14341</v>
      </c>
      <c r="D114" s="34"/>
      <c r="E114" s="33" t="s">
        <v>13925</v>
      </c>
      <c r="F114" s="33" t="s">
        <v>3568</v>
      </c>
      <c r="G114" s="34"/>
      <c r="H114" s="27"/>
      <c r="I114" s="27"/>
      <c r="J114" s="27"/>
      <c r="K114" s="27"/>
      <c r="L114" s="27"/>
      <c r="M114" s="27"/>
      <c r="N114" s="27"/>
      <c r="O114" s="27"/>
      <c r="P114" s="27"/>
      <c r="Q114" s="27"/>
      <c r="R114" s="27"/>
      <c r="S114" s="27"/>
      <c r="T114" s="27"/>
      <c r="U114" s="27"/>
      <c r="V114" s="27"/>
      <c r="W114" s="27"/>
      <c r="X114" s="27"/>
      <c r="Y114" s="27"/>
      <c r="Z114" s="27"/>
    </row>
    <row r="115">
      <c r="A115" s="30" t="s">
        <v>14342</v>
      </c>
      <c r="B115" s="30" t="s">
        <v>14343</v>
      </c>
      <c r="C115" s="30" t="s">
        <v>14344</v>
      </c>
      <c r="D115" s="30" t="s">
        <v>14345</v>
      </c>
      <c r="E115" s="30" t="s">
        <v>13925</v>
      </c>
      <c r="F115" s="32" t="s">
        <v>3568</v>
      </c>
      <c r="G115" s="35"/>
      <c r="H115" s="27"/>
      <c r="I115" s="27"/>
      <c r="J115" s="27"/>
      <c r="K115" s="27"/>
      <c r="L115" s="27"/>
      <c r="M115" s="27"/>
      <c r="N115" s="27"/>
      <c r="O115" s="27"/>
      <c r="P115" s="27"/>
      <c r="Q115" s="27"/>
      <c r="R115" s="27"/>
      <c r="S115" s="27"/>
      <c r="T115" s="27"/>
      <c r="U115" s="27"/>
      <c r="V115" s="27"/>
      <c r="W115" s="27"/>
      <c r="X115" s="27"/>
      <c r="Y115" s="27"/>
      <c r="Z115" s="27"/>
    </row>
    <row r="116">
      <c r="A116" s="33" t="s">
        <v>14346</v>
      </c>
      <c r="B116" s="33" t="s">
        <v>14347</v>
      </c>
      <c r="C116" s="33" t="s">
        <v>14348</v>
      </c>
      <c r="D116" s="33" t="s">
        <v>14349</v>
      </c>
      <c r="E116" s="33" t="s">
        <v>13925</v>
      </c>
      <c r="F116" s="33" t="s">
        <v>3568</v>
      </c>
      <c r="G116" s="34"/>
      <c r="H116" s="27"/>
      <c r="I116" s="27"/>
      <c r="J116" s="27"/>
      <c r="K116" s="27"/>
      <c r="L116" s="27"/>
      <c r="M116" s="27"/>
      <c r="N116" s="27"/>
      <c r="O116" s="27"/>
      <c r="P116" s="27"/>
      <c r="Q116" s="27"/>
      <c r="R116" s="27"/>
      <c r="S116" s="27"/>
      <c r="T116" s="27"/>
      <c r="U116" s="27"/>
      <c r="V116" s="27"/>
      <c r="W116" s="27"/>
      <c r="X116" s="27"/>
      <c r="Y116" s="27"/>
      <c r="Z116" s="27"/>
    </row>
    <row r="117">
      <c r="A117" s="30" t="s">
        <v>14350</v>
      </c>
      <c r="B117" s="30" t="s">
        <v>14351</v>
      </c>
      <c r="C117" s="30" t="s">
        <v>14352</v>
      </c>
      <c r="D117" s="30" t="s">
        <v>14353</v>
      </c>
      <c r="E117" s="30" t="s">
        <v>13925</v>
      </c>
      <c r="F117" s="32" t="s">
        <v>13989</v>
      </c>
      <c r="G117" s="35"/>
      <c r="H117" s="27"/>
      <c r="I117" s="27"/>
      <c r="J117" s="27"/>
      <c r="K117" s="27"/>
      <c r="L117" s="27"/>
      <c r="M117" s="27"/>
      <c r="N117" s="27"/>
      <c r="O117" s="27"/>
      <c r="P117" s="27"/>
      <c r="Q117" s="27"/>
      <c r="R117" s="27"/>
      <c r="S117" s="27"/>
      <c r="T117" s="27"/>
      <c r="U117" s="27"/>
      <c r="V117" s="27"/>
      <c r="W117" s="27"/>
      <c r="X117" s="27"/>
      <c r="Y117" s="27"/>
      <c r="Z117" s="27"/>
    </row>
    <row r="118">
      <c r="A118" s="33" t="s">
        <v>14354</v>
      </c>
      <c r="B118" s="33" t="s">
        <v>14355</v>
      </c>
      <c r="C118" s="33" t="s">
        <v>14356</v>
      </c>
      <c r="D118" s="33" t="s">
        <v>14357</v>
      </c>
      <c r="E118" s="33" t="s">
        <v>13925</v>
      </c>
      <c r="F118" s="33" t="s">
        <v>14094</v>
      </c>
      <c r="G118" s="34"/>
      <c r="H118" s="27"/>
      <c r="I118" s="27"/>
      <c r="J118" s="27"/>
      <c r="K118" s="27"/>
      <c r="L118" s="27"/>
      <c r="M118" s="27"/>
      <c r="N118" s="27"/>
      <c r="O118" s="27"/>
      <c r="P118" s="27"/>
      <c r="Q118" s="27"/>
      <c r="R118" s="27"/>
      <c r="S118" s="27"/>
      <c r="T118" s="27"/>
      <c r="U118" s="27"/>
      <c r="V118" s="27"/>
      <c r="W118" s="27"/>
      <c r="X118" s="27"/>
      <c r="Y118" s="27"/>
      <c r="Z118" s="27"/>
    </row>
    <row r="119">
      <c r="A119" s="30" t="s">
        <v>14358</v>
      </c>
      <c r="B119" s="30" t="s">
        <v>14359</v>
      </c>
      <c r="C119" s="30" t="s">
        <v>14360</v>
      </c>
      <c r="D119" s="31"/>
      <c r="E119" s="30" t="s">
        <v>13925</v>
      </c>
      <c r="F119" s="32" t="s">
        <v>13989</v>
      </c>
      <c r="G119" s="35"/>
      <c r="H119" s="27"/>
      <c r="I119" s="27"/>
      <c r="J119" s="27"/>
      <c r="K119" s="27"/>
      <c r="L119" s="27"/>
      <c r="M119" s="27"/>
      <c r="N119" s="27"/>
      <c r="O119" s="27"/>
      <c r="P119" s="27"/>
      <c r="Q119" s="27"/>
      <c r="R119" s="27"/>
      <c r="S119" s="27"/>
      <c r="T119" s="27"/>
      <c r="U119" s="27"/>
      <c r="V119" s="27"/>
      <c r="W119" s="27"/>
      <c r="X119" s="27"/>
      <c r="Y119" s="27"/>
      <c r="Z119" s="27"/>
    </row>
    <row r="120">
      <c r="A120" s="33" t="s">
        <v>14361</v>
      </c>
      <c r="B120" s="33" t="s">
        <v>14362</v>
      </c>
      <c r="C120" s="33" t="s">
        <v>14363</v>
      </c>
      <c r="D120" s="33" t="s">
        <v>14364</v>
      </c>
      <c r="E120" s="33" t="s">
        <v>13925</v>
      </c>
      <c r="F120" s="33" t="s">
        <v>3568</v>
      </c>
      <c r="G120" s="34"/>
      <c r="H120" s="27"/>
      <c r="I120" s="27"/>
      <c r="J120" s="27"/>
      <c r="K120" s="27"/>
      <c r="L120" s="27"/>
      <c r="M120" s="27"/>
      <c r="N120" s="27"/>
      <c r="O120" s="27"/>
      <c r="P120" s="27"/>
      <c r="Q120" s="27"/>
      <c r="R120" s="27"/>
      <c r="S120" s="27"/>
      <c r="T120" s="27"/>
      <c r="U120" s="27"/>
      <c r="V120" s="27"/>
      <c r="W120" s="27"/>
      <c r="X120" s="27"/>
      <c r="Y120" s="27"/>
      <c r="Z120" s="27"/>
    </row>
    <row r="121">
      <c r="A121" s="30" t="s">
        <v>14365</v>
      </c>
      <c r="B121" s="30" t="s">
        <v>14366</v>
      </c>
      <c r="C121" s="31"/>
      <c r="D121" s="30" t="s">
        <v>14367</v>
      </c>
      <c r="E121" s="30" t="s">
        <v>13925</v>
      </c>
      <c r="F121" s="32" t="s">
        <v>14009</v>
      </c>
      <c r="G121" s="35"/>
      <c r="H121" s="27"/>
      <c r="I121" s="27"/>
      <c r="J121" s="27"/>
      <c r="K121" s="27"/>
      <c r="L121" s="27"/>
      <c r="M121" s="27"/>
      <c r="N121" s="27"/>
      <c r="O121" s="27"/>
      <c r="P121" s="27"/>
      <c r="Q121" s="27"/>
      <c r="R121" s="27"/>
      <c r="S121" s="27"/>
      <c r="T121" s="27"/>
      <c r="U121" s="27"/>
      <c r="V121" s="27"/>
      <c r="W121" s="27"/>
      <c r="X121" s="27"/>
      <c r="Y121" s="27"/>
      <c r="Z121" s="27"/>
    </row>
    <row r="122">
      <c r="A122" s="33" t="s">
        <v>14368</v>
      </c>
      <c r="B122" s="33" t="s">
        <v>14369</v>
      </c>
      <c r="C122" s="33" t="s">
        <v>14370</v>
      </c>
      <c r="D122" s="34"/>
      <c r="E122" s="33" t="s">
        <v>13925</v>
      </c>
      <c r="F122" s="33" t="s">
        <v>14094</v>
      </c>
      <c r="G122" s="34"/>
      <c r="H122" s="27"/>
      <c r="I122" s="27"/>
      <c r="J122" s="27"/>
      <c r="K122" s="27"/>
      <c r="L122" s="27"/>
      <c r="M122" s="27"/>
      <c r="N122" s="27"/>
      <c r="O122" s="27"/>
      <c r="P122" s="27"/>
      <c r="Q122" s="27"/>
      <c r="R122" s="27"/>
      <c r="S122" s="27"/>
      <c r="T122" s="27"/>
      <c r="U122" s="27"/>
      <c r="V122" s="27"/>
      <c r="W122" s="27"/>
      <c r="X122" s="27"/>
      <c r="Y122" s="27"/>
      <c r="Z122" s="27"/>
    </row>
    <row r="123">
      <c r="A123" s="30" t="s">
        <v>14371</v>
      </c>
      <c r="B123" s="30" t="s">
        <v>14372</v>
      </c>
      <c r="C123" s="30" t="s">
        <v>14373</v>
      </c>
      <c r="D123" s="30" t="s">
        <v>14374</v>
      </c>
      <c r="E123" s="30" t="s">
        <v>13925</v>
      </c>
      <c r="F123" s="32" t="s">
        <v>14094</v>
      </c>
      <c r="G123" s="35"/>
      <c r="H123" s="27"/>
      <c r="I123" s="27"/>
      <c r="J123" s="27"/>
      <c r="K123" s="27"/>
      <c r="L123" s="27"/>
      <c r="M123" s="27"/>
      <c r="N123" s="27"/>
      <c r="O123" s="27"/>
      <c r="P123" s="27"/>
      <c r="Q123" s="27"/>
      <c r="R123" s="27"/>
      <c r="S123" s="27"/>
      <c r="T123" s="27"/>
      <c r="U123" s="27"/>
      <c r="V123" s="27"/>
      <c r="W123" s="27"/>
      <c r="X123" s="27"/>
      <c r="Y123" s="27"/>
      <c r="Z123" s="27"/>
    </row>
    <row r="124">
      <c r="A124" s="33" t="s">
        <v>14375</v>
      </c>
      <c r="B124" s="33" t="s">
        <v>14376</v>
      </c>
      <c r="C124" s="34"/>
      <c r="D124" s="33" t="s">
        <v>14377</v>
      </c>
      <c r="E124" s="33" t="s">
        <v>13925</v>
      </c>
      <c r="F124" s="33" t="s">
        <v>13989</v>
      </c>
      <c r="G124" s="34"/>
      <c r="H124" s="27"/>
      <c r="I124" s="27"/>
      <c r="J124" s="27"/>
      <c r="K124" s="27"/>
      <c r="L124" s="27"/>
      <c r="M124" s="27"/>
      <c r="N124" s="27"/>
      <c r="O124" s="27"/>
      <c r="P124" s="27"/>
      <c r="Q124" s="27"/>
      <c r="R124" s="27"/>
      <c r="S124" s="27"/>
      <c r="T124" s="27"/>
      <c r="U124" s="27"/>
      <c r="V124" s="27"/>
      <c r="W124" s="27"/>
      <c r="X124" s="27"/>
      <c r="Y124" s="27"/>
      <c r="Z124" s="27"/>
    </row>
    <row r="125">
      <c r="A125" s="30" t="s">
        <v>11085</v>
      </c>
      <c r="B125" s="30" t="s">
        <v>14378</v>
      </c>
      <c r="C125" s="30" t="s">
        <v>14379</v>
      </c>
      <c r="D125" s="30" t="s">
        <v>14380</v>
      </c>
      <c r="E125" s="30" t="s">
        <v>13925</v>
      </c>
      <c r="F125" s="32" t="s">
        <v>3568</v>
      </c>
      <c r="G125" s="35"/>
      <c r="H125" s="27"/>
      <c r="I125" s="27"/>
      <c r="J125" s="27"/>
      <c r="K125" s="27"/>
      <c r="L125" s="27"/>
      <c r="M125" s="27"/>
      <c r="N125" s="27"/>
      <c r="O125" s="27"/>
      <c r="P125" s="27"/>
      <c r="Q125" s="27"/>
      <c r="R125" s="27"/>
      <c r="S125" s="27"/>
      <c r="T125" s="27"/>
      <c r="U125" s="27"/>
      <c r="V125" s="27"/>
      <c r="W125" s="27"/>
      <c r="X125" s="27"/>
      <c r="Y125" s="27"/>
      <c r="Z125" s="27"/>
    </row>
    <row r="126">
      <c r="A126" s="33" t="s">
        <v>14381</v>
      </c>
      <c r="B126" s="33" t="s">
        <v>14382</v>
      </c>
      <c r="C126" s="33" t="s">
        <v>14383</v>
      </c>
      <c r="D126" s="33" t="s">
        <v>14384</v>
      </c>
      <c r="E126" s="33" t="s">
        <v>13925</v>
      </c>
      <c r="F126" s="33" t="s">
        <v>13962</v>
      </c>
      <c r="G126" s="34"/>
      <c r="H126" s="27"/>
      <c r="I126" s="27"/>
      <c r="J126" s="27"/>
      <c r="K126" s="27"/>
      <c r="L126" s="27"/>
      <c r="M126" s="27"/>
      <c r="N126" s="27"/>
      <c r="O126" s="27"/>
      <c r="P126" s="27"/>
      <c r="Q126" s="27"/>
      <c r="R126" s="27"/>
      <c r="S126" s="27"/>
      <c r="T126" s="27"/>
      <c r="U126" s="27"/>
      <c r="V126" s="27"/>
      <c r="W126" s="27"/>
      <c r="X126" s="27"/>
      <c r="Y126" s="27"/>
      <c r="Z126" s="27"/>
    </row>
    <row r="127">
      <c r="A127" s="30" t="s">
        <v>14385</v>
      </c>
      <c r="B127" s="30" t="s">
        <v>14386</v>
      </c>
      <c r="C127" s="30" t="s">
        <v>14387</v>
      </c>
      <c r="D127" s="30" t="s">
        <v>14388</v>
      </c>
      <c r="E127" s="30" t="s">
        <v>13925</v>
      </c>
      <c r="F127" s="32" t="s">
        <v>14094</v>
      </c>
      <c r="G127" s="35"/>
      <c r="H127" s="27"/>
      <c r="I127" s="27"/>
      <c r="J127" s="27"/>
      <c r="K127" s="27"/>
      <c r="L127" s="27"/>
      <c r="M127" s="27"/>
      <c r="N127" s="27"/>
      <c r="O127" s="27"/>
      <c r="P127" s="27"/>
      <c r="Q127" s="27"/>
      <c r="R127" s="27"/>
      <c r="S127" s="27"/>
      <c r="T127" s="27"/>
      <c r="U127" s="27"/>
      <c r="V127" s="27"/>
      <c r="W127" s="27"/>
      <c r="X127" s="27"/>
      <c r="Y127" s="27"/>
      <c r="Z127" s="27"/>
    </row>
    <row r="128">
      <c r="A128" s="33" t="s">
        <v>14389</v>
      </c>
      <c r="B128" s="33" t="s">
        <v>14390</v>
      </c>
      <c r="C128" s="34"/>
      <c r="D128" s="33" t="s">
        <v>14391</v>
      </c>
      <c r="E128" s="33" t="s">
        <v>13925</v>
      </c>
      <c r="F128" s="33" t="s">
        <v>3568</v>
      </c>
      <c r="G128" s="34"/>
      <c r="H128" s="27"/>
      <c r="I128" s="27"/>
      <c r="J128" s="27"/>
      <c r="K128" s="27"/>
      <c r="L128" s="27"/>
      <c r="M128" s="27"/>
      <c r="N128" s="27"/>
      <c r="O128" s="27"/>
      <c r="P128" s="27"/>
      <c r="Q128" s="27"/>
      <c r="R128" s="27"/>
      <c r="S128" s="27"/>
      <c r="T128" s="27"/>
      <c r="U128" s="27"/>
      <c r="V128" s="27"/>
      <c r="W128" s="27"/>
      <c r="X128" s="27"/>
      <c r="Y128" s="27"/>
      <c r="Z128" s="27"/>
    </row>
    <row r="129">
      <c r="A129" s="30" t="s">
        <v>14392</v>
      </c>
      <c r="B129" s="30" t="s">
        <v>14393</v>
      </c>
      <c r="C129" s="31"/>
      <c r="D129" s="31"/>
      <c r="E129" s="30" t="s">
        <v>13925</v>
      </c>
      <c r="F129" s="32" t="s">
        <v>3568</v>
      </c>
      <c r="G129" s="35"/>
      <c r="H129" s="27"/>
      <c r="I129" s="27"/>
      <c r="J129" s="27"/>
      <c r="K129" s="27"/>
      <c r="L129" s="27"/>
      <c r="M129" s="27"/>
      <c r="N129" s="27"/>
      <c r="O129" s="27"/>
      <c r="P129" s="27"/>
      <c r="Q129" s="27"/>
      <c r="R129" s="27"/>
      <c r="S129" s="27"/>
      <c r="T129" s="27"/>
      <c r="U129" s="27"/>
      <c r="V129" s="27"/>
      <c r="W129" s="27"/>
      <c r="X129" s="27"/>
      <c r="Y129" s="27"/>
      <c r="Z129" s="27"/>
    </row>
    <row r="130">
      <c r="A130" s="33" t="s">
        <v>14394</v>
      </c>
      <c r="B130" s="33" t="s">
        <v>14395</v>
      </c>
      <c r="C130" s="33" t="s">
        <v>14396</v>
      </c>
      <c r="D130" s="33" t="s">
        <v>14397</v>
      </c>
      <c r="E130" s="33" t="s">
        <v>13925</v>
      </c>
      <c r="F130" s="33" t="s">
        <v>3568</v>
      </c>
      <c r="G130" s="34"/>
      <c r="H130" s="27"/>
      <c r="I130" s="27"/>
      <c r="J130" s="27"/>
      <c r="K130" s="27"/>
      <c r="L130" s="27"/>
      <c r="M130" s="27"/>
      <c r="N130" s="27"/>
      <c r="O130" s="27"/>
      <c r="P130" s="27"/>
      <c r="Q130" s="27"/>
      <c r="R130" s="27"/>
      <c r="S130" s="27"/>
      <c r="T130" s="27"/>
      <c r="U130" s="27"/>
      <c r="V130" s="27"/>
      <c r="W130" s="27"/>
      <c r="X130" s="27"/>
      <c r="Y130" s="27"/>
      <c r="Z130" s="27"/>
    </row>
    <row r="131">
      <c r="A131" s="30" t="s">
        <v>14398</v>
      </c>
      <c r="B131" s="30" t="s">
        <v>14399</v>
      </c>
      <c r="C131" s="30" t="s">
        <v>14400</v>
      </c>
      <c r="D131" s="30" t="s">
        <v>14401</v>
      </c>
      <c r="E131" s="30" t="s">
        <v>13925</v>
      </c>
      <c r="F131" s="32" t="s">
        <v>13962</v>
      </c>
      <c r="G131" s="35"/>
      <c r="H131" s="27"/>
      <c r="I131" s="27"/>
      <c r="J131" s="27"/>
      <c r="K131" s="27"/>
      <c r="L131" s="27"/>
      <c r="M131" s="27"/>
      <c r="N131" s="27"/>
      <c r="O131" s="27"/>
      <c r="P131" s="27"/>
      <c r="Q131" s="27"/>
      <c r="R131" s="27"/>
      <c r="S131" s="27"/>
      <c r="T131" s="27"/>
      <c r="U131" s="27"/>
      <c r="V131" s="27"/>
      <c r="W131" s="27"/>
      <c r="X131" s="27"/>
      <c r="Y131" s="27"/>
      <c r="Z131" s="27"/>
    </row>
    <row r="132">
      <c r="A132" s="33" t="s">
        <v>14402</v>
      </c>
      <c r="B132" s="33" t="s">
        <v>14403</v>
      </c>
      <c r="C132" s="33" t="s">
        <v>14404</v>
      </c>
      <c r="D132" s="34"/>
      <c r="E132" s="33" t="s">
        <v>13925</v>
      </c>
      <c r="F132" s="33" t="s">
        <v>13989</v>
      </c>
      <c r="G132" s="34"/>
      <c r="H132" s="27"/>
      <c r="I132" s="27"/>
      <c r="J132" s="27"/>
      <c r="K132" s="27"/>
      <c r="L132" s="27"/>
      <c r="M132" s="27"/>
      <c r="N132" s="27"/>
      <c r="O132" s="27"/>
      <c r="P132" s="27"/>
      <c r="Q132" s="27"/>
      <c r="R132" s="27"/>
      <c r="S132" s="27"/>
      <c r="T132" s="27"/>
      <c r="U132" s="27"/>
      <c r="V132" s="27"/>
      <c r="W132" s="27"/>
      <c r="X132" s="27"/>
      <c r="Y132" s="27"/>
      <c r="Z132" s="27"/>
    </row>
    <row r="133">
      <c r="A133" s="30" t="s">
        <v>14405</v>
      </c>
      <c r="B133" s="30" t="s">
        <v>14406</v>
      </c>
      <c r="C133" s="30" t="s">
        <v>14407</v>
      </c>
      <c r="D133" s="30" t="s">
        <v>14408</v>
      </c>
      <c r="E133" s="30" t="s">
        <v>13925</v>
      </c>
      <c r="F133" s="32" t="s">
        <v>14409</v>
      </c>
      <c r="G133" s="35"/>
      <c r="H133" s="27"/>
      <c r="I133" s="27"/>
      <c r="J133" s="27"/>
      <c r="K133" s="27"/>
      <c r="L133" s="27"/>
      <c r="M133" s="27"/>
      <c r="N133" s="27"/>
      <c r="O133" s="27"/>
      <c r="P133" s="27"/>
      <c r="Q133" s="27"/>
      <c r="R133" s="27"/>
      <c r="S133" s="27"/>
      <c r="T133" s="27"/>
      <c r="U133" s="27"/>
      <c r="V133" s="27"/>
      <c r="W133" s="27"/>
      <c r="X133" s="27"/>
      <c r="Y133" s="27"/>
      <c r="Z133" s="27"/>
    </row>
    <row r="134">
      <c r="A134" s="33" t="s">
        <v>14410</v>
      </c>
      <c r="B134" s="33" t="s">
        <v>14411</v>
      </c>
      <c r="C134" s="33" t="s">
        <v>14412</v>
      </c>
      <c r="D134" s="33" t="s">
        <v>14413</v>
      </c>
      <c r="E134" s="33" t="s">
        <v>13925</v>
      </c>
      <c r="F134" s="33" t="s">
        <v>3568</v>
      </c>
      <c r="G134" s="34"/>
      <c r="H134" s="27"/>
      <c r="I134" s="27"/>
      <c r="J134" s="27"/>
      <c r="K134" s="27"/>
      <c r="L134" s="27"/>
      <c r="M134" s="27"/>
      <c r="N134" s="27"/>
      <c r="O134" s="27"/>
      <c r="P134" s="27"/>
      <c r="Q134" s="27"/>
      <c r="R134" s="27"/>
      <c r="S134" s="27"/>
      <c r="T134" s="27"/>
      <c r="U134" s="27"/>
      <c r="V134" s="27"/>
      <c r="W134" s="27"/>
      <c r="X134" s="27"/>
      <c r="Y134" s="27"/>
      <c r="Z134" s="27"/>
    </row>
    <row r="135">
      <c r="A135" s="30" t="s">
        <v>14414</v>
      </c>
      <c r="B135" s="30" t="s">
        <v>14415</v>
      </c>
      <c r="C135" s="30" t="s">
        <v>14416</v>
      </c>
      <c r="D135" s="30" t="s">
        <v>14417</v>
      </c>
      <c r="E135" s="30" t="s">
        <v>13925</v>
      </c>
      <c r="F135" s="32" t="s">
        <v>14045</v>
      </c>
      <c r="G135" s="35"/>
      <c r="H135" s="27"/>
      <c r="I135" s="27"/>
      <c r="J135" s="27"/>
      <c r="K135" s="27"/>
      <c r="L135" s="27"/>
      <c r="M135" s="27"/>
      <c r="N135" s="27"/>
      <c r="O135" s="27"/>
      <c r="P135" s="27"/>
      <c r="Q135" s="27"/>
      <c r="R135" s="27"/>
      <c r="S135" s="27"/>
      <c r="T135" s="27"/>
      <c r="U135" s="27"/>
      <c r="V135" s="27"/>
      <c r="W135" s="27"/>
      <c r="X135" s="27"/>
      <c r="Y135" s="27"/>
      <c r="Z135" s="27"/>
    </row>
    <row r="136">
      <c r="A136" s="33" t="s">
        <v>14418</v>
      </c>
      <c r="B136" s="33" t="s">
        <v>14419</v>
      </c>
      <c r="C136" s="33" t="s">
        <v>14420</v>
      </c>
      <c r="D136" s="33" t="s">
        <v>14421</v>
      </c>
      <c r="E136" s="33" t="s">
        <v>13925</v>
      </c>
      <c r="F136" s="33" t="s">
        <v>14184</v>
      </c>
      <c r="G136" s="34"/>
      <c r="H136" s="27"/>
      <c r="I136" s="27"/>
      <c r="J136" s="27"/>
      <c r="K136" s="27"/>
      <c r="L136" s="27"/>
      <c r="M136" s="27"/>
      <c r="N136" s="27"/>
      <c r="O136" s="27"/>
      <c r="P136" s="27"/>
      <c r="Q136" s="27"/>
      <c r="R136" s="27"/>
      <c r="S136" s="27"/>
      <c r="T136" s="27"/>
      <c r="U136" s="27"/>
      <c r="V136" s="27"/>
      <c r="W136" s="27"/>
      <c r="X136" s="27"/>
      <c r="Y136" s="27"/>
      <c r="Z136" s="27"/>
    </row>
    <row r="137">
      <c r="A137" s="30" t="s">
        <v>14422</v>
      </c>
      <c r="B137" s="30" t="s">
        <v>14423</v>
      </c>
      <c r="C137" s="30" t="s">
        <v>14424</v>
      </c>
      <c r="D137" s="30" t="s">
        <v>14425</v>
      </c>
      <c r="E137" s="30" t="s">
        <v>13925</v>
      </c>
      <c r="F137" s="32" t="s">
        <v>13989</v>
      </c>
      <c r="G137" s="35"/>
      <c r="H137" s="27"/>
      <c r="I137" s="27"/>
      <c r="J137" s="27"/>
      <c r="K137" s="27"/>
      <c r="L137" s="27"/>
      <c r="M137" s="27"/>
      <c r="N137" s="27"/>
      <c r="O137" s="27"/>
      <c r="P137" s="27"/>
      <c r="Q137" s="27"/>
      <c r="R137" s="27"/>
      <c r="S137" s="27"/>
      <c r="T137" s="27"/>
      <c r="U137" s="27"/>
      <c r="V137" s="27"/>
      <c r="W137" s="27"/>
      <c r="X137" s="27"/>
      <c r="Y137" s="27"/>
      <c r="Z137" s="27"/>
    </row>
    <row r="138">
      <c r="A138" s="33" t="s">
        <v>14426</v>
      </c>
      <c r="B138" s="33" t="s">
        <v>14427</v>
      </c>
      <c r="C138" s="33" t="s">
        <v>14428</v>
      </c>
      <c r="D138" s="33" t="s">
        <v>14429</v>
      </c>
      <c r="E138" s="33" t="s">
        <v>13925</v>
      </c>
      <c r="F138" s="33" t="s">
        <v>816</v>
      </c>
      <c r="G138" s="34"/>
      <c r="H138" s="27"/>
      <c r="I138" s="27"/>
      <c r="J138" s="27"/>
      <c r="K138" s="27"/>
      <c r="L138" s="27"/>
      <c r="M138" s="27"/>
      <c r="N138" s="27"/>
      <c r="O138" s="27"/>
      <c r="P138" s="27"/>
      <c r="Q138" s="27"/>
      <c r="R138" s="27"/>
      <c r="S138" s="27"/>
      <c r="T138" s="27"/>
      <c r="U138" s="27"/>
      <c r="V138" s="27"/>
      <c r="W138" s="27"/>
      <c r="X138" s="27"/>
      <c r="Y138" s="27"/>
      <c r="Z138" s="27"/>
    </row>
    <row r="139">
      <c r="A139" s="30" t="s">
        <v>14430</v>
      </c>
      <c r="B139" s="30" t="s">
        <v>14431</v>
      </c>
      <c r="C139" s="31"/>
      <c r="D139" s="30" t="s">
        <v>14432</v>
      </c>
      <c r="E139" s="30" t="s">
        <v>13925</v>
      </c>
      <c r="F139" s="32" t="s">
        <v>3568</v>
      </c>
      <c r="G139" s="35"/>
      <c r="H139" s="27"/>
      <c r="I139" s="27"/>
      <c r="J139" s="27"/>
      <c r="K139" s="27"/>
      <c r="L139" s="27"/>
      <c r="M139" s="27"/>
      <c r="N139" s="27"/>
      <c r="O139" s="27"/>
      <c r="P139" s="27"/>
      <c r="Q139" s="27"/>
      <c r="R139" s="27"/>
      <c r="S139" s="27"/>
      <c r="T139" s="27"/>
      <c r="U139" s="27"/>
      <c r="V139" s="27"/>
      <c r="W139" s="27"/>
      <c r="X139" s="27"/>
      <c r="Y139" s="27"/>
      <c r="Z139" s="27"/>
    </row>
    <row r="140">
      <c r="A140" s="33" t="s">
        <v>14433</v>
      </c>
      <c r="B140" s="33" t="s">
        <v>14434</v>
      </c>
      <c r="C140" s="33" t="s">
        <v>14435</v>
      </c>
      <c r="D140" s="33" t="s">
        <v>14436</v>
      </c>
      <c r="E140" s="33" t="s">
        <v>13925</v>
      </c>
      <c r="F140" s="33" t="s">
        <v>14437</v>
      </c>
      <c r="G140" s="34"/>
      <c r="H140" s="27"/>
      <c r="I140" s="27"/>
      <c r="J140" s="27"/>
      <c r="K140" s="27"/>
      <c r="L140" s="27"/>
      <c r="M140" s="27"/>
      <c r="N140" s="27"/>
      <c r="O140" s="27"/>
      <c r="P140" s="27"/>
      <c r="Q140" s="27"/>
      <c r="R140" s="27"/>
      <c r="S140" s="27"/>
      <c r="T140" s="27"/>
      <c r="U140" s="27"/>
      <c r="V140" s="27"/>
      <c r="W140" s="27"/>
      <c r="X140" s="27"/>
      <c r="Y140" s="27"/>
      <c r="Z140" s="27"/>
    </row>
    <row r="141">
      <c r="A141" s="30" t="s">
        <v>14438</v>
      </c>
      <c r="B141" s="30" t="s">
        <v>12527</v>
      </c>
      <c r="C141" s="31"/>
      <c r="D141" s="30" t="s">
        <v>14439</v>
      </c>
      <c r="E141" s="30" t="s">
        <v>13925</v>
      </c>
      <c r="F141" s="32" t="s">
        <v>14198</v>
      </c>
      <c r="G141" s="35"/>
      <c r="H141" s="27"/>
      <c r="I141" s="27"/>
      <c r="J141" s="27"/>
      <c r="K141" s="27"/>
      <c r="L141" s="27"/>
      <c r="M141" s="27"/>
      <c r="N141" s="27"/>
      <c r="O141" s="27"/>
      <c r="P141" s="27"/>
      <c r="Q141" s="27"/>
      <c r="R141" s="27"/>
      <c r="S141" s="27"/>
      <c r="T141" s="27"/>
      <c r="U141" s="27"/>
      <c r="V141" s="27"/>
      <c r="W141" s="27"/>
      <c r="X141" s="27"/>
      <c r="Y141" s="27"/>
      <c r="Z141" s="27"/>
    </row>
    <row r="142">
      <c r="A142" s="33" t="s">
        <v>14440</v>
      </c>
      <c r="B142" s="33" t="s">
        <v>14441</v>
      </c>
      <c r="C142" s="33" t="s">
        <v>14442</v>
      </c>
      <c r="D142" s="34"/>
      <c r="E142" s="33" t="s">
        <v>13925</v>
      </c>
      <c r="F142" s="33" t="s">
        <v>13962</v>
      </c>
      <c r="G142" s="34"/>
      <c r="H142" s="27"/>
      <c r="I142" s="27"/>
      <c r="J142" s="27"/>
      <c r="K142" s="27"/>
      <c r="L142" s="27"/>
      <c r="M142" s="27"/>
      <c r="N142" s="27"/>
      <c r="O142" s="27"/>
      <c r="P142" s="27"/>
      <c r="Q142" s="27"/>
      <c r="R142" s="27"/>
      <c r="S142" s="27"/>
      <c r="T142" s="27"/>
      <c r="U142" s="27"/>
      <c r="V142" s="27"/>
      <c r="W142" s="27"/>
      <c r="X142" s="27"/>
      <c r="Y142" s="27"/>
      <c r="Z142" s="27"/>
    </row>
    <row r="143">
      <c r="A143" s="30" t="s">
        <v>11152</v>
      </c>
      <c r="B143" s="30" t="s">
        <v>11153</v>
      </c>
      <c r="C143" s="30" t="s">
        <v>14443</v>
      </c>
      <c r="D143" s="30" t="s">
        <v>14444</v>
      </c>
      <c r="E143" s="30" t="s">
        <v>13925</v>
      </c>
      <c r="F143" s="32" t="s">
        <v>3568</v>
      </c>
      <c r="G143" s="35"/>
      <c r="H143" s="27"/>
      <c r="I143" s="27"/>
      <c r="J143" s="27"/>
      <c r="K143" s="27"/>
      <c r="L143" s="27"/>
      <c r="M143" s="27"/>
      <c r="N143" s="27"/>
      <c r="O143" s="27"/>
      <c r="P143" s="27"/>
      <c r="Q143" s="27"/>
      <c r="R143" s="27"/>
      <c r="S143" s="27"/>
      <c r="T143" s="27"/>
      <c r="U143" s="27"/>
      <c r="V143" s="27"/>
      <c r="W143" s="27"/>
      <c r="X143" s="27"/>
      <c r="Y143" s="27"/>
      <c r="Z143" s="27"/>
    </row>
    <row r="144">
      <c r="A144" s="33" t="s">
        <v>14445</v>
      </c>
      <c r="B144" s="33" t="s">
        <v>14446</v>
      </c>
      <c r="C144" s="34"/>
      <c r="D144" s="33" t="s">
        <v>14447</v>
      </c>
      <c r="E144" s="33" t="s">
        <v>13925</v>
      </c>
      <c r="F144" s="33" t="s">
        <v>14094</v>
      </c>
      <c r="G144" s="34"/>
      <c r="H144" s="27"/>
      <c r="I144" s="27"/>
      <c r="J144" s="27"/>
      <c r="K144" s="27"/>
      <c r="L144" s="27"/>
      <c r="M144" s="27"/>
      <c r="N144" s="27"/>
      <c r="O144" s="27"/>
      <c r="P144" s="27"/>
      <c r="Q144" s="27"/>
      <c r="R144" s="27"/>
      <c r="S144" s="27"/>
      <c r="T144" s="27"/>
      <c r="U144" s="27"/>
      <c r="V144" s="27"/>
      <c r="W144" s="27"/>
      <c r="X144" s="27"/>
      <c r="Y144" s="27"/>
      <c r="Z144" s="27"/>
    </row>
    <row r="145">
      <c r="A145" s="30" t="s">
        <v>14448</v>
      </c>
      <c r="B145" s="30" t="s">
        <v>14449</v>
      </c>
      <c r="C145" s="30" t="s">
        <v>14450</v>
      </c>
      <c r="D145" s="30" t="s">
        <v>14451</v>
      </c>
      <c r="E145" s="30" t="s">
        <v>13925</v>
      </c>
      <c r="F145" s="32" t="s">
        <v>13926</v>
      </c>
      <c r="G145" s="35"/>
      <c r="H145" s="27"/>
      <c r="I145" s="27"/>
      <c r="J145" s="27"/>
      <c r="K145" s="27"/>
      <c r="L145" s="27"/>
      <c r="M145" s="27"/>
      <c r="N145" s="27"/>
      <c r="O145" s="27"/>
      <c r="P145" s="27"/>
      <c r="Q145" s="27"/>
      <c r="R145" s="27"/>
      <c r="S145" s="27"/>
      <c r="T145" s="27"/>
      <c r="U145" s="27"/>
      <c r="V145" s="27"/>
      <c r="W145" s="27"/>
      <c r="X145" s="27"/>
      <c r="Y145" s="27"/>
      <c r="Z145" s="27"/>
    </row>
    <row r="146">
      <c r="A146" s="33" t="s">
        <v>14452</v>
      </c>
      <c r="B146" s="33" t="s">
        <v>14453</v>
      </c>
      <c r="C146" s="33" t="s">
        <v>14454</v>
      </c>
      <c r="D146" s="34"/>
      <c r="E146" s="33" t="s">
        <v>13925</v>
      </c>
      <c r="F146" s="33" t="s">
        <v>3568</v>
      </c>
      <c r="G146" s="34"/>
      <c r="H146" s="27"/>
      <c r="I146" s="27"/>
      <c r="J146" s="27"/>
      <c r="K146" s="27"/>
      <c r="L146" s="27"/>
      <c r="M146" s="27"/>
      <c r="N146" s="27"/>
      <c r="O146" s="27"/>
      <c r="P146" s="27"/>
      <c r="Q146" s="27"/>
      <c r="R146" s="27"/>
      <c r="S146" s="27"/>
      <c r="T146" s="27"/>
      <c r="U146" s="27"/>
      <c r="V146" s="27"/>
      <c r="W146" s="27"/>
      <c r="X146" s="27"/>
      <c r="Y146" s="27"/>
      <c r="Z146" s="27"/>
    </row>
    <row r="147">
      <c r="A147" s="30" t="s">
        <v>14455</v>
      </c>
      <c r="B147" s="30" t="s">
        <v>14456</v>
      </c>
      <c r="C147" s="30" t="s">
        <v>14457</v>
      </c>
      <c r="D147" s="30" t="s">
        <v>14458</v>
      </c>
      <c r="E147" s="30" t="s">
        <v>13925</v>
      </c>
      <c r="F147" s="32" t="s">
        <v>13962</v>
      </c>
      <c r="G147" s="35"/>
      <c r="H147" s="27"/>
      <c r="I147" s="27"/>
      <c r="J147" s="27"/>
      <c r="K147" s="27"/>
      <c r="L147" s="27"/>
      <c r="M147" s="27"/>
      <c r="N147" s="27"/>
      <c r="O147" s="27"/>
      <c r="P147" s="27"/>
      <c r="Q147" s="27"/>
      <c r="R147" s="27"/>
      <c r="S147" s="27"/>
      <c r="T147" s="27"/>
      <c r="U147" s="27"/>
      <c r="V147" s="27"/>
      <c r="W147" s="27"/>
      <c r="X147" s="27"/>
      <c r="Y147" s="27"/>
      <c r="Z147" s="27"/>
    </row>
    <row r="148">
      <c r="A148" s="33" t="s">
        <v>14459</v>
      </c>
      <c r="B148" s="33" t="s">
        <v>14460</v>
      </c>
      <c r="C148" s="33" t="s">
        <v>14461</v>
      </c>
      <c r="D148" s="33" t="s">
        <v>14462</v>
      </c>
      <c r="E148" s="33" t="s">
        <v>13925</v>
      </c>
      <c r="F148" s="33" t="s">
        <v>14045</v>
      </c>
      <c r="G148" s="34"/>
      <c r="H148" s="27"/>
      <c r="I148" s="27"/>
      <c r="J148" s="27"/>
      <c r="K148" s="27"/>
      <c r="L148" s="27"/>
      <c r="M148" s="27"/>
      <c r="N148" s="27"/>
      <c r="O148" s="27"/>
      <c r="P148" s="27"/>
      <c r="Q148" s="27"/>
      <c r="R148" s="27"/>
      <c r="S148" s="27"/>
      <c r="T148" s="27"/>
      <c r="U148" s="27"/>
      <c r="V148" s="27"/>
      <c r="W148" s="27"/>
      <c r="X148" s="27"/>
      <c r="Y148" s="27"/>
      <c r="Z148" s="27"/>
    </row>
    <row r="149">
      <c r="A149" s="30" t="s">
        <v>14463</v>
      </c>
      <c r="B149" s="30" t="s">
        <v>14464</v>
      </c>
      <c r="C149" s="31"/>
      <c r="D149" s="30" t="s">
        <v>14465</v>
      </c>
      <c r="E149" s="30" t="s">
        <v>13925</v>
      </c>
      <c r="F149" s="32" t="s">
        <v>13962</v>
      </c>
      <c r="G149" s="35"/>
      <c r="H149" s="27"/>
      <c r="I149" s="27"/>
      <c r="J149" s="27"/>
      <c r="K149" s="27"/>
      <c r="L149" s="27"/>
      <c r="M149" s="27"/>
      <c r="N149" s="27"/>
      <c r="O149" s="27"/>
      <c r="P149" s="27"/>
      <c r="Q149" s="27"/>
      <c r="R149" s="27"/>
      <c r="S149" s="27"/>
      <c r="T149" s="27"/>
      <c r="U149" s="27"/>
      <c r="V149" s="27"/>
      <c r="W149" s="27"/>
      <c r="X149" s="27"/>
      <c r="Y149" s="27"/>
      <c r="Z149" s="27"/>
    </row>
    <row r="150">
      <c r="A150" s="33" t="s">
        <v>14466</v>
      </c>
      <c r="B150" s="33" t="s">
        <v>14467</v>
      </c>
      <c r="C150" s="34"/>
      <c r="D150" s="33" t="s">
        <v>14468</v>
      </c>
      <c r="E150" s="33" t="s">
        <v>13925</v>
      </c>
      <c r="F150" s="33" t="s">
        <v>3568</v>
      </c>
      <c r="G150" s="34"/>
      <c r="H150" s="27"/>
      <c r="I150" s="27"/>
      <c r="J150" s="27"/>
      <c r="K150" s="27"/>
      <c r="L150" s="27"/>
      <c r="M150" s="27"/>
      <c r="N150" s="27"/>
      <c r="O150" s="27"/>
      <c r="P150" s="27"/>
      <c r="Q150" s="27"/>
      <c r="R150" s="27"/>
      <c r="S150" s="27"/>
      <c r="T150" s="27"/>
      <c r="U150" s="27"/>
      <c r="V150" s="27"/>
      <c r="W150" s="27"/>
      <c r="X150" s="27"/>
      <c r="Y150" s="27"/>
      <c r="Z150" s="27"/>
    </row>
    <row r="151">
      <c r="A151" s="30" t="s">
        <v>14469</v>
      </c>
      <c r="B151" s="30" t="s">
        <v>14470</v>
      </c>
      <c r="C151" s="31"/>
      <c r="D151" s="30" t="s">
        <v>14471</v>
      </c>
      <c r="E151" s="30" t="s">
        <v>13925</v>
      </c>
      <c r="F151" s="32" t="s">
        <v>13962</v>
      </c>
      <c r="G151" s="35"/>
      <c r="H151" s="27"/>
      <c r="I151" s="27"/>
      <c r="J151" s="27"/>
      <c r="K151" s="27"/>
      <c r="L151" s="27"/>
      <c r="M151" s="27"/>
      <c r="N151" s="27"/>
      <c r="O151" s="27"/>
      <c r="P151" s="27"/>
      <c r="Q151" s="27"/>
      <c r="R151" s="27"/>
      <c r="S151" s="27"/>
      <c r="T151" s="27"/>
      <c r="U151" s="27"/>
      <c r="V151" s="27"/>
      <c r="W151" s="27"/>
      <c r="X151" s="27"/>
      <c r="Y151" s="27"/>
      <c r="Z151" s="27"/>
    </row>
    <row r="152">
      <c r="A152" s="33" t="s">
        <v>14472</v>
      </c>
      <c r="B152" s="33" t="s">
        <v>14473</v>
      </c>
      <c r="C152" s="33" t="s">
        <v>14474</v>
      </c>
      <c r="D152" s="34"/>
      <c r="E152" s="33" t="s">
        <v>13925</v>
      </c>
      <c r="F152" s="33" t="s">
        <v>3568</v>
      </c>
      <c r="G152" s="34"/>
      <c r="H152" s="27"/>
      <c r="I152" s="27"/>
      <c r="J152" s="27"/>
      <c r="K152" s="27"/>
      <c r="L152" s="27"/>
      <c r="M152" s="27"/>
      <c r="N152" s="27"/>
      <c r="O152" s="27"/>
      <c r="P152" s="27"/>
      <c r="Q152" s="27"/>
      <c r="R152" s="27"/>
      <c r="S152" s="27"/>
      <c r="T152" s="27"/>
      <c r="U152" s="27"/>
      <c r="V152" s="27"/>
      <c r="W152" s="27"/>
      <c r="X152" s="27"/>
      <c r="Y152" s="27"/>
      <c r="Z152" s="27"/>
    </row>
    <row r="153">
      <c r="A153" s="30" t="s">
        <v>14475</v>
      </c>
      <c r="B153" s="30" t="s">
        <v>14476</v>
      </c>
      <c r="C153" s="30" t="s">
        <v>14477</v>
      </c>
      <c r="D153" s="30" t="s">
        <v>14478</v>
      </c>
      <c r="E153" s="30" t="s">
        <v>13925</v>
      </c>
      <c r="F153" s="32" t="s">
        <v>13962</v>
      </c>
      <c r="G153" s="35"/>
      <c r="H153" s="27"/>
      <c r="I153" s="27"/>
      <c r="J153" s="27"/>
      <c r="K153" s="27"/>
      <c r="L153" s="27"/>
      <c r="M153" s="27"/>
      <c r="N153" s="27"/>
      <c r="O153" s="27"/>
      <c r="P153" s="27"/>
      <c r="Q153" s="27"/>
      <c r="R153" s="27"/>
      <c r="S153" s="27"/>
      <c r="T153" s="27"/>
      <c r="U153" s="27"/>
      <c r="V153" s="27"/>
      <c r="W153" s="27"/>
      <c r="X153" s="27"/>
      <c r="Y153" s="27"/>
      <c r="Z153" s="27"/>
    </row>
    <row r="154">
      <c r="A154" s="33" t="s">
        <v>14479</v>
      </c>
      <c r="B154" s="33" t="s">
        <v>14480</v>
      </c>
      <c r="C154" s="33" t="s">
        <v>14481</v>
      </c>
      <c r="D154" s="33" t="s">
        <v>14482</v>
      </c>
      <c r="E154" s="33" t="s">
        <v>13925</v>
      </c>
      <c r="F154" s="33" t="s">
        <v>3568</v>
      </c>
      <c r="G154" s="34"/>
      <c r="H154" s="27"/>
      <c r="I154" s="27"/>
      <c r="J154" s="27"/>
      <c r="K154" s="27"/>
      <c r="L154" s="27"/>
      <c r="M154" s="27"/>
      <c r="N154" s="27"/>
      <c r="O154" s="27"/>
      <c r="P154" s="27"/>
      <c r="Q154" s="27"/>
      <c r="R154" s="27"/>
      <c r="S154" s="27"/>
      <c r="T154" s="27"/>
      <c r="U154" s="27"/>
      <c r="V154" s="27"/>
      <c r="W154" s="27"/>
      <c r="X154" s="27"/>
      <c r="Y154" s="27"/>
      <c r="Z154" s="27"/>
    </row>
    <row r="155">
      <c r="A155" s="30" t="s">
        <v>14483</v>
      </c>
      <c r="B155" s="30" t="s">
        <v>14484</v>
      </c>
      <c r="C155" s="31"/>
      <c r="D155" s="30" t="s">
        <v>14485</v>
      </c>
      <c r="E155" s="30" t="s">
        <v>13925</v>
      </c>
      <c r="F155" s="32" t="s">
        <v>14184</v>
      </c>
      <c r="G155" s="35"/>
      <c r="H155" s="27"/>
      <c r="I155" s="27"/>
      <c r="J155" s="27"/>
      <c r="K155" s="27"/>
      <c r="L155" s="27"/>
      <c r="M155" s="27"/>
      <c r="N155" s="27"/>
      <c r="O155" s="27"/>
      <c r="P155" s="27"/>
      <c r="Q155" s="27"/>
      <c r="R155" s="27"/>
      <c r="S155" s="27"/>
      <c r="T155" s="27"/>
      <c r="U155" s="27"/>
      <c r="V155" s="27"/>
      <c r="W155" s="27"/>
      <c r="X155" s="27"/>
      <c r="Y155" s="27"/>
      <c r="Z155" s="27"/>
    </row>
    <row r="156">
      <c r="A156" s="33" t="s">
        <v>14486</v>
      </c>
      <c r="B156" s="33" t="s">
        <v>12879</v>
      </c>
      <c r="C156" s="34"/>
      <c r="D156" s="33" t="s">
        <v>14487</v>
      </c>
      <c r="E156" s="33" t="s">
        <v>13925</v>
      </c>
      <c r="F156" s="33" t="s">
        <v>3568</v>
      </c>
      <c r="G156" s="34"/>
      <c r="H156" s="27"/>
      <c r="I156" s="27"/>
      <c r="J156" s="27"/>
      <c r="K156" s="27"/>
      <c r="L156" s="27"/>
      <c r="M156" s="27"/>
      <c r="N156" s="27"/>
      <c r="O156" s="27"/>
      <c r="P156" s="27"/>
      <c r="Q156" s="27"/>
      <c r="R156" s="27"/>
      <c r="S156" s="27"/>
      <c r="T156" s="27"/>
      <c r="U156" s="27"/>
      <c r="V156" s="27"/>
      <c r="W156" s="27"/>
      <c r="X156" s="27"/>
      <c r="Y156" s="27"/>
      <c r="Z156" s="27"/>
    </row>
    <row r="157">
      <c r="A157" s="30" t="s">
        <v>14488</v>
      </c>
      <c r="B157" s="30" t="s">
        <v>14489</v>
      </c>
      <c r="C157" s="30" t="s">
        <v>14490</v>
      </c>
      <c r="D157" s="30" t="s">
        <v>14491</v>
      </c>
      <c r="E157" s="30" t="s">
        <v>13925</v>
      </c>
      <c r="F157" s="32" t="s">
        <v>13962</v>
      </c>
      <c r="G157" s="35"/>
      <c r="H157" s="27"/>
      <c r="I157" s="27"/>
      <c r="J157" s="27"/>
      <c r="K157" s="27"/>
      <c r="L157" s="27"/>
      <c r="M157" s="27"/>
      <c r="N157" s="27"/>
      <c r="O157" s="27"/>
      <c r="P157" s="27"/>
      <c r="Q157" s="27"/>
      <c r="R157" s="27"/>
      <c r="S157" s="27"/>
      <c r="T157" s="27"/>
      <c r="U157" s="27"/>
      <c r="V157" s="27"/>
      <c r="W157" s="27"/>
      <c r="X157" s="27"/>
      <c r="Y157" s="27"/>
      <c r="Z157" s="27"/>
    </row>
    <row r="158">
      <c r="A158" s="33" t="s">
        <v>14492</v>
      </c>
      <c r="B158" s="33" t="s">
        <v>14493</v>
      </c>
      <c r="C158" s="33" t="s">
        <v>14494</v>
      </c>
      <c r="D158" s="34"/>
      <c r="E158" s="33" t="s">
        <v>13925</v>
      </c>
      <c r="F158" s="33" t="s">
        <v>3568</v>
      </c>
      <c r="G158" s="34"/>
      <c r="H158" s="27"/>
      <c r="I158" s="27"/>
      <c r="J158" s="27"/>
      <c r="K158" s="27"/>
      <c r="L158" s="27"/>
      <c r="M158" s="27"/>
      <c r="N158" s="27"/>
      <c r="O158" s="27"/>
      <c r="P158" s="27"/>
      <c r="Q158" s="27"/>
      <c r="R158" s="27"/>
      <c r="S158" s="27"/>
      <c r="T158" s="27"/>
      <c r="U158" s="27"/>
      <c r="V158" s="27"/>
      <c r="W158" s="27"/>
      <c r="X158" s="27"/>
      <c r="Y158" s="27"/>
      <c r="Z158" s="27"/>
    </row>
    <row r="159">
      <c r="A159" s="30" t="s">
        <v>14495</v>
      </c>
      <c r="B159" s="30" t="s">
        <v>14386</v>
      </c>
      <c r="C159" s="31"/>
      <c r="D159" s="30" t="s">
        <v>14496</v>
      </c>
      <c r="E159" s="30" t="s">
        <v>13925</v>
      </c>
      <c r="F159" s="32" t="s">
        <v>14497</v>
      </c>
      <c r="G159" s="35"/>
      <c r="H159" s="27"/>
      <c r="I159" s="27"/>
      <c r="J159" s="27"/>
      <c r="K159" s="27"/>
      <c r="L159" s="27"/>
      <c r="M159" s="27"/>
      <c r="N159" s="27"/>
      <c r="O159" s="27"/>
      <c r="P159" s="27"/>
      <c r="Q159" s="27"/>
      <c r="R159" s="27"/>
      <c r="S159" s="27"/>
      <c r="T159" s="27"/>
      <c r="U159" s="27"/>
      <c r="V159" s="27"/>
      <c r="W159" s="27"/>
      <c r="X159" s="27"/>
      <c r="Y159" s="27"/>
      <c r="Z159" s="27"/>
    </row>
    <row r="160">
      <c r="A160" s="33" t="s">
        <v>14498</v>
      </c>
      <c r="B160" s="33" t="s">
        <v>14499</v>
      </c>
      <c r="C160" s="33" t="s">
        <v>14500</v>
      </c>
      <c r="D160" s="33" t="s">
        <v>14501</v>
      </c>
      <c r="E160" s="33" t="s">
        <v>13925</v>
      </c>
      <c r="F160" s="33" t="s">
        <v>13989</v>
      </c>
      <c r="G160" s="34"/>
      <c r="H160" s="27"/>
      <c r="I160" s="27"/>
      <c r="J160" s="27"/>
      <c r="K160" s="27"/>
      <c r="L160" s="27"/>
      <c r="M160" s="27"/>
      <c r="N160" s="27"/>
      <c r="O160" s="27"/>
      <c r="P160" s="27"/>
      <c r="Q160" s="27"/>
      <c r="R160" s="27"/>
      <c r="S160" s="27"/>
      <c r="T160" s="27"/>
      <c r="U160" s="27"/>
      <c r="V160" s="27"/>
      <c r="W160" s="27"/>
      <c r="X160" s="27"/>
      <c r="Y160" s="27"/>
      <c r="Z160" s="27"/>
    </row>
    <row r="161">
      <c r="A161" s="30" t="s">
        <v>14502</v>
      </c>
      <c r="B161" s="30" t="s">
        <v>14503</v>
      </c>
      <c r="C161" s="30" t="s">
        <v>14504</v>
      </c>
      <c r="D161" s="30" t="s">
        <v>14505</v>
      </c>
      <c r="E161" s="30" t="s">
        <v>13925</v>
      </c>
      <c r="F161" s="32" t="s">
        <v>14009</v>
      </c>
      <c r="G161" s="35"/>
      <c r="H161" s="27"/>
      <c r="I161" s="27"/>
      <c r="J161" s="27"/>
      <c r="K161" s="27"/>
      <c r="L161" s="27"/>
      <c r="M161" s="27"/>
      <c r="N161" s="27"/>
      <c r="O161" s="27"/>
      <c r="P161" s="27"/>
      <c r="Q161" s="27"/>
      <c r="R161" s="27"/>
      <c r="S161" s="27"/>
      <c r="T161" s="27"/>
      <c r="U161" s="27"/>
      <c r="V161" s="27"/>
      <c r="W161" s="27"/>
      <c r="X161" s="27"/>
      <c r="Y161" s="27"/>
      <c r="Z161" s="27"/>
    </row>
    <row r="162">
      <c r="A162" s="33" t="s">
        <v>14506</v>
      </c>
      <c r="B162" s="33" t="s">
        <v>14507</v>
      </c>
      <c r="C162" s="33" t="s">
        <v>14508</v>
      </c>
      <c r="D162" s="33" t="s">
        <v>14509</v>
      </c>
      <c r="E162" s="33" t="s">
        <v>13925</v>
      </c>
      <c r="F162" s="33" t="s">
        <v>3568</v>
      </c>
      <c r="G162" s="34"/>
      <c r="H162" s="27"/>
      <c r="I162" s="27"/>
      <c r="J162" s="27"/>
      <c r="K162" s="27"/>
      <c r="L162" s="27"/>
      <c r="M162" s="27"/>
      <c r="N162" s="27"/>
      <c r="O162" s="27"/>
      <c r="P162" s="27"/>
      <c r="Q162" s="27"/>
      <c r="R162" s="27"/>
      <c r="S162" s="27"/>
      <c r="T162" s="27"/>
      <c r="U162" s="27"/>
      <c r="V162" s="27"/>
      <c r="W162" s="27"/>
      <c r="X162" s="27"/>
      <c r="Y162" s="27"/>
      <c r="Z162" s="27"/>
    </row>
    <row r="163">
      <c r="A163" s="30" t="s">
        <v>14510</v>
      </c>
      <c r="B163" s="30" t="s">
        <v>14511</v>
      </c>
      <c r="C163" s="30" t="s">
        <v>14512</v>
      </c>
      <c r="D163" s="30" t="s">
        <v>14513</v>
      </c>
      <c r="E163" s="30" t="s">
        <v>13925</v>
      </c>
      <c r="F163" s="32" t="s">
        <v>13962</v>
      </c>
      <c r="G163" s="35"/>
      <c r="H163" s="27"/>
      <c r="I163" s="27"/>
      <c r="J163" s="27"/>
      <c r="K163" s="27"/>
      <c r="L163" s="27"/>
      <c r="M163" s="27"/>
      <c r="N163" s="27"/>
      <c r="O163" s="27"/>
      <c r="P163" s="27"/>
      <c r="Q163" s="27"/>
      <c r="R163" s="27"/>
      <c r="S163" s="27"/>
      <c r="T163" s="27"/>
      <c r="U163" s="27"/>
      <c r="V163" s="27"/>
      <c r="W163" s="27"/>
      <c r="X163" s="27"/>
      <c r="Y163" s="27"/>
      <c r="Z163" s="27"/>
    </row>
    <row r="164">
      <c r="A164" s="33" t="s">
        <v>14514</v>
      </c>
      <c r="B164" s="33" t="s">
        <v>12879</v>
      </c>
      <c r="C164" s="33" t="s">
        <v>14515</v>
      </c>
      <c r="D164" s="33" t="s">
        <v>14516</v>
      </c>
      <c r="E164" s="33" t="s">
        <v>13925</v>
      </c>
      <c r="F164" s="33" t="s">
        <v>13962</v>
      </c>
      <c r="G164" s="34"/>
      <c r="H164" s="27"/>
      <c r="I164" s="27"/>
      <c r="J164" s="27"/>
      <c r="K164" s="27"/>
      <c r="L164" s="27"/>
      <c r="M164" s="27"/>
      <c r="N164" s="27"/>
      <c r="O164" s="27"/>
      <c r="P164" s="27"/>
      <c r="Q164" s="27"/>
      <c r="R164" s="27"/>
      <c r="S164" s="27"/>
      <c r="T164" s="27"/>
      <c r="U164" s="27"/>
      <c r="V164" s="27"/>
      <c r="W164" s="27"/>
      <c r="X164" s="27"/>
      <c r="Y164" s="27"/>
      <c r="Z164" s="27"/>
    </row>
    <row r="165">
      <c r="A165" s="30" t="s">
        <v>14517</v>
      </c>
      <c r="B165" s="30" t="s">
        <v>14518</v>
      </c>
      <c r="C165" s="31"/>
      <c r="D165" s="30" t="s">
        <v>14519</v>
      </c>
      <c r="E165" s="30" t="s">
        <v>13925</v>
      </c>
      <c r="F165" s="32" t="s">
        <v>13962</v>
      </c>
      <c r="G165" s="35"/>
      <c r="H165" s="27"/>
      <c r="I165" s="27"/>
      <c r="J165" s="27"/>
      <c r="K165" s="27"/>
      <c r="L165" s="27"/>
      <c r="M165" s="27"/>
      <c r="N165" s="27"/>
      <c r="O165" s="27"/>
      <c r="P165" s="27"/>
      <c r="Q165" s="27"/>
      <c r="R165" s="27"/>
      <c r="S165" s="27"/>
      <c r="T165" s="27"/>
      <c r="U165" s="27"/>
      <c r="V165" s="27"/>
      <c r="W165" s="27"/>
      <c r="X165" s="27"/>
      <c r="Y165" s="27"/>
      <c r="Z165" s="27"/>
    </row>
    <row r="166">
      <c r="A166" s="33" t="s">
        <v>14520</v>
      </c>
      <c r="B166" s="33" t="s">
        <v>14521</v>
      </c>
      <c r="C166" s="33" t="s">
        <v>14522</v>
      </c>
      <c r="D166" s="33" t="s">
        <v>14523</v>
      </c>
      <c r="E166" s="33" t="s">
        <v>13925</v>
      </c>
      <c r="F166" s="33" t="s">
        <v>13962</v>
      </c>
      <c r="G166" s="34"/>
      <c r="H166" s="27"/>
      <c r="I166" s="27"/>
      <c r="J166" s="27"/>
      <c r="K166" s="27"/>
      <c r="L166" s="27"/>
      <c r="M166" s="27"/>
      <c r="N166" s="27"/>
      <c r="O166" s="27"/>
      <c r="P166" s="27"/>
      <c r="Q166" s="27"/>
      <c r="R166" s="27"/>
      <c r="S166" s="27"/>
      <c r="T166" s="27"/>
      <c r="U166" s="27"/>
      <c r="V166" s="27"/>
      <c r="W166" s="27"/>
      <c r="X166" s="27"/>
      <c r="Y166" s="27"/>
      <c r="Z166" s="27"/>
    </row>
    <row r="167">
      <c r="A167" s="30" t="s">
        <v>14524</v>
      </c>
      <c r="B167" s="30" t="s">
        <v>14525</v>
      </c>
      <c r="C167" s="30" t="s">
        <v>14526</v>
      </c>
      <c r="D167" s="30" t="s">
        <v>14527</v>
      </c>
      <c r="E167" s="30" t="s">
        <v>13925</v>
      </c>
      <c r="F167" s="32" t="s">
        <v>3568</v>
      </c>
      <c r="G167" s="35"/>
      <c r="H167" s="27"/>
      <c r="I167" s="27"/>
      <c r="J167" s="27"/>
      <c r="K167" s="27"/>
      <c r="L167" s="27"/>
      <c r="M167" s="27"/>
      <c r="N167" s="27"/>
      <c r="O167" s="27"/>
      <c r="P167" s="27"/>
      <c r="Q167" s="27"/>
      <c r="R167" s="27"/>
      <c r="S167" s="27"/>
      <c r="T167" s="27"/>
      <c r="U167" s="27"/>
      <c r="V167" s="27"/>
      <c r="W167" s="27"/>
      <c r="X167" s="27"/>
      <c r="Y167" s="27"/>
      <c r="Z167" s="27"/>
    </row>
    <row r="168">
      <c r="A168" s="33" t="s">
        <v>14528</v>
      </c>
      <c r="B168" s="33" t="s">
        <v>14529</v>
      </c>
      <c r="C168" s="33" t="s">
        <v>14530</v>
      </c>
      <c r="D168" s="33" t="s">
        <v>14531</v>
      </c>
      <c r="E168" s="33" t="s">
        <v>13925</v>
      </c>
      <c r="F168" s="33" t="s">
        <v>14532</v>
      </c>
      <c r="G168" s="34"/>
      <c r="H168" s="27"/>
      <c r="I168" s="27"/>
      <c r="J168" s="27"/>
      <c r="K168" s="27"/>
      <c r="L168" s="27"/>
      <c r="M168" s="27"/>
      <c r="N168" s="27"/>
      <c r="O168" s="27"/>
      <c r="P168" s="27"/>
      <c r="Q168" s="27"/>
      <c r="R168" s="27"/>
      <c r="S168" s="27"/>
      <c r="T168" s="27"/>
      <c r="U168" s="27"/>
      <c r="V168" s="27"/>
      <c r="W168" s="27"/>
      <c r="X168" s="27"/>
      <c r="Y168" s="27"/>
      <c r="Z168" s="27"/>
    </row>
    <row r="169">
      <c r="A169" s="30" t="s">
        <v>14533</v>
      </c>
      <c r="B169" s="30" t="s">
        <v>14534</v>
      </c>
      <c r="C169" s="30" t="s">
        <v>14535</v>
      </c>
      <c r="D169" s="30" t="s">
        <v>14536</v>
      </c>
      <c r="E169" s="30" t="s">
        <v>13925</v>
      </c>
      <c r="F169" s="32" t="s">
        <v>13962</v>
      </c>
      <c r="G169" s="35"/>
      <c r="H169" s="27"/>
      <c r="I169" s="27"/>
      <c r="J169" s="27"/>
      <c r="K169" s="27"/>
      <c r="L169" s="27"/>
      <c r="M169" s="27"/>
      <c r="N169" s="27"/>
      <c r="O169" s="27"/>
      <c r="P169" s="27"/>
      <c r="Q169" s="27"/>
      <c r="R169" s="27"/>
      <c r="S169" s="27"/>
      <c r="T169" s="27"/>
      <c r="U169" s="27"/>
      <c r="V169" s="27"/>
      <c r="W169" s="27"/>
      <c r="X169" s="27"/>
      <c r="Y169" s="27"/>
      <c r="Z169" s="27"/>
    </row>
    <row r="170">
      <c r="A170" s="33" t="s">
        <v>14537</v>
      </c>
      <c r="B170" s="33" t="s">
        <v>14538</v>
      </c>
      <c r="C170" s="33" t="s">
        <v>14539</v>
      </c>
      <c r="D170" s="33" t="s">
        <v>14540</v>
      </c>
      <c r="E170" s="33" t="s">
        <v>13925</v>
      </c>
      <c r="F170" s="33" t="s">
        <v>3568</v>
      </c>
      <c r="G170" s="34"/>
      <c r="H170" s="27"/>
      <c r="I170" s="27"/>
      <c r="J170" s="27"/>
      <c r="K170" s="27"/>
      <c r="L170" s="27"/>
      <c r="M170" s="27"/>
      <c r="N170" s="27"/>
      <c r="O170" s="27"/>
      <c r="P170" s="27"/>
      <c r="Q170" s="27"/>
      <c r="R170" s="27"/>
      <c r="S170" s="27"/>
      <c r="T170" s="27"/>
      <c r="U170" s="27"/>
      <c r="V170" s="27"/>
      <c r="W170" s="27"/>
      <c r="X170" s="27"/>
      <c r="Y170" s="27"/>
      <c r="Z170" s="27"/>
    </row>
    <row r="171">
      <c r="A171" s="30" t="s">
        <v>14541</v>
      </c>
      <c r="B171" s="30" t="s">
        <v>14542</v>
      </c>
      <c r="C171" s="30" t="s">
        <v>14543</v>
      </c>
      <c r="D171" s="30" t="s">
        <v>14544</v>
      </c>
      <c r="E171" s="30" t="s">
        <v>13925</v>
      </c>
      <c r="F171" s="32" t="s">
        <v>13989</v>
      </c>
      <c r="G171" s="35"/>
      <c r="H171" s="27"/>
      <c r="I171" s="27"/>
      <c r="J171" s="27"/>
      <c r="K171" s="27"/>
      <c r="L171" s="27"/>
      <c r="M171" s="27"/>
      <c r="N171" s="27"/>
      <c r="O171" s="27"/>
      <c r="P171" s="27"/>
      <c r="Q171" s="27"/>
      <c r="R171" s="27"/>
      <c r="S171" s="27"/>
      <c r="T171" s="27"/>
      <c r="U171" s="27"/>
      <c r="V171" s="27"/>
      <c r="W171" s="27"/>
      <c r="X171" s="27"/>
      <c r="Y171" s="27"/>
      <c r="Z171" s="27"/>
    </row>
    <row r="172">
      <c r="A172" s="33" t="s">
        <v>14545</v>
      </c>
      <c r="B172" s="33" t="s">
        <v>14546</v>
      </c>
      <c r="C172" s="34"/>
      <c r="D172" s="33" t="s">
        <v>14547</v>
      </c>
      <c r="E172" s="33" t="s">
        <v>13925</v>
      </c>
      <c r="F172" s="33" t="s">
        <v>3568</v>
      </c>
      <c r="G172" s="34"/>
      <c r="H172" s="27"/>
      <c r="I172" s="27"/>
      <c r="J172" s="27"/>
      <c r="K172" s="27"/>
      <c r="L172" s="27"/>
      <c r="M172" s="27"/>
      <c r="N172" s="27"/>
      <c r="O172" s="27"/>
      <c r="P172" s="27"/>
      <c r="Q172" s="27"/>
      <c r="R172" s="27"/>
      <c r="S172" s="27"/>
      <c r="T172" s="27"/>
      <c r="U172" s="27"/>
      <c r="V172" s="27"/>
      <c r="W172" s="27"/>
      <c r="X172" s="27"/>
      <c r="Y172" s="27"/>
      <c r="Z172" s="27"/>
    </row>
    <row r="173">
      <c r="A173" s="30" t="s">
        <v>12514</v>
      </c>
      <c r="B173" s="30" t="s">
        <v>14548</v>
      </c>
      <c r="C173" s="30" t="s">
        <v>14549</v>
      </c>
      <c r="D173" s="30" t="s">
        <v>14550</v>
      </c>
      <c r="E173" s="30" t="s">
        <v>13925</v>
      </c>
      <c r="F173" s="32" t="s">
        <v>14198</v>
      </c>
      <c r="G173" s="35"/>
      <c r="H173" s="27"/>
      <c r="I173" s="27"/>
      <c r="J173" s="27"/>
      <c r="K173" s="27"/>
      <c r="L173" s="27"/>
      <c r="M173" s="27"/>
      <c r="N173" s="27"/>
      <c r="O173" s="27"/>
      <c r="P173" s="27"/>
      <c r="Q173" s="27"/>
      <c r="R173" s="27"/>
      <c r="S173" s="27"/>
      <c r="T173" s="27"/>
      <c r="U173" s="27"/>
      <c r="V173" s="27"/>
      <c r="W173" s="27"/>
      <c r="X173" s="27"/>
      <c r="Y173" s="27"/>
      <c r="Z173" s="27"/>
    </row>
    <row r="174">
      <c r="A174" s="33" t="s">
        <v>14551</v>
      </c>
      <c r="B174" s="33" t="s">
        <v>14552</v>
      </c>
      <c r="C174" s="34"/>
      <c r="D174" s="33" t="s">
        <v>14553</v>
      </c>
      <c r="E174" s="33" t="s">
        <v>13925</v>
      </c>
      <c r="F174" s="33" t="s">
        <v>13971</v>
      </c>
      <c r="G174" s="34"/>
      <c r="H174" s="27"/>
      <c r="I174" s="27"/>
      <c r="J174" s="27"/>
      <c r="K174" s="27"/>
      <c r="L174" s="27"/>
      <c r="M174" s="27"/>
      <c r="N174" s="27"/>
      <c r="O174" s="27"/>
      <c r="P174" s="27"/>
      <c r="Q174" s="27"/>
      <c r="R174" s="27"/>
      <c r="S174" s="27"/>
      <c r="T174" s="27"/>
      <c r="U174" s="27"/>
      <c r="V174" s="27"/>
      <c r="W174" s="27"/>
      <c r="X174" s="27"/>
      <c r="Y174" s="27"/>
      <c r="Z174" s="27"/>
    </row>
    <row r="175">
      <c r="A175" s="30" t="s">
        <v>14554</v>
      </c>
      <c r="B175" s="30" t="s">
        <v>14555</v>
      </c>
      <c r="C175" s="30" t="s">
        <v>14556</v>
      </c>
      <c r="D175" s="30" t="s">
        <v>14557</v>
      </c>
      <c r="E175" s="30" t="s">
        <v>13925</v>
      </c>
      <c r="F175" s="32" t="s">
        <v>14558</v>
      </c>
      <c r="G175" s="35"/>
      <c r="H175" s="27"/>
      <c r="I175" s="27"/>
      <c r="J175" s="27"/>
      <c r="K175" s="27"/>
      <c r="L175" s="27"/>
      <c r="M175" s="27"/>
      <c r="N175" s="27"/>
      <c r="O175" s="27"/>
      <c r="P175" s="27"/>
      <c r="Q175" s="27"/>
      <c r="R175" s="27"/>
      <c r="S175" s="27"/>
      <c r="T175" s="27"/>
      <c r="U175" s="27"/>
      <c r="V175" s="27"/>
      <c r="W175" s="27"/>
      <c r="X175" s="27"/>
      <c r="Y175" s="27"/>
      <c r="Z175" s="27"/>
    </row>
    <row r="176">
      <c r="A176" s="33" t="s">
        <v>14559</v>
      </c>
      <c r="B176" s="33" t="s">
        <v>14560</v>
      </c>
      <c r="C176" s="34"/>
      <c r="D176" s="34"/>
      <c r="E176" s="33" t="s">
        <v>13925</v>
      </c>
      <c r="F176" s="33" t="s">
        <v>3568</v>
      </c>
      <c r="G176" s="34"/>
      <c r="H176" s="27"/>
      <c r="I176" s="27"/>
      <c r="J176" s="27"/>
      <c r="K176" s="27"/>
      <c r="L176" s="27"/>
      <c r="M176" s="27"/>
      <c r="N176" s="27"/>
      <c r="O176" s="27"/>
      <c r="P176" s="27"/>
      <c r="Q176" s="27"/>
      <c r="R176" s="27"/>
      <c r="S176" s="27"/>
      <c r="T176" s="27"/>
      <c r="U176" s="27"/>
      <c r="V176" s="27"/>
      <c r="W176" s="27"/>
      <c r="X176" s="27"/>
      <c r="Y176" s="27"/>
      <c r="Z176" s="27"/>
    </row>
    <row r="177">
      <c r="A177" s="30" t="s">
        <v>14561</v>
      </c>
      <c r="B177" s="30" t="s">
        <v>14562</v>
      </c>
      <c r="C177" s="31"/>
      <c r="D177" s="30" t="s">
        <v>14563</v>
      </c>
      <c r="E177" s="30" t="s">
        <v>13925</v>
      </c>
      <c r="F177" s="32" t="s">
        <v>14053</v>
      </c>
      <c r="G177" s="35"/>
      <c r="H177" s="27"/>
      <c r="I177" s="27"/>
      <c r="J177" s="27"/>
      <c r="K177" s="27"/>
      <c r="L177" s="27"/>
      <c r="M177" s="27"/>
      <c r="N177" s="27"/>
      <c r="O177" s="27"/>
      <c r="P177" s="27"/>
      <c r="Q177" s="27"/>
      <c r="R177" s="27"/>
      <c r="S177" s="27"/>
      <c r="T177" s="27"/>
      <c r="U177" s="27"/>
      <c r="V177" s="27"/>
      <c r="W177" s="27"/>
      <c r="X177" s="27"/>
      <c r="Y177" s="27"/>
      <c r="Z177" s="27"/>
    </row>
    <row r="178">
      <c r="A178" s="33" t="s">
        <v>14564</v>
      </c>
      <c r="B178" s="33" t="s">
        <v>14565</v>
      </c>
      <c r="C178" s="34"/>
      <c r="D178" s="34"/>
      <c r="E178" s="33" t="s">
        <v>13925</v>
      </c>
      <c r="F178" s="33" t="s">
        <v>3568</v>
      </c>
      <c r="G178" s="34"/>
      <c r="H178" s="27"/>
      <c r="I178" s="27"/>
      <c r="J178" s="27"/>
      <c r="K178" s="27"/>
      <c r="L178" s="27"/>
      <c r="M178" s="27"/>
      <c r="N178" s="27"/>
      <c r="O178" s="27"/>
      <c r="P178" s="27"/>
      <c r="Q178" s="27"/>
      <c r="R178" s="27"/>
      <c r="S178" s="27"/>
      <c r="T178" s="27"/>
      <c r="U178" s="27"/>
      <c r="V178" s="27"/>
      <c r="W178" s="27"/>
      <c r="X178" s="27"/>
      <c r="Y178" s="27"/>
      <c r="Z178" s="27"/>
    </row>
    <row r="179">
      <c r="A179" s="30" t="s">
        <v>14566</v>
      </c>
      <c r="B179" s="30" t="s">
        <v>14567</v>
      </c>
      <c r="C179" s="30" t="s">
        <v>14568</v>
      </c>
      <c r="D179" s="30" t="s">
        <v>14569</v>
      </c>
      <c r="E179" s="30" t="s">
        <v>13925</v>
      </c>
      <c r="F179" s="32" t="s">
        <v>3568</v>
      </c>
      <c r="G179" s="35"/>
      <c r="H179" s="27"/>
      <c r="I179" s="27"/>
      <c r="J179" s="27"/>
      <c r="K179" s="27"/>
      <c r="L179" s="27"/>
      <c r="M179" s="27"/>
      <c r="N179" s="27"/>
      <c r="O179" s="27"/>
      <c r="P179" s="27"/>
      <c r="Q179" s="27"/>
      <c r="R179" s="27"/>
      <c r="S179" s="27"/>
      <c r="T179" s="27"/>
      <c r="U179" s="27"/>
      <c r="V179" s="27"/>
      <c r="W179" s="27"/>
      <c r="X179" s="27"/>
      <c r="Y179" s="27"/>
      <c r="Z179" s="27"/>
    </row>
    <row r="180">
      <c r="A180" s="33" t="s">
        <v>14570</v>
      </c>
      <c r="B180" s="33" t="s">
        <v>14571</v>
      </c>
      <c r="C180" s="33" t="s">
        <v>14572</v>
      </c>
      <c r="D180" s="33" t="s">
        <v>14573</v>
      </c>
      <c r="E180" s="33" t="s">
        <v>13925</v>
      </c>
      <c r="F180" s="33" t="s">
        <v>3568</v>
      </c>
      <c r="G180" s="34"/>
      <c r="H180" s="27"/>
      <c r="I180" s="27"/>
      <c r="J180" s="27"/>
      <c r="K180" s="27"/>
      <c r="L180" s="27"/>
      <c r="M180" s="27"/>
      <c r="N180" s="27"/>
      <c r="O180" s="27"/>
      <c r="P180" s="27"/>
      <c r="Q180" s="27"/>
      <c r="R180" s="27"/>
      <c r="S180" s="27"/>
      <c r="T180" s="27"/>
      <c r="U180" s="27"/>
      <c r="V180" s="27"/>
      <c r="W180" s="27"/>
      <c r="X180" s="27"/>
      <c r="Y180" s="27"/>
      <c r="Z180" s="27"/>
    </row>
    <row r="181">
      <c r="A181" s="30" t="s">
        <v>14574</v>
      </c>
      <c r="B181" s="30" t="s">
        <v>14575</v>
      </c>
      <c r="C181" s="30" t="s">
        <v>14576</v>
      </c>
      <c r="D181" s="30" t="s">
        <v>14577</v>
      </c>
      <c r="E181" s="30" t="s">
        <v>13925</v>
      </c>
      <c r="F181" s="32" t="s">
        <v>3568</v>
      </c>
      <c r="G181" s="35"/>
      <c r="H181" s="27"/>
      <c r="I181" s="27"/>
      <c r="J181" s="27"/>
      <c r="K181" s="27"/>
      <c r="L181" s="27"/>
      <c r="M181" s="27"/>
      <c r="N181" s="27"/>
      <c r="O181" s="27"/>
      <c r="P181" s="27"/>
      <c r="Q181" s="27"/>
      <c r="R181" s="27"/>
      <c r="S181" s="27"/>
      <c r="T181" s="27"/>
      <c r="U181" s="27"/>
      <c r="V181" s="27"/>
      <c r="W181" s="27"/>
      <c r="X181" s="27"/>
      <c r="Y181" s="27"/>
      <c r="Z181" s="27"/>
    </row>
    <row r="182">
      <c r="A182" s="33" t="s">
        <v>14578</v>
      </c>
      <c r="B182" s="33" t="s">
        <v>14579</v>
      </c>
      <c r="C182" s="33" t="s">
        <v>14580</v>
      </c>
      <c r="D182" s="33" t="s">
        <v>14581</v>
      </c>
      <c r="E182" s="33" t="s">
        <v>13925</v>
      </c>
      <c r="F182" s="33" t="s">
        <v>13962</v>
      </c>
      <c r="G182" s="34"/>
      <c r="H182" s="27"/>
      <c r="I182" s="27"/>
      <c r="J182" s="27"/>
      <c r="K182" s="27"/>
      <c r="L182" s="27"/>
      <c r="M182" s="27"/>
      <c r="N182" s="27"/>
      <c r="O182" s="27"/>
      <c r="P182" s="27"/>
      <c r="Q182" s="27"/>
      <c r="R182" s="27"/>
      <c r="S182" s="27"/>
      <c r="T182" s="27"/>
      <c r="U182" s="27"/>
      <c r="V182" s="27"/>
      <c r="W182" s="27"/>
      <c r="X182" s="27"/>
      <c r="Y182" s="27"/>
      <c r="Z182" s="27"/>
    </row>
    <row r="183">
      <c r="A183" s="30" t="s">
        <v>14582</v>
      </c>
      <c r="B183" s="30" t="s">
        <v>14583</v>
      </c>
      <c r="C183" s="30" t="s">
        <v>14584</v>
      </c>
      <c r="D183" s="30" t="s">
        <v>14585</v>
      </c>
      <c r="E183" s="30" t="s">
        <v>13925</v>
      </c>
      <c r="F183" s="32" t="s">
        <v>13962</v>
      </c>
      <c r="G183" s="35"/>
      <c r="H183" s="27"/>
      <c r="I183" s="27"/>
      <c r="J183" s="27"/>
      <c r="K183" s="27"/>
      <c r="L183" s="27"/>
      <c r="M183" s="27"/>
      <c r="N183" s="27"/>
      <c r="O183" s="27"/>
      <c r="P183" s="27"/>
      <c r="Q183" s="27"/>
      <c r="R183" s="27"/>
      <c r="S183" s="27"/>
      <c r="T183" s="27"/>
      <c r="U183" s="27"/>
      <c r="V183" s="27"/>
      <c r="W183" s="27"/>
      <c r="X183" s="27"/>
      <c r="Y183" s="27"/>
      <c r="Z183" s="27"/>
    </row>
    <row r="184">
      <c r="A184" s="33" t="s">
        <v>14586</v>
      </c>
      <c r="B184" s="33" t="s">
        <v>14587</v>
      </c>
      <c r="C184" s="34"/>
      <c r="D184" s="33" t="s">
        <v>14588</v>
      </c>
      <c r="E184" s="33" t="s">
        <v>13925</v>
      </c>
      <c r="F184" s="33" t="s">
        <v>13989</v>
      </c>
      <c r="G184" s="34"/>
      <c r="H184" s="27"/>
      <c r="I184" s="27"/>
      <c r="J184" s="27"/>
      <c r="K184" s="27"/>
      <c r="L184" s="27"/>
      <c r="M184" s="27"/>
      <c r="N184" s="27"/>
      <c r="O184" s="27"/>
      <c r="P184" s="27"/>
      <c r="Q184" s="27"/>
      <c r="R184" s="27"/>
      <c r="S184" s="27"/>
      <c r="T184" s="27"/>
      <c r="U184" s="27"/>
      <c r="V184" s="27"/>
      <c r="W184" s="27"/>
      <c r="X184" s="27"/>
      <c r="Y184" s="27"/>
      <c r="Z184" s="27"/>
    </row>
    <row r="185">
      <c r="A185" s="30" t="s">
        <v>14589</v>
      </c>
      <c r="B185" s="30" t="s">
        <v>14590</v>
      </c>
      <c r="C185" s="31"/>
      <c r="D185" s="30" t="s">
        <v>14591</v>
      </c>
      <c r="E185" s="30" t="s">
        <v>13925</v>
      </c>
      <c r="F185" s="32" t="s">
        <v>3568</v>
      </c>
      <c r="G185" s="35"/>
      <c r="H185" s="27"/>
      <c r="I185" s="27"/>
      <c r="J185" s="27"/>
      <c r="K185" s="27"/>
      <c r="L185" s="27"/>
      <c r="M185" s="27"/>
      <c r="N185" s="27"/>
      <c r="O185" s="27"/>
      <c r="P185" s="27"/>
      <c r="Q185" s="27"/>
      <c r="R185" s="27"/>
      <c r="S185" s="27"/>
      <c r="T185" s="27"/>
      <c r="U185" s="27"/>
      <c r="V185" s="27"/>
      <c r="W185" s="27"/>
      <c r="X185" s="27"/>
      <c r="Y185" s="27"/>
      <c r="Z185" s="27"/>
    </row>
    <row r="186">
      <c r="A186" s="33" t="s">
        <v>14592</v>
      </c>
      <c r="B186" s="33" t="s">
        <v>14593</v>
      </c>
      <c r="C186" s="33" t="s">
        <v>14594</v>
      </c>
      <c r="D186" s="33" t="s">
        <v>14595</v>
      </c>
      <c r="E186" s="33" t="s">
        <v>13925</v>
      </c>
      <c r="F186" s="33" t="s">
        <v>14596</v>
      </c>
      <c r="G186" s="34"/>
      <c r="H186" s="27"/>
      <c r="I186" s="27"/>
      <c r="J186" s="27"/>
      <c r="K186" s="27"/>
      <c r="L186" s="27"/>
      <c r="M186" s="27"/>
      <c r="N186" s="27"/>
      <c r="O186" s="27"/>
      <c r="P186" s="27"/>
      <c r="Q186" s="27"/>
      <c r="R186" s="27"/>
      <c r="S186" s="27"/>
      <c r="T186" s="27"/>
      <c r="U186" s="27"/>
      <c r="V186" s="27"/>
      <c r="W186" s="27"/>
      <c r="X186" s="27"/>
      <c r="Y186" s="27"/>
      <c r="Z186" s="27"/>
    </row>
    <row r="187">
      <c r="A187" s="30" t="s">
        <v>14597</v>
      </c>
      <c r="B187" s="30" t="s">
        <v>14598</v>
      </c>
      <c r="C187" s="30" t="s">
        <v>14599</v>
      </c>
      <c r="D187" s="30" t="s">
        <v>14600</v>
      </c>
      <c r="E187" s="30" t="s">
        <v>13925</v>
      </c>
      <c r="F187" s="32" t="s">
        <v>3568</v>
      </c>
      <c r="G187" s="35"/>
      <c r="H187" s="27"/>
      <c r="I187" s="27"/>
      <c r="J187" s="27"/>
      <c r="K187" s="27"/>
      <c r="L187" s="27"/>
      <c r="M187" s="27"/>
      <c r="N187" s="27"/>
      <c r="O187" s="27"/>
      <c r="P187" s="27"/>
      <c r="Q187" s="27"/>
      <c r="R187" s="27"/>
      <c r="S187" s="27"/>
      <c r="T187" s="27"/>
      <c r="U187" s="27"/>
      <c r="V187" s="27"/>
      <c r="W187" s="27"/>
      <c r="X187" s="27"/>
      <c r="Y187" s="27"/>
      <c r="Z187" s="27"/>
    </row>
    <row r="188">
      <c r="A188" s="33" t="s">
        <v>14601</v>
      </c>
      <c r="B188" s="33" t="s">
        <v>14602</v>
      </c>
      <c r="C188" s="33" t="s">
        <v>14603</v>
      </c>
      <c r="D188" s="33" t="s">
        <v>14604</v>
      </c>
      <c r="E188" s="33" t="s">
        <v>13925</v>
      </c>
      <c r="F188" s="33" t="s">
        <v>3568</v>
      </c>
      <c r="G188" s="34"/>
      <c r="H188" s="27"/>
      <c r="I188" s="27"/>
      <c r="J188" s="27"/>
      <c r="K188" s="27"/>
      <c r="L188" s="27"/>
      <c r="M188" s="27"/>
      <c r="N188" s="27"/>
      <c r="O188" s="27"/>
      <c r="P188" s="27"/>
      <c r="Q188" s="27"/>
      <c r="R188" s="27"/>
      <c r="S188" s="27"/>
      <c r="T188" s="27"/>
      <c r="U188" s="27"/>
      <c r="V188" s="27"/>
      <c r="W188" s="27"/>
      <c r="X188" s="27"/>
      <c r="Y188" s="27"/>
      <c r="Z188" s="27"/>
    </row>
    <row r="189">
      <c r="A189" s="30" t="s">
        <v>14605</v>
      </c>
      <c r="B189" s="30" t="s">
        <v>14606</v>
      </c>
      <c r="C189" s="30" t="s">
        <v>14607</v>
      </c>
      <c r="D189" s="30" t="s">
        <v>14608</v>
      </c>
      <c r="E189" s="30" t="s">
        <v>13925</v>
      </c>
      <c r="F189" s="32" t="s">
        <v>13989</v>
      </c>
      <c r="G189" s="35"/>
      <c r="H189" s="27"/>
      <c r="I189" s="27"/>
      <c r="J189" s="27"/>
      <c r="K189" s="27"/>
      <c r="L189" s="27"/>
      <c r="M189" s="27"/>
      <c r="N189" s="27"/>
      <c r="O189" s="27"/>
      <c r="P189" s="27"/>
      <c r="Q189" s="27"/>
      <c r="R189" s="27"/>
      <c r="S189" s="27"/>
      <c r="T189" s="27"/>
      <c r="U189" s="27"/>
      <c r="V189" s="27"/>
      <c r="W189" s="27"/>
      <c r="X189" s="27"/>
      <c r="Y189" s="27"/>
      <c r="Z189" s="27"/>
    </row>
    <row r="190">
      <c r="A190" s="33" t="s">
        <v>14609</v>
      </c>
      <c r="B190" s="33" t="s">
        <v>14610</v>
      </c>
      <c r="C190" s="33" t="s">
        <v>14611</v>
      </c>
      <c r="D190" s="33" t="s">
        <v>14612</v>
      </c>
      <c r="E190" s="33" t="s">
        <v>13925</v>
      </c>
      <c r="F190" s="33" t="s">
        <v>13981</v>
      </c>
      <c r="G190" s="34"/>
      <c r="H190" s="27"/>
      <c r="I190" s="27"/>
      <c r="J190" s="27"/>
      <c r="K190" s="27"/>
      <c r="L190" s="27"/>
      <c r="M190" s="27"/>
      <c r="N190" s="27"/>
      <c r="O190" s="27"/>
      <c r="P190" s="27"/>
      <c r="Q190" s="27"/>
      <c r="R190" s="27"/>
      <c r="S190" s="27"/>
      <c r="T190" s="27"/>
      <c r="U190" s="27"/>
      <c r="V190" s="27"/>
      <c r="W190" s="27"/>
      <c r="X190" s="27"/>
      <c r="Y190" s="27"/>
      <c r="Z190" s="27"/>
    </row>
    <row r="191">
      <c r="A191" s="30" t="s">
        <v>14613</v>
      </c>
      <c r="B191" s="30" t="s">
        <v>14614</v>
      </c>
      <c r="C191" s="30" t="s">
        <v>14615</v>
      </c>
      <c r="D191" s="30" t="s">
        <v>14616</v>
      </c>
      <c r="E191" s="30" t="s">
        <v>13925</v>
      </c>
      <c r="F191" s="32" t="s">
        <v>13966</v>
      </c>
      <c r="G191" s="35"/>
      <c r="H191" s="27"/>
      <c r="I191" s="27"/>
      <c r="J191" s="27"/>
      <c r="K191" s="27"/>
      <c r="L191" s="27"/>
      <c r="M191" s="27"/>
      <c r="N191" s="27"/>
      <c r="O191" s="27"/>
      <c r="P191" s="27"/>
      <c r="Q191" s="27"/>
      <c r="R191" s="27"/>
      <c r="S191" s="27"/>
      <c r="T191" s="27"/>
      <c r="U191" s="27"/>
      <c r="V191" s="27"/>
      <c r="W191" s="27"/>
      <c r="X191" s="27"/>
      <c r="Y191" s="27"/>
      <c r="Z191" s="27"/>
    </row>
    <row r="192">
      <c r="A192" s="33" t="s">
        <v>14617</v>
      </c>
      <c r="B192" s="33" t="s">
        <v>14618</v>
      </c>
      <c r="C192" s="34"/>
      <c r="D192" s="33" t="s">
        <v>14619</v>
      </c>
      <c r="E192" s="33" t="s">
        <v>13925</v>
      </c>
      <c r="F192" s="33" t="s">
        <v>13962</v>
      </c>
      <c r="G192" s="34"/>
      <c r="H192" s="27"/>
      <c r="I192" s="27"/>
      <c r="J192" s="27"/>
      <c r="K192" s="27"/>
      <c r="L192" s="27"/>
      <c r="M192" s="27"/>
      <c r="N192" s="27"/>
      <c r="O192" s="27"/>
      <c r="P192" s="27"/>
      <c r="Q192" s="27"/>
      <c r="R192" s="27"/>
      <c r="S192" s="27"/>
      <c r="T192" s="27"/>
      <c r="U192" s="27"/>
      <c r="V192" s="27"/>
      <c r="W192" s="27"/>
      <c r="X192" s="27"/>
      <c r="Y192" s="27"/>
      <c r="Z192" s="27"/>
    </row>
    <row r="193">
      <c r="A193" s="30" t="s">
        <v>14620</v>
      </c>
      <c r="B193" s="30" t="s">
        <v>14621</v>
      </c>
      <c r="C193" s="31"/>
      <c r="D193" s="31"/>
      <c r="E193" s="30" t="s">
        <v>13925</v>
      </c>
      <c r="F193" s="32" t="s">
        <v>816</v>
      </c>
      <c r="G193" s="35"/>
      <c r="H193" s="27"/>
      <c r="I193" s="27"/>
      <c r="J193" s="27"/>
      <c r="K193" s="27"/>
      <c r="L193" s="27"/>
      <c r="M193" s="27"/>
      <c r="N193" s="27"/>
      <c r="O193" s="27"/>
      <c r="P193" s="27"/>
      <c r="Q193" s="27"/>
      <c r="R193" s="27"/>
      <c r="S193" s="27"/>
      <c r="T193" s="27"/>
      <c r="U193" s="27"/>
      <c r="V193" s="27"/>
      <c r="W193" s="27"/>
      <c r="X193" s="27"/>
      <c r="Y193" s="27"/>
      <c r="Z193" s="27"/>
    </row>
    <row r="194">
      <c r="A194" s="33" t="s">
        <v>14622</v>
      </c>
      <c r="B194" s="33" t="s">
        <v>14623</v>
      </c>
      <c r="C194" s="34"/>
      <c r="D194" s="34"/>
      <c r="E194" s="33" t="s">
        <v>13925</v>
      </c>
      <c r="F194" s="33" t="s">
        <v>14053</v>
      </c>
      <c r="G194" s="34"/>
      <c r="H194" s="27"/>
      <c r="I194" s="27"/>
      <c r="J194" s="27"/>
      <c r="K194" s="27"/>
      <c r="L194" s="27"/>
      <c r="M194" s="27"/>
      <c r="N194" s="27"/>
      <c r="O194" s="27"/>
      <c r="P194" s="27"/>
      <c r="Q194" s="27"/>
      <c r="R194" s="27"/>
      <c r="S194" s="27"/>
      <c r="T194" s="27"/>
      <c r="U194" s="27"/>
      <c r="V194" s="27"/>
      <c r="W194" s="27"/>
      <c r="X194" s="27"/>
      <c r="Y194" s="27"/>
      <c r="Z194" s="27"/>
    </row>
    <row r="195">
      <c r="A195" s="30" t="s">
        <v>14624</v>
      </c>
      <c r="B195" s="30" t="s">
        <v>14625</v>
      </c>
      <c r="C195" s="30" t="s">
        <v>14626</v>
      </c>
      <c r="D195" s="31"/>
      <c r="E195" s="30" t="s">
        <v>13925</v>
      </c>
      <c r="F195" s="32" t="s">
        <v>13971</v>
      </c>
      <c r="G195" s="35"/>
      <c r="H195" s="27"/>
      <c r="I195" s="27"/>
      <c r="J195" s="27"/>
      <c r="K195" s="27"/>
      <c r="L195" s="27"/>
      <c r="M195" s="27"/>
      <c r="N195" s="27"/>
      <c r="O195" s="27"/>
      <c r="P195" s="27"/>
      <c r="Q195" s="27"/>
      <c r="R195" s="27"/>
      <c r="S195" s="27"/>
      <c r="T195" s="27"/>
      <c r="U195" s="27"/>
      <c r="V195" s="27"/>
      <c r="W195" s="27"/>
      <c r="X195" s="27"/>
      <c r="Y195" s="27"/>
      <c r="Z195" s="27"/>
    </row>
    <row r="196">
      <c r="A196" s="33" t="s">
        <v>14627</v>
      </c>
      <c r="B196" s="33" t="s">
        <v>11497</v>
      </c>
      <c r="C196" s="34"/>
      <c r="D196" s="33" t="s">
        <v>14628</v>
      </c>
      <c r="E196" s="33" t="s">
        <v>13925</v>
      </c>
      <c r="F196" s="33" t="s">
        <v>13981</v>
      </c>
      <c r="G196" s="34"/>
      <c r="H196" s="27"/>
      <c r="I196" s="27"/>
      <c r="J196" s="27"/>
      <c r="K196" s="27"/>
      <c r="L196" s="27"/>
      <c r="M196" s="27"/>
      <c r="N196" s="27"/>
      <c r="O196" s="27"/>
      <c r="P196" s="27"/>
      <c r="Q196" s="27"/>
      <c r="R196" s="27"/>
      <c r="S196" s="27"/>
      <c r="T196" s="27"/>
      <c r="U196" s="27"/>
      <c r="V196" s="27"/>
      <c r="W196" s="27"/>
      <c r="X196" s="27"/>
      <c r="Y196" s="27"/>
      <c r="Z196" s="27"/>
    </row>
    <row r="197">
      <c r="A197" s="30" t="s">
        <v>14629</v>
      </c>
      <c r="B197" s="30" t="s">
        <v>14630</v>
      </c>
      <c r="C197" s="31"/>
      <c r="D197" s="30" t="s">
        <v>14631</v>
      </c>
      <c r="E197" s="30" t="s">
        <v>13925</v>
      </c>
      <c r="F197" s="32" t="s">
        <v>13962</v>
      </c>
      <c r="G197" s="35"/>
      <c r="H197" s="27"/>
      <c r="I197" s="27"/>
      <c r="J197" s="27"/>
      <c r="K197" s="27"/>
      <c r="L197" s="27"/>
      <c r="M197" s="27"/>
      <c r="N197" s="27"/>
      <c r="O197" s="27"/>
      <c r="P197" s="27"/>
      <c r="Q197" s="27"/>
      <c r="R197" s="27"/>
      <c r="S197" s="27"/>
      <c r="T197" s="27"/>
      <c r="U197" s="27"/>
      <c r="V197" s="27"/>
      <c r="W197" s="27"/>
      <c r="X197" s="27"/>
      <c r="Y197" s="27"/>
      <c r="Z197" s="27"/>
    </row>
    <row r="198">
      <c r="A198" s="33" t="s">
        <v>14632</v>
      </c>
      <c r="B198" s="33" t="s">
        <v>11444</v>
      </c>
      <c r="C198" s="33" t="s">
        <v>14633</v>
      </c>
      <c r="D198" s="33" t="s">
        <v>14634</v>
      </c>
      <c r="E198" s="33" t="s">
        <v>13925</v>
      </c>
      <c r="F198" s="33" t="s">
        <v>13962</v>
      </c>
      <c r="G198" s="34"/>
      <c r="H198" s="27"/>
      <c r="I198" s="27"/>
      <c r="J198" s="27"/>
      <c r="K198" s="27"/>
      <c r="L198" s="27"/>
      <c r="M198" s="27"/>
      <c r="N198" s="27"/>
      <c r="O198" s="27"/>
      <c r="P198" s="27"/>
      <c r="Q198" s="27"/>
      <c r="R198" s="27"/>
      <c r="S198" s="27"/>
      <c r="T198" s="27"/>
      <c r="U198" s="27"/>
      <c r="V198" s="27"/>
      <c r="W198" s="27"/>
      <c r="X198" s="27"/>
      <c r="Y198" s="27"/>
      <c r="Z198" s="27"/>
    </row>
    <row r="199">
      <c r="A199" s="30" t="s">
        <v>14635</v>
      </c>
      <c r="B199" s="30" t="s">
        <v>14636</v>
      </c>
      <c r="C199" s="31"/>
      <c r="D199" s="30" t="s">
        <v>14637</v>
      </c>
      <c r="E199" s="30" t="s">
        <v>13925</v>
      </c>
      <c r="F199" s="32" t="s">
        <v>3568</v>
      </c>
      <c r="G199" s="35"/>
      <c r="H199" s="27"/>
      <c r="I199" s="27"/>
      <c r="J199" s="27"/>
      <c r="K199" s="27"/>
      <c r="L199" s="27"/>
      <c r="M199" s="27"/>
      <c r="N199" s="27"/>
      <c r="O199" s="27"/>
      <c r="P199" s="27"/>
      <c r="Q199" s="27"/>
      <c r="R199" s="27"/>
      <c r="S199" s="27"/>
      <c r="T199" s="27"/>
      <c r="U199" s="27"/>
      <c r="V199" s="27"/>
      <c r="W199" s="27"/>
      <c r="X199" s="27"/>
      <c r="Y199" s="27"/>
      <c r="Z199" s="27"/>
    </row>
    <row r="200">
      <c r="A200" s="33" t="s">
        <v>14638</v>
      </c>
      <c r="B200" s="33" t="s">
        <v>14639</v>
      </c>
      <c r="C200" s="33" t="s">
        <v>14640</v>
      </c>
      <c r="D200" s="33" t="s">
        <v>14641</v>
      </c>
      <c r="E200" s="33" t="s">
        <v>13925</v>
      </c>
      <c r="F200" s="33" t="s">
        <v>3568</v>
      </c>
      <c r="G200" s="34"/>
      <c r="H200" s="27"/>
      <c r="I200" s="27"/>
      <c r="J200" s="27"/>
      <c r="K200" s="27"/>
      <c r="L200" s="27"/>
      <c r="M200" s="27"/>
      <c r="N200" s="27"/>
      <c r="O200" s="27"/>
      <c r="P200" s="27"/>
      <c r="Q200" s="27"/>
      <c r="R200" s="27"/>
      <c r="S200" s="27"/>
      <c r="T200" s="27"/>
      <c r="U200" s="27"/>
      <c r="V200" s="27"/>
      <c r="W200" s="27"/>
      <c r="X200" s="27"/>
      <c r="Y200" s="27"/>
      <c r="Z200" s="27"/>
    </row>
    <row r="201">
      <c r="A201" s="30" t="s">
        <v>14642</v>
      </c>
      <c r="B201" s="30" t="s">
        <v>14643</v>
      </c>
      <c r="C201" s="31"/>
      <c r="D201" s="30" t="s">
        <v>14644</v>
      </c>
      <c r="E201" s="30" t="s">
        <v>13925</v>
      </c>
      <c r="F201" s="32" t="s">
        <v>14645</v>
      </c>
      <c r="G201" s="35"/>
      <c r="H201" s="27"/>
      <c r="I201" s="27"/>
      <c r="J201" s="27"/>
      <c r="K201" s="27"/>
      <c r="L201" s="27"/>
      <c r="M201" s="27"/>
      <c r="N201" s="27"/>
      <c r="O201" s="27"/>
      <c r="P201" s="27"/>
      <c r="Q201" s="27"/>
      <c r="R201" s="27"/>
      <c r="S201" s="27"/>
      <c r="T201" s="27"/>
      <c r="U201" s="27"/>
      <c r="V201" s="27"/>
      <c r="W201" s="27"/>
      <c r="X201" s="27"/>
      <c r="Y201" s="27"/>
      <c r="Z201" s="27"/>
    </row>
    <row r="202">
      <c r="A202" s="33" t="s">
        <v>14646</v>
      </c>
      <c r="B202" s="33" t="s">
        <v>14647</v>
      </c>
      <c r="C202" s="33" t="s">
        <v>14648</v>
      </c>
      <c r="D202" s="34"/>
      <c r="E202" s="33" t="s">
        <v>13925</v>
      </c>
      <c r="F202" s="33" t="s">
        <v>13989</v>
      </c>
      <c r="G202" s="34"/>
      <c r="H202" s="27"/>
      <c r="I202" s="27"/>
      <c r="J202" s="27"/>
      <c r="K202" s="27"/>
      <c r="L202" s="27"/>
      <c r="M202" s="27"/>
      <c r="N202" s="27"/>
      <c r="O202" s="27"/>
      <c r="P202" s="27"/>
      <c r="Q202" s="27"/>
      <c r="R202" s="27"/>
      <c r="S202" s="27"/>
      <c r="T202" s="27"/>
      <c r="U202" s="27"/>
      <c r="V202" s="27"/>
      <c r="W202" s="27"/>
      <c r="X202" s="27"/>
      <c r="Y202" s="27"/>
      <c r="Z202" s="27"/>
    </row>
    <row r="203">
      <c r="A203" s="30" t="s">
        <v>14649</v>
      </c>
      <c r="B203" s="30" t="s">
        <v>14650</v>
      </c>
      <c r="C203" s="31"/>
      <c r="D203" s="30" t="s">
        <v>14651</v>
      </c>
      <c r="E203" s="30" t="s">
        <v>13925</v>
      </c>
      <c r="F203" s="32" t="s">
        <v>14652</v>
      </c>
      <c r="G203" s="35"/>
      <c r="H203" s="27"/>
      <c r="I203" s="27"/>
      <c r="J203" s="27"/>
      <c r="K203" s="27"/>
      <c r="L203" s="27"/>
      <c r="M203" s="27"/>
      <c r="N203" s="27"/>
      <c r="O203" s="27"/>
      <c r="P203" s="27"/>
      <c r="Q203" s="27"/>
      <c r="R203" s="27"/>
      <c r="S203" s="27"/>
      <c r="T203" s="27"/>
      <c r="U203" s="27"/>
      <c r="V203" s="27"/>
      <c r="W203" s="27"/>
      <c r="X203" s="27"/>
      <c r="Y203" s="27"/>
      <c r="Z203" s="27"/>
    </row>
    <row r="204">
      <c r="A204" s="33" t="s">
        <v>14653</v>
      </c>
      <c r="B204" s="33" t="s">
        <v>14654</v>
      </c>
      <c r="C204" s="34"/>
      <c r="D204" s="33" t="s">
        <v>14655</v>
      </c>
      <c r="E204" s="33" t="s">
        <v>13925</v>
      </c>
      <c r="F204" s="33" t="s">
        <v>3568</v>
      </c>
      <c r="G204" s="34"/>
      <c r="H204" s="27"/>
      <c r="I204" s="27"/>
      <c r="J204" s="27"/>
      <c r="K204" s="27"/>
      <c r="L204" s="27"/>
      <c r="M204" s="27"/>
      <c r="N204" s="27"/>
      <c r="O204" s="27"/>
      <c r="P204" s="27"/>
      <c r="Q204" s="27"/>
      <c r="R204" s="27"/>
      <c r="S204" s="27"/>
      <c r="T204" s="27"/>
      <c r="U204" s="27"/>
      <c r="V204" s="27"/>
      <c r="W204" s="27"/>
      <c r="X204" s="27"/>
      <c r="Y204" s="27"/>
      <c r="Z204" s="27"/>
    </row>
    <row r="205">
      <c r="A205" s="30" t="s">
        <v>14656</v>
      </c>
      <c r="B205" s="30" t="s">
        <v>14657</v>
      </c>
      <c r="C205" s="30" t="s">
        <v>14658</v>
      </c>
      <c r="D205" s="30" t="s">
        <v>14659</v>
      </c>
      <c r="E205" s="30" t="s">
        <v>13925</v>
      </c>
      <c r="F205" s="32" t="s">
        <v>13962</v>
      </c>
      <c r="G205" s="35"/>
      <c r="H205" s="27"/>
      <c r="I205" s="27"/>
      <c r="J205" s="27"/>
      <c r="K205" s="27"/>
      <c r="L205" s="27"/>
      <c r="M205" s="27"/>
      <c r="N205" s="27"/>
      <c r="O205" s="27"/>
      <c r="P205" s="27"/>
      <c r="Q205" s="27"/>
      <c r="R205" s="27"/>
      <c r="S205" s="27"/>
      <c r="T205" s="27"/>
      <c r="U205" s="27"/>
      <c r="V205" s="27"/>
      <c r="W205" s="27"/>
      <c r="X205" s="27"/>
      <c r="Y205" s="27"/>
      <c r="Z205" s="27"/>
    </row>
    <row r="206">
      <c r="A206" s="33" t="s">
        <v>14660</v>
      </c>
      <c r="B206" s="33" t="s">
        <v>14661</v>
      </c>
      <c r="C206" s="34"/>
      <c r="D206" s="33" t="s">
        <v>14662</v>
      </c>
      <c r="E206" s="33" t="s">
        <v>13925</v>
      </c>
      <c r="F206" s="33" t="s">
        <v>3568</v>
      </c>
      <c r="G206" s="34"/>
      <c r="H206" s="27"/>
      <c r="I206" s="27"/>
      <c r="J206" s="27"/>
      <c r="K206" s="27"/>
      <c r="L206" s="27"/>
      <c r="M206" s="27"/>
      <c r="N206" s="27"/>
      <c r="O206" s="27"/>
      <c r="P206" s="27"/>
      <c r="Q206" s="27"/>
      <c r="R206" s="27"/>
      <c r="S206" s="27"/>
      <c r="T206" s="27"/>
      <c r="U206" s="27"/>
      <c r="V206" s="27"/>
      <c r="W206" s="27"/>
      <c r="X206" s="27"/>
      <c r="Y206" s="27"/>
      <c r="Z206" s="27"/>
    </row>
    <row r="207">
      <c r="A207" s="30" t="s">
        <v>14663</v>
      </c>
      <c r="B207" s="30" t="s">
        <v>14664</v>
      </c>
      <c r="C207" s="30" t="s">
        <v>14665</v>
      </c>
      <c r="D207" s="30" t="s">
        <v>14666</v>
      </c>
      <c r="E207" s="30" t="s">
        <v>13925</v>
      </c>
      <c r="F207" s="32" t="s">
        <v>13981</v>
      </c>
      <c r="G207" s="35"/>
      <c r="H207" s="27"/>
      <c r="I207" s="27"/>
      <c r="J207" s="27"/>
      <c r="K207" s="27"/>
      <c r="L207" s="27"/>
      <c r="M207" s="27"/>
      <c r="N207" s="27"/>
      <c r="O207" s="27"/>
      <c r="P207" s="27"/>
      <c r="Q207" s="27"/>
      <c r="R207" s="27"/>
      <c r="S207" s="27"/>
      <c r="T207" s="27"/>
      <c r="U207" s="27"/>
      <c r="V207" s="27"/>
      <c r="W207" s="27"/>
      <c r="X207" s="27"/>
      <c r="Y207" s="27"/>
      <c r="Z207" s="27"/>
    </row>
    <row r="208">
      <c r="A208" s="33" t="s">
        <v>14667</v>
      </c>
      <c r="B208" s="33" t="s">
        <v>14668</v>
      </c>
      <c r="C208" s="33" t="s">
        <v>14174</v>
      </c>
      <c r="D208" s="33" t="s">
        <v>14669</v>
      </c>
      <c r="E208" s="33" t="s">
        <v>13925</v>
      </c>
      <c r="F208" s="33" t="s">
        <v>3568</v>
      </c>
      <c r="G208" s="34"/>
      <c r="H208" s="27"/>
      <c r="I208" s="27"/>
      <c r="J208" s="27"/>
      <c r="K208" s="27"/>
      <c r="L208" s="27"/>
      <c r="M208" s="27"/>
      <c r="N208" s="27"/>
      <c r="O208" s="27"/>
      <c r="P208" s="27"/>
      <c r="Q208" s="27"/>
      <c r="R208" s="27"/>
      <c r="S208" s="27"/>
      <c r="T208" s="27"/>
      <c r="U208" s="27"/>
      <c r="V208" s="27"/>
      <c r="W208" s="27"/>
      <c r="X208" s="27"/>
      <c r="Y208" s="27"/>
      <c r="Z208" s="27"/>
    </row>
    <row r="209">
      <c r="A209" s="30" t="s">
        <v>14670</v>
      </c>
      <c r="B209" s="30" t="s">
        <v>14671</v>
      </c>
      <c r="C209" s="30" t="s">
        <v>14672</v>
      </c>
      <c r="D209" s="30" t="s">
        <v>14673</v>
      </c>
      <c r="E209" s="30" t="s">
        <v>13925</v>
      </c>
      <c r="F209" s="32" t="s">
        <v>13989</v>
      </c>
      <c r="G209" s="35"/>
      <c r="H209" s="27"/>
      <c r="I209" s="27"/>
      <c r="J209" s="27"/>
      <c r="K209" s="27"/>
      <c r="L209" s="27"/>
      <c r="M209" s="27"/>
      <c r="N209" s="27"/>
      <c r="O209" s="27"/>
      <c r="P209" s="27"/>
      <c r="Q209" s="27"/>
      <c r="R209" s="27"/>
      <c r="S209" s="27"/>
      <c r="T209" s="27"/>
      <c r="U209" s="27"/>
      <c r="V209" s="27"/>
      <c r="W209" s="27"/>
      <c r="X209" s="27"/>
      <c r="Y209" s="27"/>
      <c r="Z209" s="27"/>
    </row>
    <row r="210">
      <c r="A210" s="33" t="s">
        <v>14674</v>
      </c>
      <c r="B210" s="33" t="s">
        <v>14675</v>
      </c>
      <c r="C210" s="34"/>
      <c r="D210" s="33" t="s">
        <v>14676</v>
      </c>
      <c r="E210" s="33" t="s">
        <v>13925</v>
      </c>
      <c r="F210" s="33" t="s">
        <v>3568</v>
      </c>
      <c r="G210" s="34"/>
      <c r="H210" s="27"/>
      <c r="I210" s="27"/>
      <c r="J210" s="27"/>
      <c r="K210" s="27"/>
      <c r="L210" s="27"/>
      <c r="M210" s="27"/>
      <c r="N210" s="27"/>
      <c r="O210" s="27"/>
      <c r="P210" s="27"/>
      <c r="Q210" s="27"/>
      <c r="R210" s="27"/>
      <c r="S210" s="27"/>
      <c r="T210" s="27"/>
      <c r="U210" s="27"/>
      <c r="V210" s="27"/>
      <c r="W210" s="27"/>
      <c r="X210" s="27"/>
      <c r="Y210" s="27"/>
      <c r="Z210" s="27"/>
    </row>
    <row r="211">
      <c r="A211" s="30" t="s">
        <v>14677</v>
      </c>
      <c r="B211" s="30" t="s">
        <v>14678</v>
      </c>
      <c r="C211" s="31"/>
      <c r="D211" s="30" t="s">
        <v>14679</v>
      </c>
      <c r="E211" s="30" t="s">
        <v>13925</v>
      </c>
      <c r="F211" s="32" t="s">
        <v>13989</v>
      </c>
      <c r="G211" s="35"/>
      <c r="H211" s="27"/>
      <c r="I211" s="27"/>
      <c r="J211" s="27"/>
      <c r="K211" s="27"/>
      <c r="L211" s="27"/>
      <c r="M211" s="27"/>
      <c r="N211" s="27"/>
      <c r="O211" s="27"/>
      <c r="P211" s="27"/>
      <c r="Q211" s="27"/>
      <c r="R211" s="27"/>
      <c r="S211" s="27"/>
      <c r="T211" s="27"/>
      <c r="U211" s="27"/>
      <c r="V211" s="27"/>
      <c r="W211" s="27"/>
      <c r="X211" s="27"/>
      <c r="Y211" s="27"/>
      <c r="Z211" s="27"/>
    </row>
    <row r="212">
      <c r="A212" s="33" t="s">
        <v>14680</v>
      </c>
      <c r="B212" s="33" t="s">
        <v>12879</v>
      </c>
      <c r="C212" s="33" t="s">
        <v>14681</v>
      </c>
      <c r="D212" s="33" t="s">
        <v>14682</v>
      </c>
      <c r="E212" s="33" t="s">
        <v>13925</v>
      </c>
      <c r="F212" s="33" t="s">
        <v>3568</v>
      </c>
      <c r="G212" s="34"/>
      <c r="H212" s="27"/>
      <c r="I212" s="27"/>
      <c r="J212" s="27"/>
      <c r="K212" s="27"/>
      <c r="L212" s="27"/>
      <c r="M212" s="27"/>
      <c r="N212" s="27"/>
      <c r="O212" s="27"/>
      <c r="P212" s="27"/>
      <c r="Q212" s="27"/>
      <c r="R212" s="27"/>
      <c r="S212" s="27"/>
      <c r="T212" s="27"/>
      <c r="U212" s="27"/>
      <c r="V212" s="27"/>
      <c r="W212" s="27"/>
      <c r="X212" s="27"/>
      <c r="Y212" s="27"/>
      <c r="Z212" s="27"/>
    </row>
    <row r="213">
      <c r="A213" s="30" t="s">
        <v>14683</v>
      </c>
      <c r="B213" s="30" t="s">
        <v>14684</v>
      </c>
      <c r="C213" s="30" t="s">
        <v>14685</v>
      </c>
      <c r="D213" s="30" t="s">
        <v>14686</v>
      </c>
      <c r="E213" s="30" t="s">
        <v>13925</v>
      </c>
      <c r="F213" s="32" t="s">
        <v>3568</v>
      </c>
      <c r="G213" s="35"/>
      <c r="H213" s="27"/>
      <c r="I213" s="27"/>
      <c r="J213" s="27"/>
      <c r="K213" s="27"/>
      <c r="L213" s="27"/>
      <c r="M213" s="27"/>
      <c r="N213" s="27"/>
      <c r="O213" s="27"/>
      <c r="P213" s="27"/>
      <c r="Q213" s="27"/>
      <c r="R213" s="27"/>
      <c r="S213" s="27"/>
      <c r="T213" s="27"/>
      <c r="U213" s="27"/>
      <c r="V213" s="27"/>
      <c r="W213" s="27"/>
      <c r="X213" s="27"/>
      <c r="Y213" s="27"/>
      <c r="Z213" s="27"/>
    </row>
    <row r="214">
      <c r="A214" s="33" t="s">
        <v>14687</v>
      </c>
      <c r="B214" s="33" t="s">
        <v>14688</v>
      </c>
      <c r="C214" s="33" t="s">
        <v>14689</v>
      </c>
      <c r="D214" s="34"/>
      <c r="E214" s="33" t="s">
        <v>13925</v>
      </c>
      <c r="F214" s="33" t="s">
        <v>14690</v>
      </c>
      <c r="G214" s="34"/>
      <c r="H214" s="27"/>
      <c r="I214" s="27"/>
      <c r="J214" s="27"/>
      <c r="K214" s="27"/>
      <c r="L214" s="27"/>
      <c r="M214" s="27"/>
      <c r="N214" s="27"/>
      <c r="O214" s="27"/>
      <c r="P214" s="27"/>
      <c r="Q214" s="27"/>
      <c r="R214" s="27"/>
      <c r="S214" s="27"/>
      <c r="T214" s="27"/>
      <c r="U214" s="27"/>
      <c r="V214" s="27"/>
      <c r="W214" s="27"/>
      <c r="X214" s="27"/>
      <c r="Y214" s="27"/>
      <c r="Z214" s="27"/>
    </row>
    <row r="215">
      <c r="A215" s="30" t="s">
        <v>14691</v>
      </c>
      <c r="B215" s="30" t="s">
        <v>14692</v>
      </c>
      <c r="C215" s="30" t="s">
        <v>14693</v>
      </c>
      <c r="D215" s="30" t="s">
        <v>14694</v>
      </c>
      <c r="E215" s="30" t="s">
        <v>13925</v>
      </c>
      <c r="F215" s="32" t="s">
        <v>13931</v>
      </c>
      <c r="G215" s="35"/>
      <c r="H215" s="27"/>
      <c r="I215" s="27"/>
      <c r="J215" s="27"/>
      <c r="K215" s="27"/>
      <c r="L215" s="27"/>
      <c r="M215" s="27"/>
      <c r="N215" s="27"/>
      <c r="O215" s="27"/>
      <c r="P215" s="27"/>
      <c r="Q215" s="27"/>
      <c r="R215" s="27"/>
      <c r="S215" s="27"/>
      <c r="T215" s="27"/>
      <c r="U215" s="27"/>
      <c r="V215" s="27"/>
      <c r="W215" s="27"/>
      <c r="X215" s="27"/>
      <c r="Y215" s="27"/>
      <c r="Z215" s="27"/>
    </row>
    <row r="216">
      <c r="A216" s="33" t="s">
        <v>14695</v>
      </c>
      <c r="B216" s="33" t="s">
        <v>14696</v>
      </c>
      <c r="C216" s="33" t="s">
        <v>14697</v>
      </c>
      <c r="D216" s="33" t="s">
        <v>14698</v>
      </c>
      <c r="E216" s="33" t="s">
        <v>13925</v>
      </c>
      <c r="F216" s="33" t="s">
        <v>14690</v>
      </c>
      <c r="G216" s="34"/>
      <c r="H216" s="27"/>
      <c r="I216" s="27"/>
      <c r="J216" s="27"/>
      <c r="K216" s="27"/>
      <c r="L216" s="27"/>
      <c r="M216" s="27"/>
      <c r="N216" s="27"/>
      <c r="O216" s="27"/>
      <c r="P216" s="27"/>
      <c r="Q216" s="27"/>
      <c r="R216" s="27"/>
      <c r="S216" s="27"/>
      <c r="T216" s="27"/>
      <c r="U216" s="27"/>
      <c r="V216" s="27"/>
      <c r="W216" s="27"/>
      <c r="X216" s="27"/>
      <c r="Y216" s="27"/>
      <c r="Z216" s="27"/>
    </row>
    <row r="217">
      <c r="A217" s="30" t="s">
        <v>14699</v>
      </c>
      <c r="B217" s="30" t="s">
        <v>14700</v>
      </c>
      <c r="C217" s="30" t="s">
        <v>14701</v>
      </c>
      <c r="D217" s="30" t="s">
        <v>14702</v>
      </c>
      <c r="E217" s="30" t="s">
        <v>13925</v>
      </c>
      <c r="F217" s="32" t="s">
        <v>14094</v>
      </c>
      <c r="G217" s="35"/>
      <c r="H217" s="27"/>
      <c r="I217" s="27"/>
      <c r="J217" s="27"/>
      <c r="K217" s="27"/>
      <c r="L217" s="27"/>
      <c r="M217" s="27"/>
      <c r="N217" s="27"/>
      <c r="O217" s="27"/>
      <c r="P217" s="27"/>
      <c r="Q217" s="27"/>
      <c r="R217" s="27"/>
      <c r="S217" s="27"/>
      <c r="T217" s="27"/>
      <c r="U217" s="27"/>
      <c r="V217" s="27"/>
      <c r="W217" s="27"/>
      <c r="X217" s="27"/>
      <c r="Y217" s="27"/>
      <c r="Z217" s="27"/>
    </row>
    <row r="218">
      <c r="A218" s="33" t="s">
        <v>14703</v>
      </c>
      <c r="B218" s="33" t="s">
        <v>14704</v>
      </c>
      <c r="C218" s="33" t="s">
        <v>14705</v>
      </c>
      <c r="D218" s="34"/>
      <c r="E218" s="33" t="s">
        <v>13925</v>
      </c>
      <c r="F218" s="33" t="s">
        <v>14045</v>
      </c>
      <c r="G218" s="34"/>
      <c r="H218" s="27"/>
      <c r="I218" s="27"/>
      <c r="J218" s="27"/>
      <c r="K218" s="27"/>
      <c r="L218" s="27"/>
      <c r="M218" s="27"/>
      <c r="N218" s="27"/>
      <c r="O218" s="27"/>
      <c r="P218" s="27"/>
      <c r="Q218" s="27"/>
      <c r="R218" s="27"/>
      <c r="S218" s="27"/>
      <c r="T218" s="27"/>
      <c r="U218" s="27"/>
      <c r="V218" s="27"/>
      <c r="W218" s="27"/>
      <c r="X218" s="27"/>
      <c r="Y218" s="27"/>
      <c r="Z218" s="27"/>
    </row>
    <row r="219">
      <c r="A219" s="30" t="s">
        <v>14706</v>
      </c>
      <c r="B219" s="30" t="s">
        <v>14707</v>
      </c>
      <c r="C219" s="30" t="s">
        <v>14708</v>
      </c>
      <c r="D219" s="30" t="s">
        <v>14709</v>
      </c>
      <c r="E219" s="30" t="s">
        <v>13925</v>
      </c>
      <c r="F219" s="32" t="s">
        <v>14710</v>
      </c>
      <c r="G219" s="35"/>
      <c r="H219" s="27"/>
      <c r="I219" s="27"/>
      <c r="J219" s="27"/>
      <c r="K219" s="27"/>
      <c r="L219" s="27"/>
      <c r="M219" s="27"/>
      <c r="N219" s="27"/>
      <c r="O219" s="27"/>
      <c r="P219" s="27"/>
      <c r="Q219" s="27"/>
      <c r="R219" s="27"/>
      <c r="S219" s="27"/>
      <c r="T219" s="27"/>
      <c r="U219" s="27"/>
      <c r="V219" s="27"/>
      <c r="W219" s="27"/>
      <c r="X219" s="27"/>
      <c r="Y219" s="27"/>
      <c r="Z219" s="27"/>
    </row>
    <row r="220">
      <c r="A220" s="33" t="s">
        <v>14711</v>
      </c>
      <c r="B220" s="33" t="s">
        <v>14712</v>
      </c>
      <c r="C220" s="33" t="s">
        <v>14713</v>
      </c>
      <c r="D220" s="33" t="s">
        <v>14714</v>
      </c>
      <c r="E220" s="33" t="s">
        <v>13925</v>
      </c>
      <c r="F220" s="33" t="s">
        <v>13962</v>
      </c>
      <c r="G220" s="34"/>
      <c r="H220" s="27"/>
      <c r="I220" s="27"/>
      <c r="J220" s="27"/>
      <c r="K220" s="27"/>
      <c r="L220" s="27"/>
      <c r="M220" s="27"/>
      <c r="N220" s="27"/>
      <c r="O220" s="27"/>
      <c r="P220" s="27"/>
      <c r="Q220" s="27"/>
      <c r="R220" s="27"/>
      <c r="S220" s="27"/>
      <c r="T220" s="27"/>
      <c r="U220" s="27"/>
      <c r="V220" s="27"/>
      <c r="W220" s="27"/>
      <c r="X220" s="27"/>
      <c r="Y220" s="27"/>
      <c r="Z220" s="27"/>
    </row>
    <row r="221">
      <c r="A221" s="30" t="s">
        <v>14715</v>
      </c>
      <c r="B221" s="30" t="s">
        <v>14716</v>
      </c>
      <c r="C221" s="30" t="s">
        <v>14717</v>
      </c>
      <c r="D221" s="30" t="s">
        <v>14718</v>
      </c>
      <c r="E221" s="30" t="s">
        <v>13925</v>
      </c>
      <c r="F221" s="32" t="s">
        <v>13981</v>
      </c>
      <c r="G221" s="35"/>
      <c r="H221" s="27"/>
      <c r="I221" s="27"/>
      <c r="J221" s="27"/>
      <c r="K221" s="27"/>
      <c r="L221" s="27"/>
      <c r="M221" s="27"/>
      <c r="N221" s="27"/>
      <c r="O221" s="27"/>
      <c r="P221" s="27"/>
      <c r="Q221" s="27"/>
      <c r="R221" s="27"/>
      <c r="S221" s="27"/>
      <c r="T221" s="27"/>
      <c r="U221" s="27"/>
      <c r="V221" s="27"/>
      <c r="W221" s="27"/>
      <c r="X221" s="27"/>
      <c r="Y221" s="27"/>
      <c r="Z221" s="27"/>
    </row>
    <row r="222">
      <c r="A222" s="33" t="s">
        <v>14719</v>
      </c>
      <c r="B222" s="33" t="s">
        <v>14720</v>
      </c>
      <c r="C222" s="33" t="s">
        <v>14721</v>
      </c>
      <c r="D222" s="33" t="s">
        <v>14722</v>
      </c>
      <c r="E222" s="33" t="s">
        <v>13925</v>
      </c>
      <c r="F222" s="33" t="s">
        <v>13989</v>
      </c>
      <c r="G222" s="34"/>
      <c r="H222" s="27"/>
      <c r="I222" s="27"/>
      <c r="J222" s="27"/>
      <c r="K222" s="27"/>
      <c r="L222" s="27"/>
      <c r="M222" s="27"/>
      <c r="N222" s="27"/>
      <c r="O222" s="27"/>
      <c r="P222" s="27"/>
      <c r="Q222" s="27"/>
      <c r="R222" s="27"/>
      <c r="S222" s="27"/>
      <c r="T222" s="27"/>
      <c r="U222" s="27"/>
      <c r="V222" s="27"/>
      <c r="W222" s="27"/>
      <c r="X222" s="27"/>
      <c r="Y222" s="27"/>
      <c r="Z222" s="27"/>
    </row>
    <row r="223">
      <c r="A223" s="30" t="s">
        <v>14723</v>
      </c>
      <c r="B223" s="30" t="s">
        <v>14724</v>
      </c>
      <c r="C223" s="30" t="s">
        <v>14725</v>
      </c>
      <c r="D223" s="30" t="s">
        <v>14726</v>
      </c>
      <c r="E223" s="30" t="s">
        <v>13925</v>
      </c>
      <c r="F223" s="32" t="s">
        <v>816</v>
      </c>
      <c r="G223" s="35"/>
      <c r="H223" s="27"/>
      <c r="I223" s="27"/>
      <c r="J223" s="27"/>
      <c r="K223" s="27"/>
      <c r="L223" s="27"/>
      <c r="M223" s="27"/>
      <c r="N223" s="27"/>
      <c r="O223" s="27"/>
      <c r="P223" s="27"/>
      <c r="Q223" s="27"/>
      <c r="R223" s="27"/>
      <c r="S223" s="27"/>
      <c r="T223" s="27"/>
      <c r="U223" s="27"/>
      <c r="V223" s="27"/>
      <c r="W223" s="27"/>
      <c r="X223" s="27"/>
      <c r="Y223" s="27"/>
      <c r="Z223" s="27"/>
    </row>
    <row r="224">
      <c r="A224" s="33" t="s">
        <v>14727</v>
      </c>
      <c r="B224" s="33" t="s">
        <v>14728</v>
      </c>
      <c r="C224" s="34"/>
      <c r="D224" s="33" t="s">
        <v>14729</v>
      </c>
      <c r="E224" s="33" t="s">
        <v>13925</v>
      </c>
      <c r="F224" s="33" t="s">
        <v>13931</v>
      </c>
      <c r="G224" s="34"/>
      <c r="H224" s="27"/>
      <c r="I224" s="27"/>
      <c r="J224" s="27"/>
      <c r="K224" s="27"/>
      <c r="L224" s="27"/>
      <c r="M224" s="27"/>
      <c r="N224" s="27"/>
      <c r="O224" s="27"/>
      <c r="P224" s="27"/>
      <c r="Q224" s="27"/>
      <c r="R224" s="27"/>
      <c r="S224" s="27"/>
      <c r="T224" s="27"/>
      <c r="U224" s="27"/>
      <c r="V224" s="27"/>
      <c r="W224" s="27"/>
      <c r="X224" s="27"/>
      <c r="Y224" s="27"/>
      <c r="Z224" s="27"/>
    </row>
    <row r="225">
      <c r="A225" s="30" t="s">
        <v>14730</v>
      </c>
      <c r="B225" s="30" t="s">
        <v>14731</v>
      </c>
      <c r="C225" s="30" t="s">
        <v>14732</v>
      </c>
      <c r="D225" s="31"/>
      <c r="E225" s="30" t="s">
        <v>13925</v>
      </c>
      <c r="F225" s="32" t="s">
        <v>14009</v>
      </c>
      <c r="G225" s="35"/>
      <c r="H225" s="27"/>
      <c r="I225" s="27"/>
      <c r="J225" s="27"/>
      <c r="K225" s="27"/>
      <c r="L225" s="27"/>
      <c r="M225" s="27"/>
      <c r="N225" s="27"/>
      <c r="O225" s="27"/>
      <c r="P225" s="27"/>
      <c r="Q225" s="27"/>
      <c r="R225" s="27"/>
      <c r="S225" s="27"/>
      <c r="T225" s="27"/>
      <c r="U225" s="27"/>
      <c r="V225" s="27"/>
      <c r="W225" s="27"/>
      <c r="X225" s="27"/>
      <c r="Y225" s="27"/>
      <c r="Z225" s="27"/>
    </row>
    <row r="226">
      <c r="A226" s="33" t="s">
        <v>14733</v>
      </c>
      <c r="B226" s="33" t="s">
        <v>11888</v>
      </c>
      <c r="C226" s="34"/>
      <c r="D226" s="33" t="s">
        <v>14734</v>
      </c>
      <c r="E226" s="33" t="s">
        <v>13925</v>
      </c>
      <c r="F226" s="33" t="s">
        <v>13981</v>
      </c>
      <c r="G226" s="34"/>
      <c r="H226" s="27"/>
      <c r="I226" s="27"/>
      <c r="J226" s="27"/>
      <c r="K226" s="27"/>
      <c r="L226" s="27"/>
      <c r="M226" s="27"/>
      <c r="N226" s="27"/>
      <c r="O226" s="27"/>
      <c r="P226" s="27"/>
      <c r="Q226" s="27"/>
      <c r="R226" s="27"/>
      <c r="S226" s="27"/>
      <c r="T226" s="27"/>
      <c r="U226" s="27"/>
      <c r="V226" s="27"/>
      <c r="W226" s="27"/>
      <c r="X226" s="27"/>
      <c r="Y226" s="27"/>
      <c r="Z226" s="27"/>
    </row>
    <row r="227">
      <c r="A227" s="30" t="s">
        <v>14735</v>
      </c>
      <c r="B227" s="30" t="s">
        <v>14736</v>
      </c>
      <c r="C227" s="30" t="s">
        <v>14737</v>
      </c>
      <c r="D227" s="31"/>
      <c r="E227" s="30" t="s">
        <v>13925</v>
      </c>
      <c r="F227" s="32" t="s">
        <v>3568</v>
      </c>
      <c r="G227" s="35"/>
      <c r="H227" s="27"/>
      <c r="I227" s="27"/>
      <c r="J227" s="27"/>
      <c r="K227" s="27"/>
      <c r="L227" s="27"/>
      <c r="M227" s="27"/>
      <c r="N227" s="27"/>
      <c r="O227" s="27"/>
      <c r="P227" s="27"/>
      <c r="Q227" s="27"/>
      <c r="R227" s="27"/>
      <c r="S227" s="27"/>
      <c r="T227" s="27"/>
      <c r="U227" s="27"/>
      <c r="V227" s="27"/>
      <c r="W227" s="27"/>
      <c r="X227" s="27"/>
      <c r="Y227" s="27"/>
      <c r="Z227" s="27"/>
    </row>
    <row r="228">
      <c r="A228" s="33" t="s">
        <v>14738</v>
      </c>
      <c r="B228" s="33" t="s">
        <v>14739</v>
      </c>
      <c r="C228" s="34"/>
      <c r="D228" s="33" t="s">
        <v>14740</v>
      </c>
      <c r="E228" s="33" t="s">
        <v>13925</v>
      </c>
      <c r="F228" s="33" t="s">
        <v>3568</v>
      </c>
      <c r="G228" s="34"/>
      <c r="H228" s="27"/>
      <c r="I228" s="27"/>
      <c r="J228" s="27"/>
      <c r="K228" s="27"/>
      <c r="L228" s="27"/>
      <c r="M228" s="27"/>
      <c r="N228" s="27"/>
      <c r="O228" s="27"/>
      <c r="P228" s="27"/>
      <c r="Q228" s="27"/>
      <c r="R228" s="27"/>
      <c r="S228" s="27"/>
      <c r="T228" s="27"/>
      <c r="U228" s="27"/>
      <c r="V228" s="27"/>
      <c r="W228" s="27"/>
      <c r="X228" s="27"/>
      <c r="Y228" s="27"/>
      <c r="Z228" s="27"/>
    </row>
    <row r="229">
      <c r="A229" s="30" t="s">
        <v>14741</v>
      </c>
      <c r="B229" s="30" t="s">
        <v>14742</v>
      </c>
      <c r="C229" s="30" t="s">
        <v>14743</v>
      </c>
      <c r="D229" s="31"/>
      <c r="E229" s="30" t="s">
        <v>13925</v>
      </c>
      <c r="F229" s="32" t="s">
        <v>13962</v>
      </c>
      <c r="G229" s="35"/>
      <c r="H229" s="27"/>
      <c r="I229" s="27"/>
      <c r="J229" s="27"/>
      <c r="K229" s="27"/>
      <c r="L229" s="27"/>
      <c r="M229" s="27"/>
      <c r="N229" s="27"/>
      <c r="O229" s="27"/>
      <c r="P229" s="27"/>
      <c r="Q229" s="27"/>
      <c r="R229" s="27"/>
      <c r="S229" s="27"/>
      <c r="T229" s="27"/>
      <c r="U229" s="27"/>
      <c r="V229" s="27"/>
      <c r="W229" s="27"/>
      <c r="X229" s="27"/>
      <c r="Y229" s="27"/>
      <c r="Z229" s="27"/>
    </row>
    <row r="230">
      <c r="A230" s="33" t="s">
        <v>14744</v>
      </c>
      <c r="B230" s="33" t="s">
        <v>14745</v>
      </c>
      <c r="C230" s="34"/>
      <c r="D230" s="34"/>
      <c r="E230" s="33" t="s">
        <v>13925</v>
      </c>
      <c r="F230" s="33" t="s">
        <v>14094</v>
      </c>
      <c r="G230" s="34"/>
      <c r="H230" s="27"/>
      <c r="I230" s="27"/>
      <c r="J230" s="27"/>
      <c r="K230" s="27"/>
      <c r="L230" s="27"/>
      <c r="M230" s="27"/>
      <c r="N230" s="27"/>
      <c r="O230" s="27"/>
      <c r="P230" s="27"/>
      <c r="Q230" s="27"/>
      <c r="R230" s="27"/>
      <c r="S230" s="27"/>
      <c r="T230" s="27"/>
      <c r="U230" s="27"/>
      <c r="V230" s="27"/>
      <c r="W230" s="27"/>
      <c r="X230" s="27"/>
      <c r="Y230" s="27"/>
      <c r="Z230" s="27"/>
    </row>
    <row r="231">
      <c r="A231" s="30" t="s">
        <v>14746</v>
      </c>
      <c r="B231" s="30" t="s">
        <v>14747</v>
      </c>
      <c r="C231" s="30" t="s">
        <v>14748</v>
      </c>
      <c r="D231" s="31"/>
      <c r="E231" s="30" t="s">
        <v>13925</v>
      </c>
      <c r="F231" s="32" t="s">
        <v>13962</v>
      </c>
      <c r="G231" s="35"/>
      <c r="H231" s="27"/>
      <c r="I231" s="27"/>
      <c r="J231" s="27"/>
      <c r="K231" s="27"/>
      <c r="L231" s="27"/>
      <c r="M231" s="27"/>
      <c r="N231" s="27"/>
      <c r="O231" s="27"/>
      <c r="P231" s="27"/>
      <c r="Q231" s="27"/>
      <c r="R231" s="27"/>
      <c r="S231" s="27"/>
      <c r="T231" s="27"/>
      <c r="U231" s="27"/>
      <c r="V231" s="27"/>
      <c r="W231" s="27"/>
      <c r="X231" s="27"/>
      <c r="Y231" s="27"/>
      <c r="Z231" s="27"/>
    </row>
    <row r="232">
      <c r="A232" s="33" t="s">
        <v>14749</v>
      </c>
      <c r="B232" s="33" t="s">
        <v>13954</v>
      </c>
      <c r="C232" s="34"/>
      <c r="D232" s="33" t="s">
        <v>14750</v>
      </c>
      <c r="E232" s="33" t="s">
        <v>13925</v>
      </c>
      <c r="F232" s="33" t="s">
        <v>13931</v>
      </c>
      <c r="G232" s="34"/>
      <c r="H232" s="27"/>
      <c r="I232" s="27"/>
      <c r="J232" s="27"/>
      <c r="K232" s="27"/>
      <c r="L232" s="27"/>
      <c r="M232" s="27"/>
      <c r="N232" s="27"/>
      <c r="O232" s="27"/>
      <c r="P232" s="27"/>
      <c r="Q232" s="27"/>
      <c r="R232" s="27"/>
      <c r="S232" s="27"/>
      <c r="T232" s="27"/>
      <c r="U232" s="27"/>
      <c r="V232" s="27"/>
      <c r="W232" s="27"/>
      <c r="X232" s="27"/>
      <c r="Y232" s="27"/>
      <c r="Z232" s="27"/>
    </row>
    <row r="233">
      <c r="A233" s="30" t="s">
        <v>14751</v>
      </c>
      <c r="B233" s="30" t="s">
        <v>14752</v>
      </c>
      <c r="C233" s="30" t="s">
        <v>14753</v>
      </c>
      <c r="D233" s="30" t="s">
        <v>14754</v>
      </c>
      <c r="E233" s="30" t="s">
        <v>13925</v>
      </c>
      <c r="F233" s="32" t="s">
        <v>3568</v>
      </c>
      <c r="G233" s="35"/>
      <c r="H233" s="27"/>
      <c r="I233" s="27"/>
      <c r="J233" s="27"/>
      <c r="K233" s="27"/>
      <c r="L233" s="27"/>
      <c r="M233" s="27"/>
      <c r="N233" s="27"/>
      <c r="O233" s="27"/>
      <c r="P233" s="27"/>
      <c r="Q233" s="27"/>
      <c r="R233" s="27"/>
      <c r="S233" s="27"/>
      <c r="T233" s="27"/>
      <c r="U233" s="27"/>
      <c r="V233" s="27"/>
      <c r="W233" s="27"/>
      <c r="X233" s="27"/>
      <c r="Y233" s="27"/>
      <c r="Z233" s="27"/>
    </row>
    <row r="234">
      <c r="A234" s="33" t="s">
        <v>14755</v>
      </c>
      <c r="B234" s="33" t="s">
        <v>14756</v>
      </c>
      <c r="C234" s="33" t="s">
        <v>14757</v>
      </c>
      <c r="D234" s="33" t="s">
        <v>14758</v>
      </c>
      <c r="E234" s="33" t="s">
        <v>13925</v>
      </c>
      <c r="F234" s="33" t="s">
        <v>14045</v>
      </c>
      <c r="G234" s="34"/>
      <c r="H234" s="27"/>
      <c r="I234" s="27"/>
      <c r="J234" s="27"/>
      <c r="K234" s="27"/>
      <c r="L234" s="27"/>
      <c r="M234" s="27"/>
      <c r="N234" s="27"/>
      <c r="O234" s="27"/>
      <c r="P234" s="27"/>
      <c r="Q234" s="27"/>
      <c r="R234" s="27"/>
      <c r="S234" s="27"/>
      <c r="T234" s="27"/>
      <c r="U234" s="27"/>
      <c r="V234" s="27"/>
      <c r="W234" s="27"/>
      <c r="X234" s="27"/>
      <c r="Y234" s="27"/>
      <c r="Z234" s="27"/>
    </row>
    <row r="235">
      <c r="A235" s="30" t="s">
        <v>14759</v>
      </c>
      <c r="B235" s="30" t="s">
        <v>14760</v>
      </c>
      <c r="C235" s="30" t="s">
        <v>14761</v>
      </c>
      <c r="D235" s="31"/>
      <c r="E235" s="30" t="s">
        <v>13925</v>
      </c>
      <c r="F235" s="32" t="s">
        <v>3568</v>
      </c>
      <c r="G235" s="35"/>
      <c r="H235" s="27"/>
      <c r="I235" s="27"/>
      <c r="J235" s="27"/>
      <c r="K235" s="27"/>
      <c r="L235" s="27"/>
      <c r="M235" s="27"/>
      <c r="N235" s="27"/>
      <c r="O235" s="27"/>
      <c r="P235" s="27"/>
      <c r="Q235" s="27"/>
      <c r="R235" s="27"/>
      <c r="S235" s="27"/>
      <c r="T235" s="27"/>
      <c r="U235" s="27"/>
      <c r="V235" s="27"/>
      <c r="W235" s="27"/>
      <c r="X235" s="27"/>
      <c r="Y235" s="27"/>
      <c r="Z235" s="27"/>
    </row>
    <row r="236">
      <c r="A236" s="33" t="s">
        <v>14762</v>
      </c>
      <c r="B236" s="33" t="s">
        <v>14763</v>
      </c>
      <c r="C236" s="33" t="s">
        <v>14764</v>
      </c>
      <c r="D236" s="33" t="s">
        <v>14765</v>
      </c>
      <c r="E236" s="33" t="s">
        <v>13925</v>
      </c>
      <c r="F236" s="33" t="s">
        <v>13962</v>
      </c>
      <c r="G236" s="34"/>
      <c r="H236" s="27"/>
      <c r="I236" s="27"/>
      <c r="J236" s="27"/>
      <c r="K236" s="27"/>
      <c r="L236" s="27"/>
      <c r="M236" s="27"/>
      <c r="N236" s="27"/>
      <c r="O236" s="27"/>
      <c r="P236" s="27"/>
      <c r="Q236" s="27"/>
      <c r="R236" s="27"/>
      <c r="S236" s="27"/>
      <c r="T236" s="27"/>
      <c r="U236" s="27"/>
      <c r="V236" s="27"/>
      <c r="W236" s="27"/>
      <c r="X236" s="27"/>
      <c r="Y236" s="27"/>
      <c r="Z236" s="27"/>
    </row>
    <row r="237">
      <c r="A237" s="30" t="s">
        <v>14766</v>
      </c>
      <c r="B237" s="30" t="s">
        <v>14767</v>
      </c>
      <c r="C237" s="30" t="s">
        <v>14768</v>
      </c>
      <c r="D237" s="30" t="s">
        <v>14769</v>
      </c>
      <c r="E237" s="30" t="s">
        <v>13925</v>
      </c>
      <c r="F237" s="32" t="s">
        <v>13981</v>
      </c>
      <c r="G237" s="35"/>
      <c r="H237" s="27"/>
      <c r="I237" s="27"/>
      <c r="J237" s="27"/>
      <c r="K237" s="27"/>
      <c r="L237" s="27"/>
      <c r="M237" s="27"/>
      <c r="N237" s="27"/>
      <c r="O237" s="27"/>
      <c r="P237" s="27"/>
      <c r="Q237" s="27"/>
      <c r="R237" s="27"/>
      <c r="S237" s="27"/>
      <c r="T237" s="27"/>
      <c r="U237" s="27"/>
      <c r="V237" s="27"/>
      <c r="W237" s="27"/>
      <c r="X237" s="27"/>
      <c r="Y237" s="27"/>
      <c r="Z237" s="27"/>
    </row>
    <row r="238">
      <c r="A238" s="33" t="s">
        <v>14770</v>
      </c>
      <c r="B238" s="33" t="s">
        <v>14771</v>
      </c>
      <c r="C238" s="33" t="s">
        <v>14772</v>
      </c>
      <c r="D238" s="33" t="s">
        <v>14773</v>
      </c>
      <c r="E238" s="33" t="s">
        <v>13925</v>
      </c>
      <c r="F238" s="33" t="s">
        <v>13962</v>
      </c>
      <c r="G238" s="34"/>
      <c r="H238" s="27"/>
      <c r="I238" s="27"/>
      <c r="J238" s="27"/>
      <c r="K238" s="27"/>
      <c r="L238" s="27"/>
      <c r="M238" s="27"/>
      <c r="N238" s="27"/>
      <c r="O238" s="27"/>
      <c r="P238" s="27"/>
      <c r="Q238" s="27"/>
      <c r="R238" s="27"/>
      <c r="S238" s="27"/>
      <c r="T238" s="27"/>
      <c r="U238" s="27"/>
      <c r="V238" s="27"/>
      <c r="W238" s="27"/>
      <c r="X238" s="27"/>
      <c r="Y238" s="27"/>
      <c r="Z238" s="27"/>
    </row>
    <row r="239">
      <c r="A239" s="30" t="s">
        <v>14774</v>
      </c>
      <c r="B239" s="30" t="s">
        <v>14775</v>
      </c>
      <c r="C239" s="30" t="s">
        <v>14776</v>
      </c>
      <c r="D239" s="30" t="s">
        <v>14777</v>
      </c>
      <c r="E239" s="30" t="s">
        <v>13925</v>
      </c>
      <c r="F239" s="32" t="s">
        <v>3568</v>
      </c>
      <c r="G239" s="35"/>
      <c r="H239" s="27"/>
      <c r="I239" s="27"/>
      <c r="J239" s="27"/>
      <c r="K239" s="27"/>
      <c r="L239" s="27"/>
      <c r="M239" s="27"/>
      <c r="N239" s="27"/>
      <c r="O239" s="27"/>
      <c r="P239" s="27"/>
      <c r="Q239" s="27"/>
      <c r="R239" s="27"/>
      <c r="S239" s="27"/>
      <c r="T239" s="27"/>
      <c r="U239" s="27"/>
      <c r="V239" s="27"/>
      <c r="W239" s="27"/>
      <c r="X239" s="27"/>
      <c r="Y239" s="27"/>
      <c r="Z239" s="27"/>
    </row>
    <row r="240">
      <c r="A240" s="33" t="s">
        <v>14778</v>
      </c>
      <c r="B240" s="33" t="s">
        <v>14779</v>
      </c>
      <c r="C240" s="33" t="s">
        <v>14780</v>
      </c>
      <c r="D240" s="33" t="s">
        <v>14781</v>
      </c>
      <c r="E240" s="33" t="s">
        <v>13925</v>
      </c>
      <c r="F240" s="33" t="s">
        <v>13989</v>
      </c>
      <c r="G240" s="34"/>
      <c r="H240" s="27"/>
      <c r="I240" s="27"/>
      <c r="J240" s="27"/>
      <c r="K240" s="27"/>
      <c r="L240" s="27"/>
      <c r="M240" s="27"/>
      <c r="N240" s="27"/>
      <c r="O240" s="27"/>
      <c r="P240" s="27"/>
      <c r="Q240" s="27"/>
      <c r="R240" s="27"/>
      <c r="S240" s="27"/>
      <c r="T240" s="27"/>
      <c r="U240" s="27"/>
      <c r="V240" s="27"/>
      <c r="W240" s="27"/>
      <c r="X240" s="27"/>
      <c r="Y240" s="27"/>
      <c r="Z240" s="27"/>
    </row>
    <row r="241">
      <c r="A241" s="30" t="s">
        <v>14782</v>
      </c>
      <c r="B241" s="30" t="s">
        <v>14783</v>
      </c>
      <c r="C241" s="30" t="s">
        <v>14784</v>
      </c>
      <c r="D241" s="31"/>
      <c r="E241" s="30" t="s">
        <v>13925</v>
      </c>
      <c r="F241" s="32" t="s">
        <v>3568</v>
      </c>
      <c r="G241" s="35"/>
      <c r="H241" s="27"/>
      <c r="I241" s="27"/>
      <c r="J241" s="27"/>
      <c r="K241" s="27"/>
      <c r="L241" s="27"/>
      <c r="M241" s="27"/>
      <c r="N241" s="27"/>
      <c r="O241" s="27"/>
      <c r="P241" s="27"/>
      <c r="Q241" s="27"/>
      <c r="R241" s="27"/>
      <c r="S241" s="27"/>
      <c r="T241" s="27"/>
      <c r="U241" s="27"/>
      <c r="V241" s="27"/>
      <c r="W241" s="27"/>
      <c r="X241" s="27"/>
      <c r="Y241" s="27"/>
      <c r="Z241" s="27"/>
    </row>
    <row r="242">
      <c r="A242" s="33" t="s">
        <v>14785</v>
      </c>
      <c r="B242" s="33" t="s">
        <v>14786</v>
      </c>
      <c r="C242" s="33" t="s">
        <v>14787</v>
      </c>
      <c r="D242" s="34"/>
      <c r="E242" s="33" t="s">
        <v>13925</v>
      </c>
      <c r="F242" s="33" t="s">
        <v>3568</v>
      </c>
      <c r="G242" s="34"/>
      <c r="H242" s="27"/>
      <c r="I242" s="27"/>
      <c r="J242" s="27"/>
      <c r="K242" s="27"/>
      <c r="L242" s="27"/>
      <c r="M242" s="27"/>
      <c r="N242" s="27"/>
      <c r="O242" s="27"/>
      <c r="P242" s="27"/>
      <c r="Q242" s="27"/>
      <c r="R242" s="27"/>
      <c r="S242" s="27"/>
      <c r="T242" s="27"/>
      <c r="U242" s="27"/>
      <c r="V242" s="27"/>
      <c r="W242" s="27"/>
      <c r="X242" s="27"/>
      <c r="Y242" s="27"/>
      <c r="Z242" s="27"/>
    </row>
    <row r="243">
      <c r="A243" s="30" t="s">
        <v>14788</v>
      </c>
      <c r="B243" s="30" t="s">
        <v>14789</v>
      </c>
      <c r="C243" s="30" t="s">
        <v>14790</v>
      </c>
      <c r="D243" s="30" t="s">
        <v>14791</v>
      </c>
      <c r="E243" s="30" t="s">
        <v>13925</v>
      </c>
      <c r="F243" s="32" t="s">
        <v>14792</v>
      </c>
      <c r="G243" s="35"/>
      <c r="H243" s="27"/>
      <c r="I243" s="27"/>
      <c r="J243" s="27"/>
      <c r="K243" s="27"/>
      <c r="L243" s="27"/>
      <c r="M243" s="27"/>
      <c r="N243" s="27"/>
      <c r="O243" s="27"/>
      <c r="P243" s="27"/>
      <c r="Q243" s="27"/>
      <c r="R243" s="27"/>
      <c r="S243" s="27"/>
      <c r="T243" s="27"/>
      <c r="U243" s="27"/>
      <c r="V243" s="27"/>
      <c r="W243" s="27"/>
      <c r="X243" s="27"/>
      <c r="Y243" s="27"/>
      <c r="Z243" s="27"/>
    </row>
    <row r="244">
      <c r="A244" s="33" t="s">
        <v>14793</v>
      </c>
      <c r="B244" s="33" t="s">
        <v>14794</v>
      </c>
      <c r="C244" s="34"/>
      <c r="D244" s="33" t="s">
        <v>14795</v>
      </c>
      <c r="E244" s="33" t="s">
        <v>13925</v>
      </c>
      <c r="F244" s="33" t="s">
        <v>14094</v>
      </c>
      <c r="G244" s="34"/>
      <c r="H244" s="27"/>
      <c r="I244" s="27"/>
      <c r="J244" s="27"/>
      <c r="K244" s="27"/>
      <c r="L244" s="27"/>
      <c r="M244" s="27"/>
      <c r="N244" s="27"/>
      <c r="O244" s="27"/>
      <c r="P244" s="27"/>
      <c r="Q244" s="27"/>
      <c r="R244" s="27"/>
      <c r="S244" s="27"/>
      <c r="T244" s="27"/>
      <c r="U244" s="27"/>
      <c r="V244" s="27"/>
      <c r="W244" s="27"/>
      <c r="X244" s="27"/>
      <c r="Y244" s="27"/>
      <c r="Z244" s="27"/>
    </row>
    <row r="245">
      <c r="A245" s="30" t="s">
        <v>14796</v>
      </c>
      <c r="B245" s="30" t="s">
        <v>14797</v>
      </c>
      <c r="C245" s="30" t="s">
        <v>14798</v>
      </c>
      <c r="D245" s="30" t="s">
        <v>14799</v>
      </c>
      <c r="E245" s="30" t="s">
        <v>13925</v>
      </c>
      <c r="F245" s="32" t="s">
        <v>14800</v>
      </c>
      <c r="G245" s="35"/>
      <c r="H245" s="27"/>
      <c r="I245" s="27"/>
      <c r="J245" s="27"/>
      <c r="K245" s="27"/>
      <c r="L245" s="27"/>
      <c r="M245" s="27"/>
      <c r="N245" s="27"/>
      <c r="O245" s="27"/>
      <c r="P245" s="27"/>
      <c r="Q245" s="27"/>
      <c r="R245" s="27"/>
      <c r="S245" s="27"/>
      <c r="T245" s="27"/>
      <c r="U245" s="27"/>
      <c r="V245" s="27"/>
      <c r="W245" s="27"/>
      <c r="X245" s="27"/>
      <c r="Y245" s="27"/>
      <c r="Z245" s="27"/>
    </row>
    <row r="246">
      <c r="A246" s="33" t="s">
        <v>14801</v>
      </c>
      <c r="B246" s="33" t="s">
        <v>14802</v>
      </c>
      <c r="C246" s="33" t="s">
        <v>14803</v>
      </c>
      <c r="D246" s="34"/>
      <c r="E246" s="33" t="s">
        <v>13925</v>
      </c>
      <c r="F246" s="33" t="s">
        <v>3568</v>
      </c>
      <c r="G246" s="34"/>
      <c r="H246" s="27"/>
      <c r="I246" s="27"/>
      <c r="J246" s="27"/>
      <c r="K246" s="27"/>
      <c r="L246" s="27"/>
      <c r="M246" s="27"/>
      <c r="N246" s="27"/>
      <c r="O246" s="27"/>
      <c r="P246" s="27"/>
      <c r="Q246" s="27"/>
      <c r="R246" s="27"/>
      <c r="S246" s="27"/>
      <c r="T246" s="27"/>
      <c r="U246" s="27"/>
      <c r="V246" s="27"/>
      <c r="W246" s="27"/>
      <c r="X246" s="27"/>
      <c r="Y246" s="27"/>
      <c r="Z246" s="27"/>
    </row>
    <row r="247">
      <c r="A247" s="30" t="s">
        <v>14804</v>
      </c>
      <c r="B247" s="30" t="s">
        <v>14805</v>
      </c>
      <c r="C247" s="30" t="s">
        <v>14806</v>
      </c>
      <c r="D247" s="30" t="s">
        <v>14807</v>
      </c>
      <c r="E247" s="30" t="s">
        <v>13925</v>
      </c>
      <c r="F247" s="32" t="s">
        <v>13981</v>
      </c>
      <c r="G247" s="35"/>
      <c r="H247" s="27"/>
      <c r="I247" s="27"/>
      <c r="J247" s="27"/>
      <c r="K247" s="27"/>
      <c r="L247" s="27"/>
      <c r="M247" s="27"/>
      <c r="N247" s="27"/>
      <c r="O247" s="27"/>
      <c r="P247" s="27"/>
      <c r="Q247" s="27"/>
      <c r="R247" s="27"/>
      <c r="S247" s="27"/>
      <c r="T247" s="27"/>
      <c r="U247" s="27"/>
      <c r="V247" s="27"/>
      <c r="W247" s="27"/>
      <c r="X247" s="27"/>
      <c r="Y247" s="27"/>
      <c r="Z247" s="27"/>
    </row>
    <row r="248">
      <c r="A248" s="33" t="s">
        <v>14808</v>
      </c>
      <c r="B248" s="33" t="s">
        <v>14809</v>
      </c>
      <c r="C248" s="34"/>
      <c r="D248" s="33" t="s">
        <v>14810</v>
      </c>
      <c r="E248" s="33" t="s">
        <v>13925</v>
      </c>
      <c r="F248" s="33" t="s">
        <v>3568</v>
      </c>
      <c r="G248" s="34"/>
      <c r="H248" s="27"/>
      <c r="I248" s="27"/>
      <c r="J248" s="27"/>
      <c r="K248" s="27"/>
      <c r="L248" s="27"/>
      <c r="M248" s="27"/>
      <c r="N248" s="27"/>
      <c r="O248" s="27"/>
      <c r="P248" s="27"/>
      <c r="Q248" s="27"/>
      <c r="R248" s="27"/>
      <c r="S248" s="27"/>
      <c r="T248" s="27"/>
      <c r="U248" s="27"/>
      <c r="V248" s="27"/>
      <c r="W248" s="27"/>
      <c r="X248" s="27"/>
      <c r="Y248" s="27"/>
      <c r="Z248" s="27"/>
    </row>
    <row r="249">
      <c r="A249" s="30" t="s">
        <v>14811</v>
      </c>
      <c r="B249" s="30" t="s">
        <v>14812</v>
      </c>
      <c r="C249" s="31"/>
      <c r="D249" s="30" t="s">
        <v>14813</v>
      </c>
      <c r="E249" s="30" t="s">
        <v>13925</v>
      </c>
      <c r="F249" s="32" t="s">
        <v>3568</v>
      </c>
      <c r="G249" s="35"/>
      <c r="H249" s="27"/>
      <c r="I249" s="27"/>
      <c r="J249" s="27"/>
      <c r="K249" s="27"/>
      <c r="L249" s="27"/>
      <c r="M249" s="27"/>
      <c r="N249" s="27"/>
      <c r="O249" s="27"/>
      <c r="P249" s="27"/>
      <c r="Q249" s="27"/>
      <c r="R249" s="27"/>
      <c r="S249" s="27"/>
      <c r="T249" s="27"/>
      <c r="U249" s="27"/>
      <c r="V249" s="27"/>
      <c r="W249" s="27"/>
      <c r="X249" s="27"/>
      <c r="Y249" s="27"/>
      <c r="Z249" s="27"/>
    </row>
    <row r="250">
      <c r="A250" s="33" t="s">
        <v>14814</v>
      </c>
      <c r="B250" s="33" t="s">
        <v>14815</v>
      </c>
      <c r="C250" s="33" t="s">
        <v>14816</v>
      </c>
      <c r="D250" s="34"/>
      <c r="E250" s="33" t="s">
        <v>13925</v>
      </c>
      <c r="F250" s="33" t="s">
        <v>13989</v>
      </c>
      <c r="G250" s="34"/>
      <c r="H250" s="27"/>
      <c r="I250" s="27"/>
      <c r="J250" s="27"/>
      <c r="K250" s="27"/>
      <c r="L250" s="27"/>
      <c r="M250" s="27"/>
      <c r="N250" s="27"/>
      <c r="O250" s="27"/>
      <c r="P250" s="27"/>
      <c r="Q250" s="27"/>
      <c r="R250" s="27"/>
      <c r="S250" s="27"/>
      <c r="T250" s="27"/>
      <c r="U250" s="27"/>
      <c r="V250" s="27"/>
      <c r="W250" s="27"/>
      <c r="X250" s="27"/>
      <c r="Y250" s="27"/>
      <c r="Z250" s="27"/>
    </row>
    <row r="25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mergeCells count="2">
    <mergeCell ref="A1:E1"/>
    <mergeCell ref="F1:G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6" t="s">
        <v>2</v>
      </c>
      <c r="I1" s="37" t="s">
        <v>30</v>
      </c>
    </row>
    <row r="2">
      <c r="A2" s="38" t="s">
        <v>6</v>
      </c>
      <c r="B2" s="38" t="s">
        <v>12</v>
      </c>
      <c r="C2" s="38" t="s">
        <v>14</v>
      </c>
      <c r="D2" s="38" t="s">
        <v>16</v>
      </c>
      <c r="E2" s="38" t="s">
        <v>18</v>
      </c>
      <c r="F2" s="38" t="s">
        <v>20</v>
      </c>
      <c r="G2" s="38" t="s">
        <v>26</v>
      </c>
      <c r="H2" s="38" t="s">
        <v>28</v>
      </c>
      <c r="I2" s="39" t="s">
        <v>13921</v>
      </c>
    </row>
    <row r="3">
      <c r="A3" s="40" t="str">
        <f>+KMusica Producciones</f>
        <v>#ERROR!</v>
      </c>
      <c r="B3" s="41" t="s">
        <v>14817</v>
      </c>
      <c r="C3" s="41" t="s">
        <v>14818</v>
      </c>
      <c r="D3" s="42" t="s">
        <v>14819</v>
      </c>
      <c r="E3" s="41" t="s">
        <v>14820</v>
      </c>
      <c r="F3" s="41" t="s">
        <v>1014</v>
      </c>
      <c r="G3" s="41" t="s">
        <v>14821</v>
      </c>
      <c r="H3" s="41" t="s">
        <v>14822</v>
      </c>
      <c r="I3" s="43"/>
    </row>
    <row r="4">
      <c r="A4" s="44" t="s">
        <v>14823</v>
      </c>
      <c r="B4" s="44" t="s">
        <v>14824</v>
      </c>
      <c r="C4" s="44">
        <v>6.29748789E8</v>
      </c>
      <c r="D4" s="45"/>
      <c r="E4" s="44" t="s">
        <v>14825</v>
      </c>
      <c r="F4" s="44" t="s">
        <v>14826</v>
      </c>
      <c r="G4" s="44" t="s">
        <v>14827</v>
      </c>
      <c r="H4" s="44" t="s">
        <v>14822</v>
      </c>
      <c r="I4" s="45"/>
    </row>
    <row r="5">
      <c r="A5" s="41" t="s">
        <v>14828</v>
      </c>
      <c r="B5" s="41" t="s">
        <v>14829</v>
      </c>
      <c r="C5" s="41" t="s">
        <v>14830</v>
      </c>
      <c r="D5" s="42" t="s">
        <v>14831</v>
      </c>
      <c r="E5" s="41" t="s">
        <v>14832</v>
      </c>
      <c r="F5" s="41" t="s">
        <v>231</v>
      </c>
      <c r="G5" s="41" t="s">
        <v>14833</v>
      </c>
      <c r="H5" s="41" t="s">
        <v>14822</v>
      </c>
      <c r="I5" s="43"/>
    </row>
    <row r="6">
      <c r="A6" s="44" t="s">
        <v>14834</v>
      </c>
      <c r="B6" s="44" t="s">
        <v>14835</v>
      </c>
      <c r="C6" s="44">
        <v>6.37477098E8</v>
      </c>
      <c r="D6" s="46" t="s">
        <v>14836</v>
      </c>
      <c r="E6" s="44" t="s">
        <v>231</v>
      </c>
      <c r="F6" s="44" t="s">
        <v>231</v>
      </c>
      <c r="G6" s="44" t="s">
        <v>14837</v>
      </c>
      <c r="H6" s="44" t="s">
        <v>14822</v>
      </c>
      <c r="I6" s="45"/>
    </row>
    <row r="7">
      <c r="A7" s="41" t="s">
        <v>14838</v>
      </c>
      <c r="B7" s="41" t="s">
        <v>14839</v>
      </c>
      <c r="C7" s="41">
        <v>9.25622999E8</v>
      </c>
      <c r="D7" s="42" t="s">
        <v>14840</v>
      </c>
      <c r="E7" s="41" t="s">
        <v>8191</v>
      </c>
      <c r="F7" s="41" t="s">
        <v>5480</v>
      </c>
      <c r="G7" s="41" t="s">
        <v>14841</v>
      </c>
      <c r="H7" s="41" t="s">
        <v>14822</v>
      </c>
      <c r="I7" s="43"/>
    </row>
    <row r="8">
      <c r="A8" s="44" t="s">
        <v>14842</v>
      </c>
      <c r="B8" s="44" t="s">
        <v>14843</v>
      </c>
      <c r="C8" s="44">
        <v>9.25622999E8</v>
      </c>
      <c r="D8" s="46" t="s">
        <v>14840</v>
      </c>
      <c r="E8" s="44" t="s">
        <v>8191</v>
      </c>
      <c r="F8" s="44" t="s">
        <v>5480</v>
      </c>
      <c r="G8" s="44" t="s">
        <v>14844</v>
      </c>
      <c r="H8" s="44" t="s">
        <v>14822</v>
      </c>
      <c r="I8" s="45"/>
    </row>
    <row r="9">
      <c r="A9" s="41" t="s">
        <v>14845</v>
      </c>
      <c r="B9" s="41" t="s">
        <v>14846</v>
      </c>
      <c r="C9" s="41" t="s">
        <v>14847</v>
      </c>
      <c r="D9" s="42" t="s">
        <v>14848</v>
      </c>
      <c r="E9" s="41" t="s">
        <v>55</v>
      </c>
      <c r="F9" s="41" t="s">
        <v>55</v>
      </c>
      <c r="G9" s="40"/>
      <c r="H9" s="41" t="s">
        <v>14822</v>
      </c>
      <c r="I9" s="43"/>
    </row>
    <row r="10">
      <c r="A10" s="44" t="s">
        <v>14849</v>
      </c>
      <c r="B10" s="44" t="s">
        <v>14850</v>
      </c>
      <c r="C10" s="44" t="s">
        <v>14851</v>
      </c>
      <c r="D10" s="46" t="s">
        <v>14852</v>
      </c>
      <c r="E10" s="44" t="s">
        <v>601</v>
      </c>
      <c r="F10" s="44" t="s">
        <v>601</v>
      </c>
      <c r="G10" s="44" t="s">
        <v>14853</v>
      </c>
      <c r="H10" s="44" t="s">
        <v>14822</v>
      </c>
      <c r="I10" s="45"/>
    </row>
    <row r="11">
      <c r="A11" s="41" t="s">
        <v>14854</v>
      </c>
      <c r="B11" s="41" t="s">
        <v>14855</v>
      </c>
      <c r="C11" s="41" t="s">
        <v>14856</v>
      </c>
      <c r="D11" s="42" t="s">
        <v>14857</v>
      </c>
      <c r="E11" s="41" t="s">
        <v>129</v>
      </c>
      <c r="F11" s="41" t="s">
        <v>129</v>
      </c>
      <c r="G11" s="41" t="s">
        <v>14858</v>
      </c>
      <c r="H11" s="41" t="s">
        <v>14822</v>
      </c>
      <c r="I11" s="43"/>
    </row>
    <row r="12">
      <c r="A12" s="44" t="s">
        <v>14859</v>
      </c>
      <c r="B12" s="44" t="s">
        <v>14860</v>
      </c>
      <c r="C12" s="44">
        <v>6.07116795E8</v>
      </c>
      <c r="D12" s="46" t="s">
        <v>14861</v>
      </c>
      <c r="E12" s="44" t="s">
        <v>55</v>
      </c>
      <c r="F12" s="44" t="s">
        <v>55</v>
      </c>
      <c r="G12" s="44" t="s">
        <v>14862</v>
      </c>
      <c r="H12" s="44" t="s">
        <v>14822</v>
      </c>
      <c r="I12" s="45"/>
    </row>
    <row r="13">
      <c r="A13" s="41" t="s">
        <v>14863</v>
      </c>
      <c r="B13" s="41" t="s">
        <v>14864</v>
      </c>
      <c r="C13" s="41">
        <v>6.9342063E8</v>
      </c>
      <c r="D13" s="40"/>
      <c r="E13" s="41" t="s">
        <v>14865</v>
      </c>
      <c r="F13" s="41" t="s">
        <v>5380</v>
      </c>
      <c r="G13" s="41" t="s">
        <v>14866</v>
      </c>
      <c r="H13" s="41" t="s">
        <v>14822</v>
      </c>
      <c r="I13" s="43"/>
    </row>
    <row r="14">
      <c r="A14" s="44" t="s">
        <v>14867</v>
      </c>
      <c r="B14" s="44" t="s">
        <v>14868</v>
      </c>
      <c r="C14" s="44" t="s">
        <v>14869</v>
      </c>
      <c r="D14" s="46" t="s">
        <v>14870</v>
      </c>
      <c r="E14" s="44" t="s">
        <v>14871</v>
      </c>
      <c r="F14" s="44" t="s">
        <v>14872</v>
      </c>
      <c r="G14" s="44" t="s">
        <v>14873</v>
      </c>
      <c r="H14" s="44" t="s">
        <v>14822</v>
      </c>
      <c r="I14" s="45"/>
    </row>
    <row r="15">
      <c r="A15" s="41" t="s">
        <v>14874</v>
      </c>
      <c r="B15" s="41" t="s">
        <v>14875</v>
      </c>
      <c r="C15" s="41">
        <v>9.54216195E8</v>
      </c>
      <c r="D15" s="42" t="s">
        <v>14876</v>
      </c>
      <c r="E15" s="41" t="s">
        <v>813</v>
      </c>
      <c r="F15" s="41" t="s">
        <v>813</v>
      </c>
      <c r="G15" s="41" t="s">
        <v>14877</v>
      </c>
      <c r="H15" s="41" t="s">
        <v>14822</v>
      </c>
      <c r="I15" s="43"/>
    </row>
    <row r="16">
      <c r="A16" s="44" t="s">
        <v>14878</v>
      </c>
      <c r="B16" s="44" t="s">
        <v>14879</v>
      </c>
      <c r="C16" s="44">
        <v>9.61860411E8</v>
      </c>
      <c r="D16" s="46" t="s">
        <v>14880</v>
      </c>
      <c r="E16" s="44" t="s">
        <v>14881</v>
      </c>
      <c r="F16" s="44" t="s">
        <v>129</v>
      </c>
      <c r="G16" s="44" t="s">
        <v>14882</v>
      </c>
      <c r="H16" s="44" t="s">
        <v>14822</v>
      </c>
      <c r="I16" s="45"/>
    </row>
    <row r="17">
      <c r="A17" s="41" t="s">
        <v>14883</v>
      </c>
      <c r="B17" s="41" t="s">
        <v>14884</v>
      </c>
      <c r="C17" s="41">
        <v>6.35833283E8</v>
      </c>
      <c r="D17" s="40"/>
      <c r="E17" s="41" t="s">
        <v>231</v>
      </c>
      <c r="F17" s="41" t="s">
        <v>231</v>
      </c>
      <c r="G17" s="41" t="s">
        <v>14885</v>
      </c>
      <c r="H17" s="41" t="s">
        <v>14822</v>
      </c>
      <c r="I17" s="43"/>
    </row>
    <row r="18">
      <c r="A18" s="44" t="s">
        <v>14886</v>
      </c>
      <c r="B18" s="44" t="s">
        <v>14887</v>
      </c>
      <c r="C18" s="44" t="s">
        <v>14888</v>
      </c>
      <c r="D18" s="45"/>
      <c r="E18" s="44" t="s">
        <v>14889</v>
      </c>
      <c r="F18" s="44" t="s">
        <v>55</v>
      </c>
      <c r="G18" s="45"/>
      <c r="H18" s="44" t="s">
        <v>14822</v>
      </c>
      <c r="I18" s="45"/>
    </row>
    <row r="19">
      <c r="A19" s="41" t="s">
        <v>14890</v>
      </c>
      <c r="B19" s="41" t="s">
        <v>14891</v>
      </c>
      <c r="C19" s="41" t="s">
        <v>14892</v>
      </c>
      <c r="D19" s="40"/>
      <c r="E19" s="41" t="s">
        <v>55</v>
      </c>
      <c r="F19" s="41" t="s">
        <v>55</v>
      </c>
      <c r="G19" s="41" t="s">
        <v>14893</v>
      </c>
      <c r="H19" s="41" t="s">
        <v>14822</v>
      </c>
      <c r="I19" s="43"/>
    </row>
    <row r="20">
      <c r="A20" s="44" t="s">
        <v>14894</v>
      </c>
      <c r="B20" s="44" t="s">
        <v>14895</v>
      </c>
      <c r="C20" s="44" t="s">
        <v>14896</v>
      </c>
      <c r="D20" s="46" t="s">
        <v>14897</v>
      </c>
      <c r="E20" s="44" t="s">
        <v>129</v>
      </c>
      <c r="F20" s="44" t="s">
        <v>129</v>
      </c>
      <c r="G20" s="44" t="s">
        <v>14898</v>
      </c>
      <c r="H20" s="44" t="s">
        <v>14822</v>
      </c>
      <c r="I20" s="45"/>
    </row>
    <row r="21">
      <c r="A21" s="41" t="s">
        <v>14899</v>
      </c>
      <c r="B21" s="41" t="s">
        <v>14247</v>
      </c>
      <c r="C21" s="41">
        <v>6.16994509E8</v>
      </c>
      <c r="D21" s="42" t="s">
        <v>14249</v>
      </c>
      <c r="E21" s="41" t="s">
        <v>231</v>
      </c>
      <c r="F21" s="41" t="s">
        <v>231</v>
      </c>
      <c r="G21" s="41" t="s">
        <v>14900</v>
      </c>
      <c r="H21" s="41" t="s">
        <v>14822</v>
      </c>
      <c r="I21" s="43"/>
    </row>
    <row r="22">
      <c r="A22" s="44" t="s">
        <v>14901</v>
      </c>
      <c r="B22" s="44" t="s">
        <v>14902</v>
      </c>
      <c r="C22" s="44" t="s">
        <v>14903</v>
      </c>
      <c r="D22" s="46" t="s">
        <v>14904</v>
      </c>
      <c r="E22" s="44" t="s">
        <v>3081</v>
      </c>
      <c r="F22" s="44" t="s">
        <v>14905</v>
      </c>
      <c r="G22" s="44" t="s">
        <v>14906</v>
      </c>
      <c r="H22" s="44" t="s">
        <v>14822</v>
      </c>
      <c r="I22" s="45"/>
    </row>
    <row r="23">
      <c r="A23" s="41" t="s">
        <v>14907</v>
      </c>
      <c r="B23" s="41" t="s">
        <v>14908</v>
      </c>
      <c r="C23" s="41">
        <v>6.34752206E8</v>
      </c>
      <c r="D23" s="42" t="s">
        <v>14909</v>
      </c>
      <c r="E23" s="41" t="s">
        <v>55</v>
      </c>
      <c r="F23" s="41" t="s">
        <v>55</v>
      </c>
      <c r="G23" s="41" t="s">
        <v>14910</v>
      </c>
      <c r="H23" s="41" t="s">
        <v>14822</v>
      </c>
      <c r="I23" s="43"/>
    </row>
    <row r="24">
      <c r="A24" s="44" t="s">
        <v>14911</v>
      </c>
      <c r="B24" s="44" t="s">
        <v>14912</v>
      </c>
      <c r="C24" s="44">
        <v>9.55037363E8</v>
      </c>
      <c r="D24" s="45"/>
      <c r="E24" s="44" t="s">
        <v>813</v>
      </c>
      <c r="F24" s="44" t="s">
        <v>813</v>
      </c>
      <c r="G24" s="44" t="s">
        <v>14913</v>
      </c>
      <c r="H24" s="44" t="s">
        <v>14822</v>
      </c>
      <c r="I24" s="45"/>
    </row>
    <row r="25">
      <c r="A25" s="41" t="s">
        <v>12245</v>
      </c>
      <c r="B25" s="41" t="s">
        <v>12654</v>
      </c>
      <c r="C25" s="41">
        <v>6.27552208E8</v>
      </c>
      <c r="D25" s="40"/>
      <c r="E25" s="41" t="s">
        <v>14914</v>
      </c>
      <c r="F25" s="41" t="s">
        <v>14915</v>
      </c>
      <c r="G25" s="41" t="s">
        <v>12245</v>
      </c>
      <c r="H25" s="41" t="s">
        <v>14822</v>
      </c>
      <c r="I25" s="43"/>
    </row>
    <row r="26">
      <c r="A26" s="44" t="s">
        <v>14916</v>
      </c>
      <c r="B26" s="44" t="s">
        <v>14917</v>
      </c>
      <c r="C26" s="44">
        <v>6.69951287E8</v>
      </c>
      <c r="D26" s="46" t="s">
        <v>14918</v>
      </c>
      <c r="E26" s="44" t="s">
        <v>14919</v>
      </c>
      <c r="F26" s="44" t="s">
        <v>231</v>
      </c>
      <c r="G26" s="44" t="s">
        <v>14920</v>
      </c>
      <c r="H26" s="44" t="s">
        <v>14822</v>
      </c>
      <c r="I26" s="45"/>
    </row>
    <row r="27">
      <c r="A27" s="41" t="s">
        <v>14921</v>
      </c>
      <c r="B27" s="41" t="s">
        <v>14922</v>
      </c>
      <c r="C27" s="41" t="s">
        <v>14923</v>
      </c>
      <c r="D27" s="40"/>
      <c r="E27" s="41" t="s">
        <v>14924</v>
      </c>
      <c r="F27" s="41" t="s">
        <v>1612</v>
      </c>
      <c r="G27" s="41" t="s">
        <v>14925</v>
      </c>
      <c r="H27" s="41" t="s">
        <v>14822</v>
      </c>
      <c r="I27" s="43"/>
    </row>
    <row r="28">
      <c r="A28" s="44" t="s">
        <v>14926</v>
      </c>
      <c r="B28" s="44" t="s">
        <v>14927</v>
      </c>
      <c r="C28" s="44">
        <v>6.16684571E8</v>
      </c>
      <c r="D28" s="46" t="s">
        <v>14928</v>
      </c>
      <c r="E28" s="44" t="s">
        <v>14929</v>
      </c>
      <c r="F28" s="44" t="s">
        <v>1009</v>
      </c>
      <c r="G28" s="44" t="s">
        <v>14930</v>
      </c>
      <c r="H28" s="44" t="s">
        <v>14822</v>
      </c>
      <c r="I28" s="45"/>
    </row>
    <row r="29">
      <c r="A29" s="41" t="s">
        <v>14931</v>
      </c>
      <c r="B29" s="41" t="s">
        <v>14932</v>
      </c>
      <c r="C29" s="41" t="s">
        <v>14933</v>
      </c>
      <c r="D29" s="42" t="s">
        <v>14934</v>
      </c>
      <c r="E29" s="41" t="s">
        <v>7295</v>
      </c>
      <c r="F29" s="41" t="s">
        <v>7083</v>
      </c>
      <c r="G29" s="40"/>
      <c r="H29" s="41" t="s">
        <v>14822</v>
      </c>
      <c r="I29" s="43"/>
    </row>
    <row r="30">
      <c r="A30" s="44" t="s">
        <v>14935</v>
      </c>
      <c r="B30" s="44" t="s">
        <v>14936</v>
      </c>
      <c r="C30" s="44">
        <v>9.15316535E8</v>
      </c>
      <c r="D30" s="46" t="s">
        <v>14937</v>
      </c>
      <c r="E30" s="44" t="s">
        <v>55</v>
      </c>
      <c r="F30" s="44" t="s">
        <v>55</v>
      </c>
      <c r="G30" s="45"/>
      <c r="H30" s="44" t="s">
        <v>14822</v>
      </c>
      <c r="I30" s="45"/>
    </row>
    <row r="31">
      <c r="A31" s="41" t="s">
        <v>14938</v>
      </c>
      <c r="B31" s="41" t="s">
        <v>14939</v>
      </c>
      <c r="C31" s="41">
        <v>6.43696637E8</v>
      </c>
      <c r="D31" s="40"/>
      <c r="E31" s="41" t="s">
        <v>5048</v>
      </c>
      <c r="F31" s="41" t="s">
        <v>5048</v>
      </c>
      <c r="G31" s="41" t="s">
        <v>14938</v>
      </c>
      <c r="H31" s="41" t="s">
        <v>14822</v>
      </c>
      <c r="I31" s="43"/>
    </row>
    <row r="32">
      <c r="A32" s="44" t="s">
        <v>14940</v>
      </c>
      <c r="B32" s="44" t="s">
        <v>14932</v>
      </c>
      <c r="C32" s="44">
        <v>8.71649292E8</v>
      </c>
      <c r="D32" s="46" t="s">
        <v>14934</v>
      </c>
      <c r="E32" s="44" t="s">
        <v>7295</v>
      </c>
      <c r="F32" s="44" t="s">
        <v>7083</v>
      </c>
      <c r="G32" s="45"/>
      <c r="H32" s="44" t="s">
        <v>14822</v>
      </c>
      <c r="I32" s="45"/>
    </row>
    <row r="33">
      <c r="A33" s="41" t="s">
        <v>14941</v>
      </c>
      <c r="B33" s="41" t="s">
        <v>14942</v>
      </c>
      <c r="C33" s="41">
        <v>6.25877611E8</v>
      </c>
      <c r="D33" s="40"/>
      <c r="E33" s="41" t="s">
        <v>10842</v>
      </c>
      <c r="F33" s="41" t="s">
        <v>5048</v>
      </c>
      <c r="G33" s="41" t="s">
        <v>14941</v>
      </c>
      <c r="H33" s="41" t="s">
        <v>14822</v>
      </c>
      <c r="I33" s="43"/>
    </row>
    <row r="34">
      <c r="A34" s="44" t="s">
        <v>14943</v>
      </c>
      <c r="B34" s="44" t="s">
        <v>14944</v>
      </c>
      <c r="C34" s="44">
        <v>6.57071787E8</v>
      </c>
      <c r="D34" s="45"/>
      <c r="E34" s="44" t="s">
        <v>10049</v>
      </c>
      <c r="F34" s="44" t="s">
        <v>406</v>
      </c>
      <c r="G34" s="44" t="s">
        <v>14945</v>
      </c>
      <c r="H34" s="44" t="s">
        <v>14822</v>
      </c>
      <c r="I34" s="45"/>
    </row>
    <row r="35">
      <c r="A35" s="41" t="s">
        <v>14946</v>
      </c>
      <c r="B35" s="41" t="s">
        <v>14944</v>
      </c>
      <c r="C35" s="41">
        <v>6.59792954E8</v>
      </c>
      <c r="D35" s="40"/>
      <c r="E35" s="41" t="s">
        <v>723</v>
      </c>
      <c r="F35" s="41" t="s">
        <v>406</v>
      </c>
      <c r="G35" s="41" t="s">
        <v>14947</v>
      </c>
      <c r="H35" s="41" t="s">
        <v>14822</v>
      </c>
      <c r="I35" s="43"/>
    </row>
    <row r="36">
      <c r="A36" s="44" t="s">
        <v>14948</v>
      </c>
      <c r="B36" s="44" t="s">
        <v>14949</v>
      </c>
      <c r="C36" s="44" t="s">
        <v>14950</v>
      </c>
      <c r="D36" s="46" t="s">
        <v>14951</v>
      </c>
      <c r="E36" s="44" t="s">
        <v>2162</v>
      </c>
      <c r="F36" s="44" t="s">
        <v>2162</v>
      </c>
      <c r="G36" s="44" t="s">
        <v>14952</v>
      </c>
      <c r="H36" s="44" t="s">
        <v>14822</v>
      </c>
      <c r="I36" s="45"/>
    </row>
    <row r="37">
      <c r="A37" s="41" t="s">
        <v>14953</v>
      </c>
      <c r="B37" s="41" t="s">
        <v>14954</v>
      </c>
      <c r="C37" s="41">
        <v>6.79963088E8</v>
      </c>
      <c r="D37" s="40"/>
      <c r="E37" s="41" t="s">
        <v>8036</v>
      </c>
      <c r="F37" s="41" t="s">
        <v>55</v>
      </c>
      <c r="G37" s="41" t="s">
        <v>14953</v>
      </c>
      <c r="H37" s="41" t="s">
        <v>14822</v>
      </c>
      <c r="I37" s="43"/>
    </row>
    <row r="38">
      <c r="A38" s="44" t="s">
        <v>14955</v>
      </c>
      <c r="B38" s="44" t="s">
        <v>14956</v>
      </c>
      <c r="C38" s="45" t="str">
        <f>+34 (93) 415 38 67</f>
        <v>#ERROR!</v>
      </c>
      <c r="D38" s="46" t="s">
        <v>14957</v>
      </c>
      <c r="E38" s="44" t="s">
        <v>231</v>
      </c>
      <c r="F38" s="44" t="s">
        <v>231</v>
      </c>
      <c r="G38" s="44" t="s">
        <v>14958</v>
      </c>
      <c r="H38" s="44" t="s">
        <v>14822</v>
      </c>
      <c r="I38" s="45"/>
    </row>
    <row r="39">
      <c r="A39" s="41" t="s">
        <v>14959</v>
      </c>
      <c r="B39" s="41" t="s">
        <v>14960</v>
      </c>
      <c r="C39" s="41">
        <v>6.22238736E8</v>
      </c>
      <c r="D39" s="40"/>
      <c r="E39" s="41" t="s">
        <v>14961</v>
      </c>
      <c r="F39" s="41" t="s">
        <v>14915</v>
      </c>
      <c r="G39" s="41" t="s">
        <v>14962</v>
      </c>
      <c r="H39" s="41" t="s">
        <v>14822</v>
      </c>
      <c r="I39" s="43"/>
    </row>
    <row r="40">
      <c r="A40" s="44" t="s">
        <v>14963</v>
      </c>
      <c r="B40" s="44" t="s">
        <v>14964</v>
      </c>
      <c r="C40" s="44">
        <v>6.37069305E8</v>
      </c>
      <c r="D40" s="46" t="s">
        <v>14965</v>
      </c>
      <c r="E40" s="44" t="s">
        <v>231</v>
      </c>
      <c r="F40" s="44" t="s">
        <v>231</v>
      </c>
      <c r="G40" s="44" t="s">
        <v>14963</v>
      </c>
      <c r="H40" s="44" t="s">
        <v>14822</v>
      </c>
      <c r="I40" s="45"/>
    </row>
    <row r="41">
      <c r="A41" s="41" t="s">
        <v>14966</v>
      </c>
      <c r="B41" s="41" t="s">
        <v>14967</v>
      </c>
      <c r="C41" s="41" t="s">
        <v>14968</v>
      </c>
      <c r="D41" s="40"/>
      <c r="E41" s="41" t="s">
        <v>813</v>
      </c>
      <c r="F41" s="41" t="s">
        <v>813</v>
      </c>
      <c r="G41" s="41" t="s">
        <v>14969</v>
      </c>
      <c r="H41" s="41" t="s">
        <v>14822</v>
      </c>
      <c r="I41" s="43"/>
    </row>
    <row r="42">
      <c r="A42" s="44" t="s">
        <v>14970</v>
      </c>
      <c r="B42" s="44" t="s">
        <v>14971</v>
      </c>
      <c r="C42" s="44" t="s">
        <v>14972</v>
      </c>
      <c r="D42" s="46" t="s">
        <v>14973</v>
      </c>
      <c r="E42" s="44" t="s">
        <v>14974</v>
      </c>
      <c r="F42" s="44" t="s">
        <v>14975</v>
      </c>
      <c r="G42" s="44" t="s">
        <v>14976</v>
      </c>
      <c r="H42" s="44" t="s">
        <v>14822</v>
      </c>
      <c r="I42" s="45"/>
    </row>
    <row r="43">
      <c r="A43" s="41" t="s">
        <v>14977</v>
      </c>
      <c r="B43" s="41" t="s">
        <v>14978</v>
      </c>
      <c r="C43" s="41">
        <v>9.17000443E8</v>
      </c>
      <c r="D43" s="42" t="s">
        <v>14979</v>
      </c>
      <c r="E43" s="41" t="s">
        <v>55</v>
      </c>
      <c r="F43" s="41" t="s">
        <v>55</v>
      </c>
      <c r="G43" s="41" t="s">
        <v>14980</v>
      </c>
      <c r="H43" s="41" t="s">
        <v>14822</v>
      </c>
      <c r="I43" s="43"/>
    </row>
    <row r="44">
      <c r="A44" s="44" t="s">
        <v>14981</v>
      </c>
      <c r="B44" s="44" t="s">
        <v>14982</v>
      </c>
      <c r="C44" s="44">
        <v>6.67706241E8</v>
      </c>
      <c r="D44" s="45"/>
      <c r="E44" s="44" t="s">
        <v>14983</v>
      </c>
      <c r="F44" s="44" t="s">
        <v>1198</v>
      </c>
      <c r="G44" s="44" t="s">
        <v>14984</v>
      </c>
      <c r="H44" s="44" t="s">
        <v>14822</v>
      </c>
      <c r="I44" s="45"/>
    </row>
    <row r="45">
      <c r="A45" s="41" t="s">
        <v>14985</v>
      </c>
      <c r="B45" s="41" t="s">
        <v>14986</v>
      </c>
      <c r="C45" s="41">
        <v>6.39654489E8</v>
      </c>
      <c r="D45" s="42" t="s">
        <v>14987</v>
      </c>
      <c r="E45" s="41" t="s">
        <v>231</v>
      </c>
      <c r="F45" s="41" t="s">
        <v>231</v>
      </c>
      <c r="G45" s="41" t="s">
        <v>14988</v>
      </c>
      <c r="H45" s="41" t="s">
        <v>14822</v>
      </c>
      <c r="I45" s="43"/>
    </row>
    <row r="46">
      <c r="A46" s="44" t="s">
        <v>14989</v>
      </c>
      <c r="B46" s="44" t="s">
        <v>14990</v>
      </c>
      <c r="C46" s="44" t="s">
        <v>14991</v>
      </c>
      <c r="D46" s="45"/>
      <c r="E46" s="44" t="s">
        <v>7440</v>
      </c>
      <c r="F46" s="44" t="s">
        <v>231</v>
      </c>
      <c r="G46" s="45"/>
      <c r="H46" s="44" t="s">
        <v>14822</v>
      </c>
      <c r="I46" s="45"/>
    </row>
    <row r="47">
      <c r="A47" s="41" t="s">
        <v>14992</v>
      </c>
      <c r="B47" s="41" t="s">
        <v>14993</v>
      </c>
      <c r="C47" s="41" t="s">
        <v>14994</v>
      </c>
      <c r="D47" s="40"/>
      <c r="E47" s="41" t="s">
        <v>55</v>
      </c>
      <c r="F47" s="41" t="s">
        <v>55</v>
      </c>
      <c r="G47" s="40"/>
      <c r="H47" s="41" t="s">
        <v>14822</v>
      </c>
      <c r="I47" s="43"/>
    </row>
    <row r="48">
      <c r="A48" s="44" t="s">
        <v>14995</v>
      </c>
      <c r="B48" s="44" t="s">
        <v>14996</v>
      </c>
      <c r="C48" s="44" t="s">
        <v>14997</v>
      </c>
      <c r="D48" s="45"/>
      <c r="E48" s="44" t="s">
        <v>55</v>
      </c>
      <c r="F48" s="44" t="s">
        <v>55</v>
      </c>
      <c r="G48" s="44" t="s">
        <v>14998</v>
      </c>
      <c r="H48" s="44" t="s">
        <v>14822</v>
      </c>
      <c r="I48" s="45"/>
    </row>
    <row r="49">
      <c r="A49" s="41" t="s">
        <v>14999</v>
      </c>
      <c r="B49" s="41" t="s">
        <v>10554</v>
      </c>
      <c r="C49" s="41">
        <v>6.30035923E8</v>
      </c>
      <c r="D49" s="42" t="s">
        <v>15000</v>
      </c>
      <c r="E49" s="41" t="s">
        <v>55</v>
      </c>
      <c r="F49" s="41" t="s">
        <v>55</v>
      </c>
      <c r="G49" s="41" t="s">
        <v>15001</v>
      </c>
      <c r="H49" s="41" t="s">
        <v>14822</v>
      </c>
      <c r="I49" s="43"/>
    </row>
    <row r="50">
      <c r="A50" s="44" t="s">
        <v>15002</v>
      </c>
      <c r="B50" s="44" t="s">
        <v>15003</v>
      </c>
      <c r="C50" s="44">
        <v>6.28797132E8</v>
      </c>
      <c r="D50" s="46" t="s">
        <v>15004</v>
      </c>
      <c r="E50" s="44" t="s">
        <v>2162</v>
      </c>
      <c r="F50" s="44" t="s">
        <v>2162</v>
      </c>
      <c r="G50" s="44" t="s">
        <v>15002</v>
      </c>
      <c r="H50" s="44" t="s">
        <v>14822</v>
      </c>
      <c r="I50" s="45"/>
    </row>
    <row r="51">
      <c r="A51" s="41" t="s">
        <v>15005</v>
      </c>
      <c r="B51" s="41" t="s">
        <v>15006</v>
      </c>
      <c r="C51" s="41">
        <v>6.50697627E8</v>
      </c>
      <c r="D51" s="42" t="s">
        <v>15007</v>
      </c>
      <c r="E51" s="41" t="s">
        <v>13041</v>
      </c>
      <c r="F51" s="41" t="s">
        <v>14975</v>
      </c>
      <c r="G51" s="41" t="s">
        <v>5635</v>
      </c>
      <c r="H51" s="41" t="s">
        <v>14822</v>
      </c>
      <c r="I51" s="43"/>
    </row>
    <row r="52">
      <c r="A52" s="44" t="s">
        <v>15008</v>
      </c>
      <c r="B52" s="44" t="s">
        <v>15009</v>
      </c>
      <c r="C52" s="44">
        <v>6.33326681E8</v>
      </c>
      <c r="D52" s="46" t="s">
        <v>15010</v>
      </c>
      <c r="E52" s="44" t="s">
        <v>8431</v>
      </c>
      <c r="F52" s="44" t="s">
        <v>813</v>
      </c>
      <c r="G52" s="44" t="s">
        <v>15011</v>
      </c>
      <c r="H52" s="44" t="s">
        <v>14822</v>
      </c>
      <c r="I52" s="45"/>
    </row>
    <row r="53">
      <c r="A53" s="41" t="s">
        <v>15012</v>
      </c>
      <c r="B53" s="41" t="s">
        <v>15013</v>
      </c>
      <c r="C53" s="41" t="s">
        <v>15014</v>
      </c>
      <c r="D53" s="42" t="s">
        <v>15015</v>
      </c>
      <c r="E53" s="41" t="s">
        <v>15016</v>
      </c>
      <c r="F53" s="41" t="s">
        <v>14915</v>
      </c>
      <c r="G53" s="40"/>
      <c r="H53" s="41" t="s">
        <v>14822</v>
      </c>
      <c r="I53" s="43"/>
    </row>
    <row r="54">
      <c r="A54" s="44" t="s">
        <v>15017</v>
      </c>
      <c r="B54" s="44" t="s">
        <v>15013</v>
      </c>
      <c r="C54" s="45" t="str">
        <f>+34 686757261</f>
        <v>#ERROR!</v>
      </c>
      <c r="D54" s="46" t="s">
        <v>15018</v>
      </c>
      <c r="E54" s="44" t="s">
        <v>15019</v>
      </c>
      <c r="F54" s="44" t="s">
        <v>14915</v>
      </c>
      <c r="G54" s="44" t="s">
        <v>15020</v>
      </c>
      <c r="H54" s="44" t="s">
        <v>14822</v>
      </c>
      <c r="I54" s="45"/>
    </row>
    <row r="55">
      <c r="A55" s="41" t="s">
        <v>15021</v>
      </c>
      <c r="B55" s="41" t="s">
        <v>15022</v>
      </c>
      <c r="C55" s="41" t="s">
        <v>15023</v>
      </c>
      <c r="D55" s="42" t="s">
        <v>15024</v>
      </c>
      <c r="E55" s="41" t="s">
        <v>5380</v>
      </c>
      <c r="F55" s="41" t="s">
        <v>5380</v>
      </c>
      <c r="G55" s="40"/>
      <c r="H55" s="41" t="s">
        <v>14822</v>
      </c>
      <c r="I55" s="43"/>
    </row>
    <row r="56">
      <c r="A56" s="44" t="s">
        <v>15025</v>
      </c>
      <c r="B56" s="44" t="s">
        <v>15026</v>
      </c>
      <c r="C56" s="44">
        <v>6.22375626E8</v>
      </c>
      <c r="D56" s="46" t="s">
        <v>15027</v>
      </c>
      <c r="E56" s="44" t="s">
        <v>15028</v>
      </c>
      <c r="F56" s="44" t="s">
        <v>1171</v>
      </c>
      <c r="G56" s="44" t="s">
        <v>15029</v>
      </c>
      <c r="H56" s="44" t="s">
        <v>14822</v>
      </c>
      <c r="I56" s="45"/>
    </row>
    <row r="57">
      <c r="A57" s="41" t="s">
        <v>15030</v>
      </c>
      <c r="B57" s="41" t="s">
        <v>15031</v>
      </c>
      <c r="C57" s="41">
        <v>9.33208242E8</v>
      </c>
      <c r="D57" s="42" t="s">
        <v>15032</v>
      </c>
      <c r="E57" s="41" t="s">
        <v>231</v>
      </c>
      <c r="F57" s="41" t="s">
        <v>231</v>
      </c>
      <c r="G57" s="40"/>
      <c r="H57" s="41" t="s">
        <v>14822</v>
      </c>
      <c r="I57" s="43"/>
    </row>
    <row r="58">
      <c r="A58" s="44" t="s">
        <v>15033</v>
      </c>
      <c r="B58" s="44" t="s">
        <v>15034</v>
      </c>
      <c r="C58" s="44">
        <v>6.86802413E8</v>
      </c>
      <c r="D58" s="45"/>
      <c r="E58" s="44" t="s">
        <v>55</v>
      </c>
      <c r="F58" s="44" t="s">
        <v>55</v>
      </c>
      <c r="G58" s="44" t="s">
        <v>15035</v>
      </c>
      <c r="H58" s="44" t="s">
        <v>14822</v>
      </c>
      <c r="I58" s="45"/>
    </row>
    <row r="59">
      <c r="A59" s="41" t="s">
        <v>15036</v>
      </c>
      <c r="B59" s="41" t="s">
        <v>15037</v>
      </c>
      <c r="C59" s="41">
        <v>6.67654378E8</v>
      </c>
      <c r="D59" s="40"/>
      <c r="E59" s="41" t="s">
        <v>55</v>
      </c>
      <c r="F59" s="41" t="s">
        <v>55</v>
      </c>
      <c r="G59" s="40"/>
      <c r="H59" s="41" t="s">
        <v>14822</v>
      </c>
      <c r="I59" s="43"/>
    </row>
    <row r="60">
      <c r="A60" s="44" t="s">
        <v>15038</v>
      </c>
      <c r="B60" s="44" t="s">
        <v>15039</v>
      </c>
      <c r="C60" s="44">
        <v>6.28406897E8</v>
      </c>
      <c r="D60" s="46" t="s">
        <v>15040</v>
      </c>
      <c r="E60" s="44" t="s">
        <v>55</v>
      </c>
      <c r="F60" s="44" t="s">
        <v>55</v>
      </c>
      <c r="G60" s="45"/>
      <c r="H60" s="44" t="s">
        <v>14822</v>
      </c>
      <c r="I60" s="45"/>
    </row>
    <row r="61">
      <c r="A61" s="41" t="s">
        <v>15041</v>
      </c>
      <c r="B61" s="41" t="s">
        <v>15042</v>
      </c>
      <c r="C61" s="41">
        <v>6.66663137E8</v>
      </c>
      <c r="D61" s="40"/>
      <c r="E61" s="41" t="s">
        <v>8036</v>
      </c>
      <c r="F61" s="41" t="s">
        <v>55</v>
      </c>
      <c r="G61" s="41" t="s">
        <v>15041</v>
      </c>
      <c r="H61" s="41" t="s">
        <v>14822</v>
      </c>
      <c r="I61" s="43"/>
    </row>
    <row r="62">
      <c r="A62" s="44" t="s">
        <v>15043</v>
      </c>
      <c r="B62" s="44" t="s">
        <v>15044</v>
      </c>
      <c r="C62" s="44">
        <v>6.28507283E8</v>
      </c>
      <c r="D62" s="45"/>
      <c r="E62" s="44" t="s">
        <v>8543</v>
      </c>
      <c r="F62" s="44" t="s">
        <v>1352</v>
      </c>
      <c r="G62" s="44" t="s">
        <v>15043</v>
      </c>
      <c r="H62" s="44" t="s">
        <v>14822</v>
      </c>
      <c r="I62" s="45"/>
    </row>
    <row r="63">
      <c r="A63" s="41" t="s">
        <v>15045</v>
      </c>
      <c r="B63" s="41" t="s">
        <v>15046</v>
      </c>
      <c r="C63" s="41" t="s">
        <v>15047</v>
      </c>
      <c r="D63" s="42" t="s">
        <v>15048</v>
      </c>
      <c r="E63" s="41" t="s">
        <v>55</v>
      </c>
      <c r="F63" s="41" t="s">
        <v>55</v>
      </c>
      <c r="G63" s="41" t="s">
        <v>15049</v>
      </c>
      <c r="H63" s="41" t="s">
        <v>14822</v>
      </c>
      <c r="I63" s="43"/>
    </row>
    <row r="64">
      <c r="A64" s="44" t="s">
        <v>15050</v>
      </c>
      <c r="B64" s="44" t="s">
        <v>15046</v>
      </c>
      <c r="C64" s="44" t="s">
        <v>15051</v>
      </c>
      <c r="D64" s="45"/>
      <c r="E64" s="44" t="s">
        <v>55</v>
      </c>
      <c r="F64" s="44" t="s">
        <v>55</v>
      </c>
      <c r="G64" s="44" t="s">
        <v>15052</v>
      </c>
      <c r="H64" s="44" t="s">
        <v>14822</v>
      </c>
      <c r="I64" s="45"/>
    </row>
    <row r="65">
      <c r="A65" s="41" t="s">
        <v>15053</v>
      </c>
      <c r="B65" s="41" t="s">
        <v>15054</v>
      </c>
      <c r="C65" s="41">
        <v>6.05358504E8</v>
      </c>
      <c r="D65" s="42" t="s">
        <v>15055</v>
      </c>
      <c r="E65" s="41" t="s">
        <v>15056</v>
      </c>
      <c r="F65" s="41" t="s">
        <v>5380</v>
      </c>
      <c r="G65" s="41" t="s">
        <v>15057</v>
      </c>
      <c r="H65" s="41" t="s">
        <v>14822</v>
      </c>
      <c r="I65" s="43"/>
    </row>
    <row r="66">
      <c r="A66" s="44" t="s">
        <v>15058</v>
      </c>
      <c r="B66" s="44" t="s">
        <v>15059</v>
      </c>
      <c r="C66" s="44">
        <v>6.80858851E8</v>
      </c>
      <c r="D66" s="46" t="s">
        <v>15060</v>
      </c>
      <c r="E66" s="44" t="s">
        <v>55</v>
      </c>
      <c r="F66" s="44" t="s">
        <v>55</v>
      </c>
      <c r="G66" s="44" t="s">
        <v>15061</v>
      </c>
      <c r="H66" s="44" t="s">
        <v>14822</v>
      </c>
      <c r="I66" s="45"/>
    </row>
    <row r="67">
      <c r="A67" s="41" t="s">
        <v>15062</v>
      </c>
      <c r="B67" s="41" t="s">
        <v>15063</v>
      </c>
      <c r="C67" s="41">
        <v>9.17010761E8</v>
      </c>
      <c r="D67" s="40"/>
      <c r="E67" s="41" t="s">
        <v>55</v>
      </c>
      <c r="F67" s="41" t="s">
        <v>55</v>
      </c>
      <c r="G67" s="40"/>
      <c r="H67" s="41" t="s">
        <v>14822</v>
      </c>
      <c r="I67" s="43"/>
    </row>
    <row r="68">
      <c r="A68" s="44" t="s">
        <v>15064</v>
      </c>
      <c r="B68" s="44" t="s">
        <v>15065</v>
      </c>
      <c r="C68" s="45">
        <f>+34658407884</f>
        <v>34658407884</v>
      </c>
      <c r="D68" s="45"/>
      <c r="E68" s="44" t="s">
        <v>3295</v>
      </c>
      <c r="F68" s="44" t="s">
        <v>55</v>
      </c>
      <c r="G68" s="44" t="s">
        <v>15066</v>
      </c>
      <c r="H68" s="44" t="s">
        <v>14822</v>
      </c>
      <c r="I68" s="45"/>
    </row>
    <row r="69">
      <c r="A69" s="41" t="s">
        <v>15067</v>
      </c>
      <c r="B69" s="41" t="s">
        <v>15068</v>
      </c>
      <c r="C69" s="41" t="s">
        <v>15069</v>
      </c>
      <c r="D69" s="42" t="s">
        <v>15070</v>
      </c>
      <c r="E69" s="41" t="s">
        <v>1014</v>
      </c>
      <c r="F69" s="41" t="s">
        <v>1014</v>
      </c>
      <c r="G69" s="41" t="s">
        <v>15071</v>
      </c>
      <c r="H69" s="41" t="s">
        <v>14822</v>
      </c>
      <c r="I69" s="43"/>
    </row>
    <row r="70">
      <c r="A70" s="44" t="s">
        <v>15072</v>
      </c>
      <c r="B70" s="44" t="s">
        <v>15073</v>
      </c>
      <c r="C70" s="44">
        <v>6.99336605E8</v>
      </c>
      <c r="D70" s="46" t="s">
        <v>15074</v>
      </c>
      <c r="E70" s="44" t="s">
        <v>15075</v>
      </c>
      <c r="F70" s="44" t="s">
        <v>395</v>
      </c>
      <c r="G70" s="44" t="s">
        <v>15076</v>
      </c>
      <c r="H70" s="44" t="s">
        <v>14822</v>
      </c>
      <c r="I70" s="45"/>
    </row>
    <row r="71">
      <c r="A71" s="41" t="s">
        <v>15077</v>
      </c>
      <c r="B71" s="41" t="s">
        <v>15078</v>
      </c>
      <c r="C71" s="41">
        <v>9.1116296E8</v>
      </c>
      <c r="D71" s="42" t="s">
        <v>15079</v>
      </c>
      <c r="E71" s="41" t="s">
        <v>15080</v>
      </c>
      <c r="F71" s="41" t="s">
        <v>55</v>
      </c>
      <c r="G71" s="40"/>
      <c r="H71" s="41" t="s">
        <v>14822</v>
      </c>
      <c r="I71" s="43"/>
    </row>
    <row r="72">
      <c r="A72" s="44" t="s">
        <v>15081</v>
      </c>
      <c r="B72" s="44" t="s">
        <v>15082</v>
      </c>
      <c r="C72" s="44">
        <v>6.46485208E8</v>
      </c>
      <c r="D72" s="46" t="s">
        <v>15083</v>
      </c>
      <c r="E72" s="44" t="s">
        <v>2473</v>
      </c>
      <c r="F72" s="44" t="s">
        <v>55</v>
      </c>
      <c r="G72" s="44" t="s">
        <v>15084</v>
      </c>
      <c r="H72" s="44" t="s">
        <v>14822</v>
      </c>
      <c r="I72" s="45"/>
    </row>
    <row r="73">
      <c r="A73" s="41" t="s">
        <v>15085</v>
      </c>
      <c r="B73" s="41" t="s">
        <v>15086</v>
      </c>
      <c r="C73" s="41">
        <v>9.15487348E8</v>
      </c>
      <c r="D73" s="42" t="s">
        <v>15087</v>
      </c>
      <c r="E73" s="41" t="s">
        <v>55</v>
      </c>
      <c r="F73" s="41" t="s">
        <v>55</v>
      </c>
      <c r="G73" s="41" t="s">
        <v>15088</v>
      </c>
      <c r="H73" s="41" t="s">
        <v>14822</v>
      </c>
      <c r="I73" s="43"/>
    </row>
    <row r="74">
      <c r="A74" s="44" t="s">
        <v>15089</v>
      </c>
      <c r="B74" s="44" t="s">
        <v>15090</v>
      </c>
      <c r="C74" s="44" t="s">
        <v>15091</v>
      </c>
      <c r="D74" s="46" t="s">
        <v>15092</v>
      </c>
      <c r="E74" s="44" t="s">
        <v>3081</v>
      </c>
      <c r="F74" s="44" t="s">
        <v>14905</v>
      </c>
      <c r="G74" s="45"/>
      <c r="H74" s="44" t="s">
        <v>14822</v>
      </c>
      <c r="I74" s="45"/>
    </row>
    <row r="75">
      <c r="A75" s="41" t="s">
        <v>15093</v>
      </c>
      <c r="B75" s="41" t="s">
        <v>15094</v>
      </c>
      <c r="C75" s="41">
        <v>9.65878906E8</v>
      </c>
      <c r="D75" s="42" t="s">
        <v>15095</v>
      </c>
      <c r="E75" s="41" t="s">
        <v>15096</v>
      </c>
      <c r="F75" s="41" t="s">
        <v>1612</v>
      </c>
      <c r="G75" s="41" t="s">
        <v>15097</v>
      </c>
      <c r="H75" s="41" t="s">
        <v>14822</v>
      </c>
      <c r="I75" s="43"/>
    </row>
    <row r="76">
      <c r="A76" s="44" t="s">
        <v>15098</v>
      </c>
      <c r="B76" s="44" t="s">
        <v>15099</v>
      </c>
      <c r="C76" s="44">
        <v>6.60308272E8</v>
      </c>
      <c r="D76" s="46" t="s">
        <v>15100</v>
      </c>
      <c r="E76" s="44" t="s">
        <v>15101</v>
      </c>
      <c r="F76" s="44" t="s">
        <v>231</v>
      </c>
      <c r="G76" s="44" t="s">
        <v>15102</v>
      </c>
      <c r="H76" s="44" t="s">
        <v>14822</v>
      </c>
      <c r="I76" s="45"/>
    </row>
    <row r="77">
      <c r="A77" s="42" t="s">
        <v>15103</v>
      </c>
      <c r="B77" s="41" t="s">
        <v>15104</v>
      </c>
      <c r="C77" s="41">
        <v>6.29080844E8</v>
      </c>
      <c r="D77" s="42" t="s">
        <v>15105</v>
      </c>
      <c r="E77" s="41" t="s">
        <v>8036</v>
      </c>
      <c r="F77" s="41" t="s">
        <v>55</v>
      </c>
      <c r="G77" s="41" t="s">
        <v>15106</v>
      </c>
      <c r="H77" s="41" t="s">
        <v>14822</v>
      </c>
      <c r="I77" s="43"/>
    </row>
    <row r="78">
      <c r="A78" s="44" t="s">
        <v>15107</v>
      </c>
      <c r="B78" s="44" t="s">
        <v>15108</v>
      </c>
      <c r="C78" s="44">
        <v>6.14114566E8</v>
      </c>
      <c r="D78" s="46" t="s">
        <v>15109</v>
      </c>
      <c r="E78" s="44" t="s">
        <v>55</v>
      </c>
      <c r="F78" s="44" t="s">
        <v>55</v>
      </c>
      <c r="G78" s="44" t="s">
        <v>15110</v>
      </c>
      <c r="H78" s="44" t="s">
        <v>14822</v>
      </c>
      <c r="I78" s="45"/>
    </row>
    <row r="79">
      <c r="A79" s="41" t="s">
        <v>15111</v>
      </c>
      <c r="B79" s="41" t="s">
        <v>15112</v>
      </c>
      <c r="C79" s="41" t="s">
        <v>15113</v>
      </c>
      <c r="D79" s="42" t="s">
        <v>15114</v>
      </c>
      <c r="E79" s="41" t="s">
        <v>15115</v>
      </c>
      <c r="F79" s="41" t="s">
        <v>55</v>
      </c>
      <c r="G79" s="40"/>
      <c r="H79" s="41" t="s">
        <v>14822</v>
      </c>
      <c r="I79" s="43"/>
    </row>
    <row r="80">
      <c r="A80" s="44" t="s">
        <v>15116</v>
      </c>
      <c r="B80" s="44" t="s">
        <v>15117</v>
      </c>
      <c r="C80" s="44">
        <v>6.20222892E8</v>
      </c>
      <c r="D80" s="45"/>
      <c r="E80" s="44" t="s">
        <v>55</v>
      </c>
      <c r="F80" s="44" t="s">
        <v>55</v>
      </c>
      <c r="G80" s="44" t="s">
        <v>15118</v>
      </c>
      <c r="H80" s="44" t="s">
        <v>14822</v>
      </c>
      <c r="I80" s="45"/>
    </row>
    <row r="81">
      <c r="A81" s="41" t="s">
        <v>15119</v>
      </c>
      <c r="B81" s="41" t="s">
        <v>15120</v>
      </c>
      <c r="C81" s="41">
        <v>6.26265844E8</v>
      </c>
      <c r="D81" s="40"/>
      <c r="E81" s="41" t="s">
        <v>55</v>
      </c>
      <c r="F81" s="41" t="s">
        <v>55</v>
      </c>
      <c r="G81" s="41" t="s">
        <v>15121</v>
      </c>
      <c r="H81" s="41" t="s">
        <v>14822</v>
      </c>
      <c r="I81" s="43"/>
    </row>
    <row r="82">
      <c r="A82" s="44" t="s">
        <v>15122</v>
      </c>
      <c r="B82" s="44" t="s">
        <v>15123</v>
      </c>
      <c r="C82" s="44" t="s">
        <v>15124</v>
      </c>
      <c r="D82" s="46" t="s">
        <v>15125</v>
      </c>
      <c r="E82" s="44" t="s">
        <v>3008</v>
      </c>
      <c r="F82" s="44" t="s">
        <v>14872</v>
      </c>
      <c r="G82" s="45"/>
      <c r="H82" s="44" t="s">
        <v>14822</v>
      </c>
      <c r="I82" s="45"/>
    </row>
    <row r="83">
      <c r="A83" s="41" t="s">
        <v>15126</v>
      </c>
      <c r="B83" s="41" t="s">
        <v>15127</v>
      </c>
      <c r="C83" s="41" t="s">
        <v>15128</v>
      </c>
      <c r="D83" s="40"/>
      <c r="E83" s="41" t="s">
        <v>3295</v>
      </c>
      <c r="F83" s="41" t="s">
        <v>55</v>
      </c>
      <c r="G83" s="41" t="s">
        <v>15129</v>
      </c>
      <c r="H83" s="41" t="s">
        <v>14822</v>
      </c>
      <c r="I83" s="43"/>
    </row>
    <row r="84">
      <c r="A84" s="44" t="s">
        <v>15130</v>
      </c>
      <c r="B84" s="44" t="s">
        <v>15131</v>
      </c>
      <c r="C84" s="44">
        <v>6.92067789E8</v>
      </c>
      <c r="D84" s="46" t="s">
        <v>15132</v>
      </c>
      <c r="E84" s="44" t="s">
        <v>15133</v>
      </c>
      <c r="F84" s="44" t="s">
        <v>129</v>
      </c>
      <c r="G84" s="44" t="s">
        <v>15134</v>
      </c>
      <c r="H84" s="44" t="s">
        <v>14822</v>
      </c>
      <c r="I84" s="45"/>
    </row>
    <row r="85">
      <c r="A85" s="41" t="s">
        <v>15135</v>
      </c>
      <c r="B85" s="41" t="s">
        <v>15136</v>
      </c>
      <c r="C85" s="47">
        <v>9.37262364E8</v>
      </c>
      <c r="D85" s="42" t="s">
        <v>15137</v>
      </c>
      <c r="E85" s="41" t="s">
        <v>7388</v>
      </c>
      <c r="F85" s="41" t="s">
        <v>231</v>
      </c>
      <c r="G85" s="41" t="s">
        <v>15138</v>
      </c>
      <c r="H85" s="41" t="s">
        <v>14822</v>
      </c>
      <c r="I85" s="43"/>
    </row>
    <row r="86">
      <c r="A86" s="44" t="s">
        <v>15139</v>
      </c>
      <c r="B86" s="44" t="s">
        <v>15140</v>
      </c>
      <c r="C86" s="45" t="str">
        <f>+34 607 81 25 90</f>
        <v>#ERROR!</v>
      </c>
      <c r="D86" s="46" t="s">
        <v>15141</v>
      </c>
      <c r="E86" s="44" t="s">
        <v>2660</v>
      </c>
      <c r="F86" s="44" t="s">
        <v>2660</v>
      </c>
      <c r="G86" s="44" t="s">
        <v>15142</v>
      </c>
      <c r="H86" s="44" t="s">
        <v>14822</v>
      </c>
      <c r="I86" s="45"/>
    </row>
    <row r="87">
      <c r="A87" s="41" t="s">
        <v>15143</v>
      </c>
      <c r="B87" s="41" t="s">
        <v>15144</v>
      </c>
      <c r="C87" s="41" t="s">
        <v>15145</v>
      </c>
      <c r="D87" s="40"/>
      <c r="E87" s="41" t="s">
        <v>15146</v>
      </c>
      <c r="F87" s="41" t="s">
        <v>813</v>
      </c>
      <c r="G87" s="40"/>
      <c r="H87" s="41" t="s">
        <v>14822</v>
      </c>
      <c r="I87" s="43"/>
    </row>
    <row r="88">
      <c r="A88" s="44" t="s">
        <v>15147</v>
      </c>
      <c r="B88" s="44" t="s">
        <v>15148</v>
      </c>
      <c r="C88" s="44" t="s">
        <v>15149</v>
      </c>
      <c r="D88" s="46" t="s">
        <v>15150</v>
      </c>
      <c r="E88" s="44" t="s">
        <v>231</v>
      </c>
      <c r="F88" s="44" t="s">
        <v>55</v>
      </c>
      <c r="G88" s="45"/>
      <c r="H88" s="44" t="s">
        <v>14822</v>
      </c>
      <c r="I88" s="45"/>
    </row>
    <row r="89">
      <c r="A89" s="41" t="s">
        <v>15151</v>
      </c>
      <c r="B89" s="41" t="s">
        <v>15152</v>
      </c>
      <c r="C89" s="41">
        <v>6.10106808E8</v>
      </c>
      <c r="D89" s="42" t="s">
        <v>15153</v>
      </c>
      <c r="E89" s="41" t="s">
        <v>4660</v>
      </c>
      <c r="F89" s="41" t="s">
        <v>1462</v>
      </c>
      <c r="G89" s="41" t="s">
        <v>15154</v>
      </c>
      <c r="H89" s="41" t="s">
        <v>14822</v>
      </c>
      <c r="I89" s="43"/>
    </row>
    <row r="90">
      <c r="A90" s="44" t="s">
        <v>15155</v>
      </c>
      <c r="B90" s="44" t="s">
        <v>15156</v>
      </c>
      <c r="C90" s="44" t="s">
        <v>15157</v>
      </c>
      <c r="D90" s="46" t="s">
        <v>15158</v>
      </c>
      <c r="E90" s="44" t="s">
        <v>1163</v>
      </c>
      <c r="F90" s="44" t="s">
        <v>253</v>
      </c>
      <c r="G90" s="45"/>
      <c r="H90" s="44" t="s">
        <v>14822</v>
      </c>
      <c r="I90" s="45"/>
    </row>
    <row r="91">
      <c r="A91" s="41" t="s">
        <v>15159</v>
      </c>
      <c r="B91" s="41" t="s">
        <v>15160</v>
      </c>
      <c r="C91" s="41">
        <v>6.20248144E8</v>
      </c>
      <c r="D91" s="40"/>
      <c r="E91" s="41" t="s">
        <v>55</v>
      </c>
      <c r="F91" s="41" t="s">
        <v>55</v>
      </c>
      <c r="G91" s="41" t="s">
        <v>15161</v>
      </c>
      <c r="H91" s="41" t="s">
        <v>14822</v>
      </c>
      <c r="I91" s="43"/>
    </row>
    <row r="92">
      <c r="A92" s="44" t="s">
        <v>15162</v>
      </c>
      <c r="B92" s="44" t="s">
        <v>15163</v>
      </c>
      <c r="C92" s="44">
        <v>6.85149016E8</v>
      </c>
      <c r="D92" s="46" t="s">
        <v>15164</v>
      </c>
      <c r="E92" s="44" t="s">
        <v>13018</v>
      </c>
      <c r="F92" s="44" t="s">
        <v>15165</v>
      </c>
      <c r="G92" s="44" t="s">
        <v>15166</v>
      </c>
      <c r="H92" s="44" t="s">
        <v>14822</v>
      </c>
      <c r="I92" s="45"/>
    </row>
    <row r="93">
      <c r="A93" s="41" t="s">
        <v>15167</v>
      </c>
      <c r="B93" s="41" t="s">
        <v>15168</v>
      </c>
      <c r="C93" s="41">
        <v>7.22440401E8</v>
      </c>
      <c r="D93" s="42" t="s">
        <v>15169</v>
      </c>
      <c r="E93" s="41" t="s">
        <v>489</v>
      </c>
      <c r="F93" s="41" t="s">
        <v>10629</v>
      </c>
      <c r="G93" s="40"/>
      <c r="H93" s="41" t="s">
        <v>14822</v>
      </c>
      <c r="I93" s="43"/>
    </row>
    <row r="94">
      <c r="A94" s="44" t="s">
        <v>15170</v>
      </c>
      <c r="B94" s="44" t="s">
        <v>15171</v>
      </c>
      <c r="C94" s="44">
        <v>6.63750447E8</v>
      </c>
      <c r="D94" s="46" t="s">
        <v>15172</v>
      </c>
      <c r="E94" s="44" t="s">
        <v>8036</v>
      </c>
      <c r="F94" s="44" t="s">
        <v>55</v>
      </c>
      <c r="G94" s="44" t="s">
        <v>15173</v>
      </c>
      <c r="H94" s="44" t="s">
        <v>14822</v>
      </c>
      <c r="I94" s="45"/>
    </row>
    <row r="95">
      <c r="A95" s="41" t="s">
        <v>15174</v>
      </c>
      <c r="B95" s="41" t="s">
        <v>15175</v>
      </c>
      <c r="C95" s="41" t="s">
        <v>15176</v>
      </c>
      <c r="D95" s="42" t="s">
        <v>15177</v>
      </c>
      <c r="E95" s="41" t="s">
        <v>55</v>
      </c>
      <c r="F95" s="41" t="s">
        <v>55</v>
      </c>
      <c r="G95" s="41" t="s">
        <v>15178</v>
      </c>
      <c r="H95" s="41" t="s">
        <v>14822</v>
      </c>
      <c r="I95" s="43"/>
    </row>
    <row r="96">
      <c r="A96" s="44" t="s">
        <v>15179</v>
      </c>
      <c r="B96" s="44" t="s">
        <v>15180</v>
      </c>
      <c r="C96" s="44">
        <v>6.69868012E8</v>
      </c>
      <c r="D96" s="46" t="s">
        <v>15181</v>
      </c>
      <c r="E96" s="44" t="s">
        <v>15182</v>
      </c>
      <c r="F96" s="44" t="s">
        <v>14915</v>
      </c>
      <c r="G96" s="45"/>
      <c r="H96" s="44" t="s">
        <v>14822</v>
      </c>
      <c r="I96" s="45"/>
    </row>
    <row r="97">
      <c r="A97" s="41" t="s">
        <v>15183</v>
      </c>
      <c r="B97" s="41" t="s">
        <v>15184</v>
      </c>
      <c r="C97" s="41" t="s">
        <v>15185</v>
      </c>
      <c r="D97" s="40"/>
      <c r="E97" s="41" t="s">
        <v>129</v>
      </c>
      <c r="F97" s="41" t="s">
        <v>129</v>
      </c>
      <c r="G97" s="41" t="s">
        <v>15186</v>
      </c>
      <c r="H97" s="41" t="s">
        <v>14822</v>
      </c>
      <c r="I97" s="43"/>
    </row>
    <row r="98">
      <c r="A98" s="44" t="s">
        <v>15187</v>
      </c>
      <c r="B98" s="44" t="s">
        <v>15188</v>
      </c>
      <c r="C98" s="44">
        <v>6.77620076E8</v>
      </c>
      <c r="D98" s="45"/>
      <c r="E98" s="44" t="s">
        <v>3008</v>
      </c>
      <c r="F98" s="44" t="s">
        <v>14872</v>
      </c>
      <c r="G98" s="44" t="s">
        <v>15189</v>
      </c>
      <c r="H98" s="44" t="s">
        <v>14822</v>
      </c>
      <c r="I98" s="45"/>
    </row>
    <row r="99">
      <c r="A99" s="41" t="s">
        <v>15190</v>
      </c>
      <c r="B99" s="41" t="s">
        <v>15191</v>
      </c>
      <c r="C99" s="41" t="s">
        <v>15192</v>
      </c>
      <c r="D99" s="40"/>
      <c r="E99" s="41" t="s">
        <v>55</v>
      </c>
      <c r="F99" s="41" t="s">
        <v>55</v>
      </c>
      <c r="G99" s="40"/>
      <c r="H99" s="41" t="s">
        <v>14822</v>
      </c>
      <c r="I99" s="43"/>
    </row>
    <row r="100">
      <c r="A100" s="44" t="s">
        <v>15193</v>
      </c>
      <c r="B100" s="44" t="s">
        <v>15194</v>
      </c>
      <c r="C100" s="44">
        <v>6.77533274E8</v>
      </c>
      <c r="D100" s="45"/>
      <c r="E100" s="44" t="s">
        <v>15195</v>
      </c>
      <c r="F100" s="44" t="s">
        <v>55</v>
      </c>
      <c r="G100" s="45"/>
      <c r="H100" s="44" t="s">
        <v>14822</v>
      </c>
      <c r="I100" s="45"/>
    </row>
    <row r="101">
      <c r="A101" s="41" t="s">
        <v>15196</v>
      </c>
      <c r="B101" s="41" t="s">
        <v>15197</v>
      </c>
      <c r="C101" s="41">
        <v>6.29314812E8</v>
      </c>
      <c r="D101" s="42" t="s">
        <v>15198</v>
      </c>
      <c r="E101" s="41" t="s">
        <v>2162</v>
      </c>
      <c r="F101" s="41" t="s">
        <v>2162</v>
      </c>
      <c r="G101" s="41" t="s">
        <v>15199</v>
      </c>
      <c r="H101" s="41" t="s">
        <v>14822</v>
      </c>
      <c r="I101" s="43"/>
    </row>
    <row r="102">
      <c r="A102" s="44" t="s">
        <v>15200</v>
      </c>
      <c r="B102" s="44" t="s">
        <v>15201</v>
      </c>
      <c r="C102" s="44">
        <v>6.5997724E8</v>
      </c>
      <c r="D102" s="46" t="s">
        <v>15202</v>
      </c>
      <c r="E102" s="44" t="s">
        <v>1352</v>
      </c>
      <c r="F102" s="44" t="s">
        <v>1352</v>
      </c>
      <c r="G102" s="44" t="s">
        <v>15203</v>
      </c>
      <c r="H102" s="44" t="s">
        <v>14822</v>
      </c>
      <c r="I102" s="45"/>
    </row>
    <row r="103">
      <c r="A103" s="41" t="s">
        <v>15204</v>
      </c>
      <c r="B103" s="41" t="s">
        <v>15205</v>
      </c>
      <c r="C103" s="41">
        <v>6.25596332E8</v>
      </c>
      <c r="D103" s="40"/>
      <c r="E103" s="41" t="s">
        <v>5648</v>
      </c>
      <c r="F103" s="41" t="s">
        <v>231</v>
      </c>
      <c r="G103" s="41" t="s">
        <v>15204</v>
      </c>
      <c r="H103" s="41" t="s">
        <v>14822</v>
      </c>
      <c r="I103" s="43"/>
    </row>
    <row r="104">
      <c r="A104" s="44" t="s">
        <v>15206</v>
      </c>
      <c r="B104" s="44" t="s">
        <v>15207</v>
      </c>
      <c r="C104" s="44">
        <v>6.49912147E8</v>
      </c>
      <c r="D104" s="45"/>
      <c r="E104" s="44" t="s">
        <v>11213</v>
      </c>
      <c r="F104" s="44" t="s">
        <v>1612</v>
      </c>
      <c r="G104" s="45"/>
      <c r="H104" s="44" t="s">
        <v>14822</v>
      </c>
      <c r="I104" s="45"/>
    </row>
    <row r="105">
      <c r="A105" s="41" t="s">
        <v>15208</v>
      </c>
      <c r="B105" s="41" t="s">
        <v>15209</v>
      </c>
      <c r="C105" s="41">
        <v>6.0716049E8</v>
      </c>
      <c r="D105" s="40"/>
      <c r="E105" s="41" t="s">
        <v>55</v>
      </c>
      <c r="F105" s="41" t="s">
        <v>55</v>
      </c>
      <c r="G105" s="41" t="s">
        <v>15210</v>
      </c>
      <c r="H105" s="41" t="s">
        <v>14822</v>
      </c>
      <c r="I105" s="43"/>
    </row>
    <row r="106">
      <c r="A106" s="44" t="s">
        <v>15211</v>
      </c>
      <c r="B106" s="44" t="s">
        <v>15212</v>
      </c>
      <c r="C106" s="44" t="s">
        <v>15213</v>
      </c>
      <c r="D106" s="46" t="s">
        <v>15214</v>
      </c>
      <c r="E106" s="44" t="s">
        <v>231</v>
      </c>
      <c r="F106" s="44" t="s">
        <v>231</v>
      </c>
      <c r="G106" s="44" t="s">
        <v>15215</v>
      </c>
      <c r="H106" s="44" t="s">
        <v>14822</v>
      </c>
      <c r="I106" s="45"/>
    </row>
    <row r="107">
      <c r="A107" s="41" t="s">
        <v>15216</v>
      </c>
      <c r="B107" s="41" t="s">
        <v>15217</v>
      </c>
      <c r="C107" s="41" t="s">
        <v>15218</v>
      </c>
      <c r="D107" s="42" t="s">
        <v>15219</v>
      </c>
      <c r="E107" s="41" t="s">
        <v>506</v>
      </c>
      <c r="F107" s="41" t="s">
        <v>55</v>
      </c>
      <c r="G107" s="40"/>
      <c r="H107" s="41" t="s">
        <v>14822</v>
      </c>
      <c r="I107" s="43"/>
    </row>
    <row r="108">
      <c r="A108" s="44" t="s">
        <v>15220</v>
      </c>
      <c r="B108" s="44" t="s">
        <v>15221</v>
      </c>
      <c r="C108" s="44" t="s">
        <v>15222</v>
      </c>
      <c r="D108" s="46" t="s">
        <v>15223</v>
      </c>
      <c r="E108" s="44" t="s">
        <v>55</v>
      </c>
      <c r="F108" s="44" t="s">
        <v>55</v>
      </c>
      <c r="G108" s="44" t="s">
        <v>15220</v>
      </c>
      <c r="H108" s="44" t="s">
        <v>14822</v>
      </c>
      <c r="I108" s="45"/>
    </row>
    <row r="109">
      <c r="A109" s="41" t="s">
        <v>15224</v>
      </c>
      <c r="B109" s="41" t="s">
        <v>15225</v>
      </c>
      <c r="C109" s="41">
        <v>9.34150181E8</v>
      </c>
      <c r="D109" s="42" t="s">
        <v>15226</v>
      </c>
      <c r="E109" s="41" t="s">
        <v>231</v>
      </c>
      <c r="F109" s="41" t="s">
        <v>231</v>
      </c>
      <c r="G109" s="40"/>
      <c r="H109" s="41" t="s">
        <v>14822</v>
      </c>
      <c r="I109" s="43"/>
    </row>
    <row r="110">
      <c r="A110" s="44" t="s">
        <v>15227</v>
      </c>
      <c r="B110" s="44" t="s">
        <v>15228</v>
      </c>
      <c r="C110" s="44" t="s">
        <v>15229</v>
      </c>
      <c r="D110" s="46" t="s">
        <v>15230</v>
      </c>
      <c r="E110" s="44" t="s">
        <v>55</v>
      </c>
      <c r="F110" s="44" t="s">
        <v>55</v>
      </c>
      <c r="G110" s="45"/>
      <c r="H110" s="44" t="s">
        <v>14822</v>
      </c>
      <c r="I110" s="45"/>
    </row>
    <row r="111">
      <c r="A111" s="41" t="s">
        <v>15231</v>
      </c>
      <c r="B111" s="41" t="s">
        <v>15232</v>
      </c>
      <c r="C111" s="41" t="s">
        <v>15233</v>
      </c>
      <c r="D111" s="40"/>
      <c r="E111" s="41" t="s">
        <v>55</v>
      </c>
      <c r="F111" s="41" t="s">
        <v>55</v>
      </c>
      <c r="G111" s="41" t="s">
        <v>15234</v>
      </c>
      <c r="H111" s="41" t="s">
        <v>14822</v>
      </c>
      <c r="I111" s="43"/>
    </row>
    <row r="112">
      <c r="A112" s="44" t="s">
        <v>15235</v>
      </c>
      <c r="B112" s="44" t="s">
        <v>15236</v>
      </c>
      <c r="C112" s="44">
        <v>9.33894387E8</v>
      </c>
      <c r="D112" s="46" t="s">
        <v>15237</v>
      </c>
      <c r="E112" s="44" t="s">
        <v>5648</v>
      </c>
      <c r="F112" s="44" t="s">
        <v>231</v>
      </c>
      <c r="G112" s="44" t="s">
        <v>15238</v>
      </c>
      <c r="H112" s="44" t="s">
        <v>14822</v>
      </c>
      <c r="I112" s="45"/>
    </row>
    <row r="113">
      <c r="A113" s="41" t="s">
        <v>15239</v>
      </c>
      <c r="B113" s="41" t="s">
        <v>15240</v>
      </c>
      <c r="C113" s="41">
        <v>6.17014796E8</v>
      </c>
      <c r="D113" s="42" t="s">
        <v>15241</v>
      </c>
      <c r="E113" s="41" t="s">
        <v>231</v>
      </c>
      <c r="F113" s="41" t="s">
        <v>231</v>
      </c>
      <c r="G113" s="41" t="s">
        <v>15242</v>
      </c>
      <c r="H113" s="41" t="s">
        <v>14822</v>
      </c>
      <c r="I113" s="43"/>
    </row>
    <row r="114">
      <c r="A114" s="44" t="s">
        <v>15243</v>
      </c>
      <c r="B114" s="44" t="s">
        <v>15244</v>
      </c>
      <c r="C114" s="48">
        <v>9.68908091E8</v>
      </c>
      <c r="D114" s="46" t="s">
        <v>15245</v>
      </c>
      <c r="E114" s="44" t="s">
        <v>395</v>
      </c>
      <c r="F114" s="44" t="s">
        <v>395</v>
      </c>
      <c r="G114" s="44" t="s">
        <v>15246</v>
      </c>
      <c r="H114" s="44" t="s">
        <v>14822</v>
      </c>
      <c r="I114" s="45"/>
    </row>
    <row r="115">
      <c r="A115" s="41" t="s">
        <v>15247</v>
      </c>
      <c r="B115" s="41" t="s">
        <v>15248</v>
      </c>
      <c r="C115" s="41">
        <v>6.09444815E8</v>
      </c>
      <c r="D115" s="40"/>
      <c r="E115" s="41" t="s">
        <v>8036</v>
      </c>
      <c r="F115" s="41" t="s">
        <v>55</v>
      </c>
      <c r="G115" s="41" t="s">
        <v>15249</v>
      </c>
      <c r="H115" s="41" t="s">
        <v>14822</v>
      </c>
      <c r="I115" s="43"/>
    </row>
    <row r="116">
      <c r="A116" s="44" t="s">
        <v>15250</v>
      </c>
      <c r="B116" s="44" t="s">
        <v>15251</v>
      </c>
      <c r="C116" s="44">
        <v>6.95175929E8</v>
      </c>
      <c r="D116" s="45"/>
      <c r="E116" s="44" t="s">
        <v>2162</v>
      </c>
      <c r="F116" s="44" t="s">
        <v>2162</v>
      </c>
      <c r="G116" s="44" t="s">
        <v>15250</v>
      </c>
      <c r="H116" s="44" t="s">
        <v>14822</v>
      </c>
      <c r="I116" s="45"/>
    </row>
    <row r="117">
      <c r="A117" s="41" t="s">
        <v>15252</v>
      </c>
      <c r="B117" s="41" t="s">
        <v>15253</v>
      </c>
      <c r="C117" s="41">
        <v>6.18936773E8</v>
      </c>
      <c r="D117" s="42" t="s">
        <v>15254</v>
      </c>
      <c r="E117" s="41" t="s">
        <v>15255</v>
      </c>
      <c r="F117" s="41" t="s">
        <v>15256</v>
      </c>
      <c r="G117" s="41" t="s">
        <v>15257</v>
      </c>
      <c r="H117" s="41" t="s">
        <v>14822</v>
      </c>
      <c r="I117" s="43"/>
    </row>
    <row r="118">
      <c r="A118" s="44" t="s">
        <v>15258</v>
      </c>
      <c r="B118" s="44" t="s">
        <v>15259</v>
      </c>
      <c r="C118" s="45" t="str">
        <f>+34 639111295</f>
        <v>#ERROR!</v>
      </c>
      <c r="D118" s="46" t="s">
        <v>15260</v>
      </c>
      <c r="E118" s="44" t="s">
        <v>15261</v>
      </c>
      <c r="F118" s="44" t="s">
        <v>1612</v>
      </c>
      <c r="G118" s="44" t="s">
        <v>15262</v>
      </c>
      <c r="H118" s="44" t="s">
        <v>14822</v>
      </c>
      <c r="I118" s="45"/>
    </row>
    <row r="119">
      <c r="A119" s="41" t="s">
        <v>15263</v>
      </c>
      <c r="B119" s="41" t="s">
        <v>13032</v>
      </c>
      <c r="C119" s="41">
        <v>6.96378738E8</v>
      </c>
      <c r="D119" s="42" t="s">
        <v>15264</v>
      </c>
      <c r="E119" s="41" t="s">
        <v>55</v>
      </c>
      <c r="F119" s="41" t="s">
        <v>55</v>
      </c>
      <c r="G119" s="41" t="s">
        <v>14613</v>
      </c>
      <c r="H119" s="41" t="s">
        <v>14822</v>
      </c>
      <c r="I119" s="43"/>
    </row>
    <row r="120">
      <c r="A120" s="44" t="s">
        <v>15265</v>
      </c>
      <c r="B120" s="44" t="s">
        <v>15266</v>
      </c>
      <c r="C120" s="44">
        <v>9.38653204E8</v>
      </c>
      <c r="D120" s="46" t="s">
        <v>15267</v>
      </c>
      <c r="E120" s="44" t="s">
        <v>15268</v>
      </c>
      <c r="F120" s="44" t="s">
        <v>231</v>
      </c>
      <c r="G120" s="45"/>
      <c r="H120" s="44" t="s">
        <v>14822</v>
      </c>
      <c r="I120" s="45"/>
    </row>
    <row r="121">
      <c r="A121" s="41" t="s">
        <v>15269</v>
      </c>
      <c r="B121" s="41" t="s">
        <v>15270</v>
      </c>
      <c r="C121" s="41">
        <v>6.7574718E8</v>
      </c>
      <c r="D121" s="42" t="s">
        <v>15271</v>
      </c>
      <c r="E121" s="41" t="s">
        <v>55</v>
      </c>
      <c r="F121" s="41" t="s">
        <v>55</v>
      </c>
      <c r="G121" s="41" t="s">
        <v>15272</v>
      </c>
      <c r="H121" s="41" t="s">
        <v>14822</v>
      </c>
      <c r="I121" s="43"/>
    </row>
    <row r="122">
      <c r="A122" s="44" t="s">
        <v>15273</v>
      </c>
      <c r="B122" s="44" t="s">
        <v>15274</v>
      </c>
      <c r="C122" s="44" t="s">
        <v>15275</v>
      </c>
      <c r="D122" s="45"/>
      <c r="E122" s="44" t="s">
        <v>15276</v>
      </c>
      <c r="F122" s="44" t="s">
        <v>7083</v>
      </c>
      <c r="G122" s="45"/>
      <c r="H122" s="44" t="s">
        <v>14822</v>
      </c>
      <c r="I122" s="45"/>
    </row>
    <row r="123">
      <c r="A123" s="41" t="s">
        <v>15277</v>
      </c>
      <c r="B123" s="41" t="s">
        <v>15278</v>
      </c>
      <c r="C123" s="41" t="s">
        <v>15279</v>
      </c>
      <c r="D123" s="40"/>
      <c r="E123" s="41" t="s">
        <v>3081</v>
      </c>
      <c r="F123" s="41" t="s">
        <v>14905</v>
      </c>
      <c r="G123" s="40"/>
      <c r="H123" s="41" t="s">
        <v>14822</v>
      </c>
      <c r="I123" s="43"/>
    </row>
    <row r="124">
      <c r="A124" s="44" t="s">
        <v>15280</v>
      </c>
      <c r="B124" s="44" t="s">
        <v>15281</v>
      </c>
      <c r="C124" s="44" t="s">
        <v>15282</v>
      </c>
      <c r="D124" s="45"/>
      <c r="E124" s="44" t="s">
        <v>1612</v>
      </c>
      <c r="F124" s="44" t="s">
        <v>1612</v>
      </c>
      <c r="G124" s="45"/>
      <c r="H124" s="44" t="s">
        <v>14822</v>
      </c>
      <c r="I124" s="45"/>
    </row>
    <row r="125">
      <c r="A125" s="41" t="s">
        <v>15283</v>
      </c>
      <c r="B125" s="41" t="s">
        <v>15284</v>
      </c>
      <c r="C125" s="41">
        <v>6.15818371E8</v>
      </c>
      <c r="D125" s="40"/>
      <c r="E125" s="41" t="s">
        <v>8036</v>
      </c>
      <c r="F125" s="41" t="s">
        <v>55</v>
      </c>
      <c r="G125" s="41" t="s">
        <v>15285</v>
      </c>
      <c r="H125" s="41" t="s">
        <v>14822</v>
      </c>
      <c r="I125" s="43"/>
    </row>
    <row r="126">
      <c r="A126" s="44" t="s">
        <v>15286</v>
      </c>
      <c r="B126" s="44" t="s">
        <v>15287</v>
      </c>
      <c r="C126" s="44" t="s">
        <v>15288</v>
      </c>
      <c r="D126" s="45"/>
      <c r="E126" s="44" t="s">
        <v>55</v>
      </c>
      <c r="F126" s="44" t="s">
        <v>55</v>
      </c>
      <c r="G126" s="45"/>
      <c r="H126" s="44" t="s">
        <v>14822</v>
      </c>
      <c r="I126" s="45"/>
    </row>
    <row r="127">
      <c r="A127" s="41" t="s">
        <v>15289</v>
      </c>
      <c r="B127" s="41" t="s">
        <v>15290</v>
      </c>
      <c r="C127" s="41" t="s">
        <v>15291</v>
      </c>
      <c r="D127" s="40"/>
      <c r="E127" s="41" t="s">
        <v>15292</v>
      </c>
      <c r="F127" s="41" t="s">
        <v>1961</v>
      </c>
      <c r="G127" s="40"/>
      <c r="H127" s="41" t="s">
        <v>14822</v>
      </c>
      <c r="I127" s="43"/>
    </row>
    <row r="128">
      <c r="A128" s="44" t="s">
        <v>15293</v>
      </c>
      <c r="B128" s="44" t="s">
        <v>15294</v>
      </c>
      <c r="C128" s="44">
        <v>6.65054276E8</v>
      </c>
      <c r="D128" s="45"/>
      <c r="E128" s="44" t="s">
        <v>231</v>
      </c>
      <c r="F128" s="44" t="s">
        <v>231</v>
      </c>
      <c r="G128" s="44" t="s">
        <v>15295</v>
      </c>
      <c r="H128" s="44" t="s">
        <v>14822</v>
      </c>
      <c r="I128" s="45"/>
    </row>
    <row r="129">
      <c r="A129" s="41" t="s">
        <v>15296</v>
      </c>
      <c r="B129" s="41" t="s">
        <v>15297</v>
      </c>
      <c r="C129" s="41">
        <v>6.67489594E8</v>
      </c>
      <c r="D129" s="40"/>
      <c r="E129" s="41" t="s">
        <v>15298</v>
      </c>
      <c r="F129" s="41" t="s">
        <v>813</v>
      </c>
      <c r="G129" s="41" t="s">
        <v>15296</v>
      </c>
      <c r="H129" s="41" t="s">
        <v>14822</v>
      </c>
      <c r="I129" s="43"/>
    </row>
    <row r="130">
      <c r="A130" s="44" t="s">
        <v>15299</v>
      </c>
      <c r="B130" s="44" t="s">
        <v>15300</v>
      </c>
      <c r="C130" s="44">
        <v>6.20919514E8</v>
      </c>
      <c r="D130" s="46" t="s">
        <v>15301</v>
      </c>
      <c r="E130" s="44" t="s">
        <v>262</v>
      </c>
      <c r="F130" s="44" t="s">
        <v>262</v>
      </c>
      <c r="G130" s="44" t="s">
        <v>15299</v>
      </c>
      <c r="H130" s="44" t="s">
        <v>14822</v>
      </c>
      <c r="I130" s="45"/>
    </row>
    <row r="131">
      <c r="A131" s="41" t="s">
        <v>15302</v>
      </c>
      <c r="B131" s="41" t="s">
        <v>15303</v>
      </c>
      <c r="C131" s="41">
        <v>1.566259865E9</v>
      </c>
      <c r="D131" s="40"/>
      <c r="E131" s="41" t="s">
        <v>15304</v>
      </c>
      <c r="F131" s="41" t="s">
        <v>55</v>
      </c>
      <c r="G131" s="41" t="s">
        <v>15302</v>
      </c>
      <c r="H131" s="41" t="s">
        <v>14822</v>
      </c>
      <c r="I131" s="43"/>
    </row>
    <row r="132">
      <c r="A132" s="44" t="s">
        <v>15305</v>
      </c>
      <c r="B132" s="44" t="s">
        <v>15306</v>
      </c>
      <c r="C132" s="44">
        <v>6.99963977E8</v>
      </c>
      <c r="D132" s="45"/>
      <c r="E132" s="44" t="s">
        <v>11485</v>
      </c>
      <c r="F132" s="44" t="s">
        <v>7083</v>
      </c>
      <c r="G132" s="44" t="s">
        <v>15307</v>
      </c>
      <c r="H132" s="44" t="s">
        <v>14822</v>
      </c>
      <c r="I132" s="45"/>
    </row>
    <row r="133">
      <c r="A133" s="41" t="s">
        <v>15308</v>
      </c>
      <c r="B133" s="41" t="s">
        <v>15309</v>
      </c>
      <c r="C133" s="41">
        <v>6.5185429E8</v>
      </c>
      <c r="D133" s="42" t="s">
        <v>15310</v>
      </c>
      <c r="E133" s="41" t="s">
        <v>55</v>
      </c>
      <c r="F133" s="41" t="s">
        <v>55</v>
      </c>
      <c r="G133" s="41" t="s">
        <v>15311</v>
      </c>
      <c r="H133" s="41" t="s">
        <v>14822</v>
      </c>
      <c r="I133" s="43"/>
    </row>
    <row r="134">
      <c r="A134" s="44" t="s">
        <v>15312</v>
      </c>
      <c r="B134" s="44" t="s">
        <v>15313</v>
      </c>
      <c r="C134" s="44" t="s">
        <v>15314</v>
      </c>
      <c r="D134" s="45"/>
      <c r="E134" s="44" t="s">
        <v>55</v>
      </c>
      <c r="F134" s="44" t="s">
        <v>55</v>
      </c>
      <c r="G134" s="45"/>
      <c r="H134" s="44" t="s">
        <v>14822</v>
      </c>
      <c r="I134" s="45"/>
    </row>
    <row r="135">
      <c r="A135" s="41" t="s">
        <v>15315</v>
      </c>
      <c r="B135" s="41" t="s">
        <v>15316</v>
      </c>
      <c r="C135" s="41">
        <v>6.59908025E8</v>
      </c>
      <c r="D135" s="40"/>
      <c r="E135" s="41" t="s">
        <v>15317</v>
      </c>
      <c r="F135" s="41" t="s">
        <v>129</v>
      </c>
      <c r="G135" s="41" t="s">
        <v>15315</v>
      </c>
      <c r="H135" s="41" t="s">
        <v>14822</v>
      </c>
      <c r="I135" s="43"/>
    </row>
    <row r="136">
      <c r="A136" s="44" t="s">
        <v>15318</v>
      </c>
      <c r="B136" s="44" t="s">
        <v>15319</v>
      </c>
      <c r="C136" s="44">
        <v>6.27327988E8</v>
      </c>
      <c r="D136" s="45"/>
      <c r="E136" s="44" t="s">
        <v>8431</v>
      </c>
      <c r="F136" s="44" t="s">
        <v>813</v>
      </c>
      <c r="G136" s="45"/>
      <c r="H136" s="44" t="s">
        <v>14822</v>
      </c>
      <c r="I136" s="45"/>
    </row>
    <row r="137">
      <c r="A137" s="41" t="s">
        <v>15320</v>
      </c>
      <c r="B137" s="41" t="s">
        <v>15321</v>
      </c>
      <c r="C137" s="41">
        <v>9.16592033E8</v>
      </c>
      <c r="D137" s="42" t="s">
        <v>15322</v>
      </c>
      <c r="E137" s="41" t="s">
        <v>15323</v>
      </c>
      <c r="F137" s="41" t="s">
        <v>55</v>
      </c>
      <c r="G137" s="40"/>
      <c r="H137" s="41" t="s">
        <v>14822</v>
      </c>
      <c r="I137" s="43"/>
    </row>
    <row r="138">
      <c r="A138" s="44" t="s">
        <v>15324</v>
      </c>
      <c r="B138" s="44" t="s">
        <v>15325</v>
      </c>
      <c r="C138" s="44" t="s">
        <v>15326</v>
      </c>
      <c r="D138" s="45"/>
      <c r="E138" s="44" t="s">
        <v>55</v>
      </c>
      <c r="F138" s="44" t="s">
        <v>55</v>
      </c>
      <c r="G138" s="45"/>
      <c r="H138" s="44" t="s">
        <v>14822</v>
      </c>
      <c r="I138" s="45"/>
    </row>
    <row r="139">
      <c r="A139" s="41" t="s">
        <v>15327</v>
      </c>
      <c r="B139" s="41" t="s">
        <v>15328</v>
      </c>
      <c r="C139" s="41">
        <v>6.78604479E8</v>
      </c>
      <c r="D139" s="40"/>
      <c r="E139" s="41" t="s">
        <v>1000</v>
      </c>
      <c r="F139" s="41" t="s">
        <v>395</v>
      </c>
      <c r="G139" s="41" t="s">
        <v>15327</v>
      </c>
      <c r="H139" s="41" t="s">
        <v>14822</v>
      </c>
      <c r="I139" s="43"/>
    </row>
    <row r="140">
      <c r="A140" s="44" t="s">
        <v>15329</v>
      </c>
      <c r="B140" s="44" t="s">
        <v>15330</v>
      </c>
      <c r="C140" s="44">
        <v>6.6770501E8</v>
      </c>
      <c r="D140" s="46" t="s">
        <v>15331</v>
      </c>
      <c r="E140" s="44" t="s">
        <v>55</v>
      </c>
      <c r="F140" s="44" t="s">
        <v>55</v>
      </c>
      <c r="G140" s="45"/>
      <c r="H140" s="44" t="s">
        <v>14822</v>
      </c>
      <c r="I140" s="45"/>
    </row>
    <row r="141">
      <c r="A141" s="41" t="s">
        <v>15332</v>
      </c>
      <c r="B141" s="41" t="s">
        <v>15333</v>
      </c>
      <c r="C141" s="41">
        <v>6.83320953E8</v>
      </c>
      <c r="D141" s="42" t="s">
        <v>15334</v>
      </c>
      <c r="E141" s="41" t="s">
        <v>6163</v>
      </c>
      <c r="F141" s="41" t="s">
        <v>1462</v>
      </c>
      <c r="G141" s="41" t="s">
        <v>15332</v>
      </c>
      <c r="H141" s="41" t="s">
        <v>14822</v>
      </c>
      <c r="I141" s="43"/>
    </row>
    <row r="142">
      <c r="A142" s="44" t="s">
        <v>15335</v>
      </c>
      <c r="B142" s="44" t="s">
        <v>15336</v>
      </c>
      <c r="C142" s="44">
        <v>6.55423355E8</v>
      </c>
      <c r="D142" s="46" t="s">
        <v>15337</v>
      </c>
      <c r="E142" s="44" t="s">
        <v>8036</v>
      </c>
      <c r="F142" s="44" t="s">
        <v>55</v>
      </c>
      <c r="G142" s="44" t="s">
        <v>15338</v>
      </c>
      <c r="H142" s="44" t="s">
        <v>14822</v>
      </c>
      <c r="I142" s="45"/>
    </row>
    <row r="143">
      <c r="A143" s="41" t="s">
        <v>15339</v>
      </c>
      <c r="B143" s="41" t="s">
        <v>15340</v>
      </c>
      <c r="C143" s="41">
        <v>6.51308104E8</v>
      </c>
      <c r="D143" s="40"/>
      <c r="E143" s="41" t="s">
        <v>2162</v>
      </c>
      <c r="F143" s="41" t="s">
        <v>2162</v>
      </c>
      <c r="G143" s="40"/>
      <c r="H143" s="41" t="s">
        <v>14822</v>
      </c>
      <c r="I143" s="43"/>
    </row>
    <row r="144">
      <c r="A144" s="44" t="s">
        <v>15341</v>
      </c>
      <c r="B144" s="44" t="s">
        <v>15342</v>
      </c>
      <c r="C144" s="44">
        <v>9.76203526E8</v>
      </c>
      <c r="D144" s="45"/>
      <c r="E144" s="44" t="s">
        <v>2162</v>
      </c>
      <c r="F144" s="44" t="s">
        <v>2162</v>
      </c>
      <c r="G144" s="44" t="s">
        <v>15343</v>
      </c>
      <c r="H144" s="44" t="s">
        <v>14822</v>
      </c>
      <c r="I144" s="45"/>
    </row>
    <row r="145">
      <c r="A145" s="41" t="s">
        <v>15344</v>
      </c>
      <c r="B145" s="41" t="s">
        <v>15345</v>
      </c>
      <c r="C145" s="41">
        <v>6.87746132E8</v>
      </c>
      <c r="D145" s="40"/>
      <c r="E145" s="41" t="s">
        <v>231</v>
      </c>
      <c r="F145" s="41" t="s">
        <v>231</v>
      </c>
      <c r="G145" s="40"/>
      <c r="H145" s="41" t="s">
        <v>14822</v>
      </c>
      <c r="I145" s="43"/>
    </row>
    <row r="146">
      <c r="A146" s="44" t="s">
        <v>15346</v>
      </c>
      <c r="B146" s="44" t="s">
        <v>15347</v>
      </c>
      <c r="C146" s="44" t="s">
        <v>15348</v>
      </c>
      <c r="D146" s="45"/>
      <c r="E146" s="44" t="s">
        <v>15349</v>
      </c>
      <c r="F146" s="44" t="s">
        <v>55</v>
      </c>
      <c r="G146" s="44" t="s">
        <v>15350</v>
      </c>
      <c r="H146" s="44" t="s">
        <v>14822</v>
      </c>
      <c r="I146" s="45"/>
    </row>
    <row r="147">
      <c r="A147" s="41" t="s">
        <v>15351</v>
      </c>
      <c r="B147" s="41" t="s">
        <v>15352</v>
      </c>
      <c r="C147" s="41">
        <v>9.11151939E8</v>
      </c>
      <c r="D147" s="42" t="s">
        <v>15353</v>
      </c>
      <c r="E147" s="41" t="s">
        <v>55</v>
      </c>
      <c r="F147" s="41" t="s">
        <v>55</v>
      </c>
      <c r="G147" s="41" t="s">
        <v>15354</v>
      </c>
      <c r="H147" s="41" t="s">
        <v>14822</v>
      </c>
      <c r="I147" s="43"/>
    </row>
    <row r="148">
      <c r="A148" s="44" t="s">
        <v>15355</v>
      </c>
      <c r="B148" s="44" t="s">
        <v>15356</v>
      </c>
      <c r="C148" s="44">
        <v>6.9035534E8</v>
      </c>
      <c r="D148" s="46" t="s">
        <v>15357</v>
      </c>
      <c r="E148" s="44" t="s">
        <v>4846</v>
      </c>
      <c r="F148" s="44" t="s">
        <v>14915</v>
      </c>
      <c r="G148" s="44" t="s">
        <v>15358</v>
      </c>
      <c r="H148" s="44" t="s">
        <v>14822</v>
      </c>
      <c r="I148" s="45"/>
    </row>
    <row r="149">
      <c r="A149" s="41" t="s">
        <v>9145</v>
      </c>
      <c r="B149" s="41" t="s">
        <v>15359</v>
      </c>
      <c r="C149" s="41" t="s">
        <v>15360</v>
      </c>
      <c r="D149" s="42" t="s">
        <v>15361</v>
      </c>
      <c r="E149" s="41" t="s">
        <v>6089</v>
      </c>
      <c r="F149" s="41" t="s">
        <v>1462</v>
      </c>
      <c r="G149" s="41" t="s">
        <v>15362</v>
      </c>
      <c r="H149" s="41" t="s">
        <v>14822</v>
      </c>
      <c r="I149" s="43"/>
    </row>
    <row r="150">
      <c r="A150" s="44" t="s">
        <v>15363</v>
      </c>
      <c r="B150" s="44" t="s">
        <v>15364</v>
      </c>
      <c r="C150" s="45" t="str">
        <f>+34 613 67 43 01</f>
        <v>#ERROR!</v>
      </c>
      <c r="D150" s="46" t="s">
        <v>15365</v>
      </c>
      <c r="E150" s="44" t="s">
        <v>231</v>
      </c>
      <c r="F150" s="44" t="s">
        <v>231</v>
      </c>
      <c r="G150" s="44" t="s">
        <v>15366</v>
      </c>
      <c r="H150" s="44" t="s">
        <v>14822</v>
      </c>
      <c r="I150" s="45"/>
    </row>
    <row r="151">
      <c r="A151" s="41" t="s">
        <v>15367</v>
      </c>
      <c r="B151" s="41" t="s">
        <v>15368</v>
      </c>
      <c r="C151" s="41" t="s">
        <v>15369</v>
      </c>
      <c r="D151" s="42" t="s">
        <v>15370</v>
      </c>
      <c r="E151" s="41" t="s">
        <v>3736</v>
      </c>
      <c r="F151" s="41" t="s">
        <v>15371</v>
      </c>
      <c r="G151" s="40"/>
      <c r="H151" s="41" t="s">
        <v>14822</v>
      </c>
      <c r="I151" s="43"/>
    </row>
    <row r="152">
      <c r="A152" s="44" t="s">
        <v>15372</v>
      </c>
      <c r="B152" s="44" t="s">
        <v>15373</v>
      </c>
      <c r="C152" s="44" t="s">
        <v>15374</v>
      </c>
      <c r="D152" s="46" t="s">
        <v>15375</v>
      </c>
      <c r="E152" s="44" t="s">
        <v>15376</v>
      </c>
      <c r="F152" s="44" t="s">
        <v>14975</v>
      </c>
      <c r="G152" s="44" t="s">
        <v>15377</v>
      </c>
      <c r="H152" s="44" t="s">
        <v>14822</v>
      </c>
      <c r="I152" s="45"/>
    </row>
    <row r="153">
      <c r="A153" s="41" t="s">
        <v>15378</v>
      </c>
      <c r="B153" s="41" t="s">
        <v>15379</v>
      </c>
      <c r="C153" s="41">
        <v>9.34882484E8</v>
      </c>
      <c r="D153" s="42" t="s">
        <v>15380</v>
      </c>
      <c r="E153" s="41" t="s">
        <v>231</v>
      </c>
      <c r="F153" s="41" t="s">
        <v>231</v>
      </c>
      <c r="G153" s="40"/>
      <c r="H153" s="41" t="s">
        <v>14822</v>
      </c>
      <c r="I153" s="43"/>
    </row>
    <row r="154">
      <c r="A154" s="44" t="s">
        <v>15381</v>
      </c>
      <c r="B154" s="44" t="s">
        <v>15382</v>
      </c>
      <c r="C154" s="44">
        <v>6.07403266E8</v>
      </c>
      <c r="D154" s="46" t="s">
        <v>15383</v>
      </c>
      <c r="E154" s="44" t="s">
        <v>231</v>
      </c>
      <c r="F154" s="44" t="s">
        <v>231</v>
      </c>
      <c r="G154" s="44" t="s">
        <v>15384</v>
      </c>
      <c r="H154" s="44" t="s">
        <v>14822</v>
      </c>
      <c r="I154" s="45"/>
    </row>
    <row r="155">
      <c r="A155" s="41" t="s">
        <v>15385</v>
      </c>
      <c r="B155" s="41" t="s">
        <v>15386</v>
      </c>
      <c r="C155" s="41">
        <v>6.34538926E8</v>
      </c>
      <c r="D155" s="40"/>
      <c r="E155" s="41" t="s">
        <v>15387</v>
      </c>
      <c r="F155" s="41" t="s">
        <v>55</v>
      </c>
      <c r="G155" s="41" t="s">
        <v>15388</v>
      </c>
      <c r="H155" s="41" t="s">
        <v>14822</v>
      </c>
      <c r="I155" s="43"/>
    </row>
    <row r="156">
      <c r="A156" s="44" t="s">
        <v>15389</v>
      </c>
      <c r="B156" s="44" t="s">
        <v>15390</v>
      </c>
      <c r="C156" s="44" t="s">
        <v>15391</v>
      </c>
      <c r="D156" s="46" t="s">
        <v>15392</v>
      </c>
      <c r="E156" s="44" t="s">
        <v>813</v>
      </c>
      <c r="F156" s="44" t="s">
        <v>813</v>
      </c>
      <c r="G156" s="44" t="s">
        <v>15393</v>
      </c>
      <c r="H156" s="44" t="s">
        <v>14822</v>
      </c>
      <c r="I156" s="45"/>
    </row>
    <row r="157">
      <c r="A157" s="41" t="s">
        <v>15394</v>
      </c>
      <c r="B157" s="41" t="s">
        <v>15395</v>
      </c>
      <c r="C157" s="41" t="s">
        <v>15396</v>
      </c>
      <c r="D157" s="42" t="s">
        <v>15397</v>
      </c>
      <c r="E157" s="41" t="s">
        <v>9227</v>
      </c>
      <c r="F157" s="41" t="s">
        <v>163</v>
      </c>
      <c r="G157" s="41" t="s">
        <v>15398</v>
      </c>
      <c r="H157" s="41" t="s">
        <v>14822</v>
      </c>
      <c r="I157" s="43"/>
    </row>
    <row r="158">
      <c r="A158" s="44" t="s">
        <v>15399</v>
      </c>
      <c r="B158" s="44" t="s">
        <v>15400</v>
      </c>
      <c r="C158" s="44" t="s">
        <v>15401</v>
      </c>
      <c r="D158" s="46" t="s">
        <v>15402</v>
      </c>
      <c r="E158" s="44" t="s">
        <v>15403</v>
      </c>
      <c r="F158" s="44" t="s">
        <v>580</v>
      </c>
      <c r="G158" s="45"/>
      <c r="H158" s="44" t="s">
        <v>14822</v>
      </c>
      <c r="I158" s="45"/>
    </row>
    <row r="159">
      <c r="A159" s="41" t="s">
        <v>15404</v>
      </c>
      <c r="B159" s="41" t="s">
        <v>15405</v>
      </c>
      <c r="C159" s="41" t="s">
        <v>15406</v>
      </c>
      <c r="D159" s="42" t="s">
        <v>15407</v>
      </c>
      <c r="E159" s="41" t="s">
        <v>2294</v>
      </c>
      <c r="F159" s="41" t="s">
        <v>406</v>
      </c>
      <c r="G159" s="41" t="s">
        <v>15408</v>
      </c>
      <c r="H159" s="41" t="s">
        <v>14822</v>
      </c>
      <c r="I159" s="43"/>
    </row>
    <row r="160">
      <c r="A160" s="44" t="s">
        <v>15409</v>
      </c>
      <c r="B160" s="44" t="s">
        <v>15410</v>
      </c>
      <c r="C160" s="44">
        <v>6.69124653E8</v>
      </c>
      <c r="D160" s="46" t="s">
        <v>15411</v>
      </c>
      <c r="E160" s="44" t="s">
        <v>1352</v>
      </c>
      <c r="F160" s="44" t="s">
        <v>1352</v>
      </c>
      <c r="G160" s="44" t="s">
        <v>15412</v>
      </c>
      <c r="H160" s="44" t="s">
        <v>14822</v>
      </c>
      <c r="I160" s="45"/>
    </row>
    <row r="161">
      <c r="A161" s="41" t="s">
        <v>15413</v>
      </c>
      <c r="B161" s="41" t="s">
        <v>14696</v>
      </c>
      <c r="C161" s="41">
        <v>6.0762306E8</v>
      </c>
      <c r="D161" s="42" t="s">
        <v>15414</v>
      </c>
      <c r="E161" s="41" t="s">
        <v>55</v>
      </c>
      <c r="F161" s="41" t="s">
        <v>55</v>
      </c>
      <c r="G161" s="41" t="s">
        <v>15415</v>
      </c>
      <c r="H161" s="41" t="s">
        <v>14822</v>
      </c>
      <c r="I161" s="43"/>
    </row>
    <row r="162">
      <c r="A162" s="44" t="s">
        <v>15416</v>
      </c>
      <c r="B162" s="44" t="s">
        <v>15417</v>
      </c>
      <c r="C162" s="44" t="s">
        <v>15418</v>
      </c>
      <c r="D162" s="46" t="s">
        <v>15419</v>
      </c>
      <c r="E162" s="44" t="s">
        <v>231</v>
      </c>
      <c r="F162" s="44" t="s">
        <v>231</v>
      </c>
      <c r="G162" s="44" t="s">
        <v>15420</v>
      </c>
      <c r="H162" s="44" t="s">
        <v>14822</v>
      </c>
      <c r="I162" s="45"/>
    </row>
    <row r="163">
      <c r="A163" s="41" t="s">
        <v>15421</v>
      </c>
      <c r="B163" s="41" t="s">
        <v>15422</v>
      </c>
      <c r="C163" s="41" t="s">
        <v>15423</v>
      </c>
      <c r="D163" s="42" t="s">
        <v>15424</v>
      </c>
      <c r="E163" s="41" t="s">
        <v>3690</v>
      </c>
      <c r="F163" s="41" t="s">
        <v>129</v>
      </c>
      <c r="G163" s="40"/>
      <c r="H163" s="41" t="s">
        <v>14822</v>
      </c>
      <c r="I163" s="43"/>
    </row>
    <row r="164">
      <c r="A164" s="44" t="s">
        <v>15425</v>
      </c>
      <c r="B164" s="44" t="s">
        <v>15426</v>
      </c>
      <c r="C164" s="44" t="s">
        <v>15427</v>
      </c>
      <c r="D164" s="46" t="s">
        <v>15428</v>
      </c>
      <c r="E164" s="44" t="s">
        <v>15429</v>
      </c>
      <c r="F164" s="44" t="s">
        <v>231</v>
      </c>
      <c r="G164" s="44" t="s">
        <v>15430</v>
      </c>
      <c r="H164" s="44" t="s">
        <v>14822</v>
      </c>
      <c r="I164" s="45"/>
    </row>
    <row r="165">
      <c r="A165" s="41" t="s">
        <v>15431</v>
      </c>
      <c r="B165" s="41" t="s">
        <v>15432</v>
      </c>
      <c r="C165" s="41" t="s">
        <v>15433</v>
      </c>
      <c r="D165" s="42" t="s">
        <v>15434</v>
      </c>
      <c r="E165" s="41" t="s">
        <v>15115</v>
      </c>
      <c r="F165" s="41" t="s">
        <v>55</v>
      </c>
      <c r="G165" s="41" t="s">
        <v>15435</v>
      </c>
      <c r="H165" s="41" t="s">
        <v>14822</v>
      </c>
      <c r="I165" s="43"/>
    </row>
    <row r="166">
      <c r="A166" s="44" t="s">
        <v>15436</v>
      </c>
      <c r="B166" s="44" t="s">
        <v>15437</v>
      </c>
      <c r="C166" s="44" t="s">
        <v>15438</v>
      </c>
      <c r="D166" s="46" t="s">
        <v>15439</v>
      </c>
      <c r="E166" s="44" t="s">
        <v>55</v>
      </c>
      <c r="F166" s="44" t="s">
        <v>55</v>
      </c>
      <c r="G166" s="44" t="s">
        <v>15440</v>
      </c>
      <c r="H166" s="44" t="s">
        <v>14822</v>
      </c>
      <c r="I166" s="45"/>
    </row>
    <row r="167">
      <c r="A167" s="41" t="s">
        <v>15441</v>
      </c>
      <c r="B167" s="41" t="s">
        <v>15442</v>
      </c>
      <c r="C167" s="41">
        <v>6.54542984E8</v>
      </c>
      <c r="D167" s="42" t="s">
        <v>15443</v>
      </c>
      <c r="E167" s="41" t="s">
        <v>15444</v>
      </c>
      <c r="F167" s="41" t="s">
        <v>5480</v>
      </c>
      <c r="G167" s="41" t="s">
        <v>15445</v>
      </c>
      <c r="H167" s="41" t="s">
        <v>14822</v>
      </c>
      <c r="I167" s="43"/>
    </row>
    <row r="168">
      <c r="A168" s="44" t="s">
        <v>15446</v>
      </c>
      <c r="B168" s="44" t="s">
        <v>15447</v>
      </c>
      <c r="C168" s="44" t="s">
        <v>15448</v>
      </c>
      <c r="D168" s="46" t="s">
        <v>15449</v>
      </c>
      <c r="E168" s="44" t="s">
        <v>11722</v>
      </c>
      <c r="F168" s="44" t="s">
        <v>55</v>
      </c>
      <c r="G168" s="45"/>
      <c r="H168" s="44" t="s">
        <v>14822</v>
      </c>
      <c r="I168" s="45"/>
    </row>
    <row r="169">
      <c r="A169" s="41" t="s">
        <v>14354</v>
      </c>
      <c r="B169" s="41" t="s">
        <v>14355</v>
      </c>
      <c r="C169" s="41">
        <v>6.87048256E8</v>
      </c>
      <c r="D169" s="42" t="s">
        <v>14357</v>
      </c>
      <c r="E169" s="41" t="s">
        <v>8036</v>
      </c>
      <c r="F169" s="41" t="s">
        <v>55</v>
      </c>
      <c r="G169" s="41" t="s">
        <v>15450</v>
      </c>
      <c r="H169" s="41" t="s">
        <v>14822</v>
      </c>
      <c r="I169" s="43"/>
    </row>
    <row r="170">
      <c r="A170" s="44" t="s">
        <v>15451</v>
      </c>
      <c r="B170" s="44" t="s">
        <v>15452</v>
      </c>
      <c r="C170" s="44" t="s">
        <v>15453</v>
      </c>
      <c r="D170" s="46" t="s">
        <v>15454</v>
      </c>
      <c r="E170" s="44" t="s">
        <v>2162</v>
      </c>
      <c r="F170" s="44" t="s">
        <v>2162</v>
      </c>
      <c r="G170" s="44" t="s">
        <v>15455</v>
      </c>
      <c r="H170" s="44" t="s">
        <v>14822</v>
      </c>
      <c r="I170" s="45"/>
    </row>
    <row r="171">
      <c r="A171" s="41" t="s">
        <v>15456</v>
      </c>
      <c r="B171" s="41" t="s">
        <v>15457</v>
      </c>
      <c r="C171" s="41">
        <v>6.50168991E8</v>
      </c>
      <c r="D171" s="42" t="s">
        <v>15458</v>
      </c>
      <c r="E171" s="41" t="s">
        <v>231</v>
      </c>
      <c r="F171" s="41" t="s">
        <v>231</v>
      </c>
      <c r="G171" s="41" t="s">
        <v>15459</v>
      </c>
      <c r="H171" s="41" t="s">
        <v>14822</v>
      </c>
      <c r="I171" s="43"/>
    </row>
    <row r="172">
      <c r="A172" s="44" t="s">
        <v>15460</v>
      </c>
      <c r="B172" s="44" t="s">
        <v>15461</v>
      </c>
      <c r="C172" s="44">
        <v>3.519623996E11</v>
      </c>
      <c r="D172" s="46" t="s">
        <v>15462</v>
      </c>
      <c r="E172" s="44" t="s">
        <v>15463</v>
      </c>
      <c r="F172" s="44" t="s">
        <v>14826</v>
      </c>
      <c r="G172" s="44" t="s">
        <v>15464</v>
      </c>
      <c r="H172" s="44" t="s">
        <v>14822</v>
      </c>
      <c r="I172" s="45"/>
    </row>
    <row r="173">
      <c r="A173" s="41" t="s">
        <v>15465</v>
      </c>
      <c r="B173" s="41" t="s">
        <v>15466</v>
      </c>
      <c r="C173" s="41">
        <v>9.1522474E8</v>
      </c>
      <c r="D173" s="40"/>
      <c r="E173" s="41" t="s">
        <v>55</v>
      </c>
      <c r="F173" s="41" t="s">
        <v>55</v>
      </c>
      <c r="G173" s="40"/>
      <c r="H173" s="41" t="s">
        <v>14822</v>
      </c>
      <c r="I173" s="43"/>
    </row>
    <row r="174">
      <c r="A174" s="44" t="s">
        <v>15467</v>
      </c>
      <c r="B174" s="44" t="s">
        <v>15468</v>
      </c>
      <c r="C174" s="44">
        <v>6.69681394E8</v>
      </c>
      <c r="D174" s="46" t="s">
        <v>15469</v>
      </c>
      <c r="E174" s="44" t="s">
        <v>231</v>
      </c>
      <c r="F174" s="44" t="s">
        <v>231</v>
      </c>
      <c r="G174" s="44" t="s">
        <v>15470</v>
      </c>
      <c r="H174" s="44" t="s">
        <v>14822</v>
      </c>
      <c r="I174" s="45"/>
    </row>
    <row r="175">
      <c r="A175" s="41" t="s">
        <v>15471</v>
      </c>
      <c r="B175" s="41" t="s">
        <v>15472</v>
      </c>
      <c r="C175" s="41">
        <v>9.43764227E8</v>
      </c>
      <c r="D175" s="42" t="s">
        <v>15473</v>
      </c>
      <c r="E175" s="41" t="s">
        <v>15474</v>
      </c>
      <c r="F175" s="41" t="s">
        <v>15475</v>
      </c>
      <c r="G175" s="41" t="s">
        <v>15476</v>
      </c>
      <c r="H175" s="41" t="s">
        <v>14822</v>
      </c>
      <c r="I175" s="43"/>
    </row>
    <row r="176">
      <c r="A176" s="44" t="s">
        <v>15477</v>
      </c>
      <c r="B176" s="44" t="s">
        <v>15478</v>
      </c>
      <c r="C176" s="44" t="s">
        <v>15479</v>
      </c>
      <c r="D176" s="46" t="s">
        <v>15480</v>
      </c>
      <c r="E176" s="44" t="s">
        <v>15080</v>
      </c>
      <c r="F176" s="44" t="s">
        <v>55</v>
      </c>
      <c r="G176" s="44" t="s">
        <v>15481</v>
      </c>
      <c r="H176" s="44" t="s">
        <v>14822</v>
      </c>
      <c r="I176" s="45"/>
    </row>
    <row r="177">
      <c r="A177" s="41" t="s">
        <v>15482</v>
      </c>
      <c r="B177" s="41" t="s">
        <v>15483</v>
      </c>
      <c r="C177" s="41">
        <v>6.06659922E8</v>
      </c>
      <c r="D177" s="40"/>
      <c r="E177" s="41" t="s">
        <v>15484</v>
      </c>
      <c r="F177" s="41" t="s">
        <v>2162</v>
      </c>
      <c r="G177" s="41" t="s">
        <v>15485</v>
      </c>
      <c r="H177" s="41" t="s">
        <v>14822</v>
      </c>
      <c r="I177" s="43"/>
    </row>
    <row r="178">
      <c r="A178" s="44" t="s">
        <v>15486</v>
      </c>
      <c r="B178" s="44" t="s">
        <v>15487</v>
      </c>
      <c r="C178" s="44">
        <v>6.60927164E8</v>
      </c>
      <c r="D178" s="46" t="s">
        <v>15488</v>
      </c>
      <c r="E178" s="44" t="s">
        <v>15489</v>
      </c>
      <c r="F178" s="44" t="s">
        <v>1171</v>
      </c>
      <c r="G178" s="44" t="s">
        <v>15490</v>
      </c>
      <c r="H178" s="44" t="s">
        <v>14822</v>
      </c>
      <c r="I178" s="45"/>
    </row>
    <row r="179">
      <c r="A179" s="41" t="s">
        <v>15491</v>
      </c>
      <c r="B179" s="41" t="s">
        <v>15492</v>
      </c>
      <c r="C179" s="41" t="s">
        <v>15493</v>
      </c>
      <c r="D179" s="42" t="s">
        <v>15494</v>
      </c>
      <c r="E179" s="41" t="s">
        <v>3081</v>
      </c>
      <c r="F179" s="41" t="s">
        <v>14905</v>
      </c>
      <c r="G179" s="40"/>
      <c r="H179" s="41" t="s">
        <v>14822</v>
      </c>
      <c r="I179" s="43"/>
    </row>
    <row r="180">
      <c r="A180" s="44" t="s">
        <v>15495</v>
      </c>
      <c r="B180" s="44" t="s">
        <v>15496</v>
      </c>
      <c r="C180" s="44">
        <v>6.44203579E8</v>
      </c>
      <c r="D180" s="46" t="s">
        <v>15497</v>
      </c>
      <c r="E180" s="44" t="s">
        <v>1171</v>
      </c>
      <c r="F180" s="44" t="s">
        <v>1171</v>
      </c>
      <c r="G180" s="44" t="s">
        <v>15498</v>
      </c>
      <c r="H180" s="44" t="s">
        <v>14822</v>
      </c>
      <c r="I180" s="45"/>
    </row>
    <row r="181">
      <c r="A181" s="41" t="s">
        <v>15499</v>
      </c>
      <c r="B181" s="41" t="s">
        <v>15500</v>
      </c>
      <c r="C181" s="41">
        <v>6.66362025E8</v>
      </c>
      <c r="D181" s="42" t="s">
        <v>15501</v>
      </c>
      <c r="E181" s="41" t="s">
        <v>55</v>
      </c>
      <c r="F181" s="41" t="s">
        <v>55</v>
      </c>
      <c r="G181" s="41" t="s">
        <v>15502</v>
      </c>
      <c r="H181" s="41" t="s">
        <v>14822</v>
      </c>
      <c r="I181" s="43"/>
    </row>
    <row r="182">
      <c r="A182" s="44" t="s">
        <v>15503</v>
      </c>
      <c r="B182" s="44" t="s">
        <v>15504</v>
      </c>
      <c r="C182" s="44">
        <v>6.29767713E8</v>
      </c>
      <c r="D182" s="46" t="s">
        <v>15505</v>
      </c>
      <c r="E182" s="44" t="s">
        <v>1009</v>
      </c>
      <c r="F182" s="44" t="s">
        <v>1009</v>
      </c>
      <c r="G182" s="44" t="s">
        <v>15506</v>
      </c>
      <c r="H182" s="44" t="s">
        <v>14822</v>
      </c>
      <c r="I182" s="45"/>
    </row>
    <row r="183">
      <c r="A183" s="41" t="s">
        <v>15507</v>
      </c>
      <c r="B183" s="41" t="s">
        <v>15508</v>
      </c>
      <c r="C183" s="41">
        <v>9.55727712E8</v>
      </c>
      <c r="D183" s="42" t="s">
        <v>15509</v>
      </c>
      <c r="E183" s="41" t="s">
        <v>13159</v>
      </c>
      <c r="F183" s="41" t="s">
        <v>813</v>
      </c>
      <c r="G183" s="41" t="s">
        <v>15510</v>
      </c>
      <c r="H183" s="41" t="s">
        <v>14822</v>
      </c>
      <c r="I183" s="43"/>
    </row>
    <row r="184">
      <c r="A184" s="44" t="s">
        <v>15511</v>
      </c>
      <c r="B184" s="44" t="s">
        <v>15512</v>
      </c>
      <c r="C184" s="44" t="s">
        <v>15513</v>
      </c>
      <c r="D184" s="46" t="s">
        <v>15514</v>
      </c>
      <c r="E184" s="44" t="s">
        <v>15515</v>
      </c>
      <c r="F184" s="45"/>
      <c r="G184" s="45"/>
      <c r="H184" s="44" t="s">
        <v>14822</v>
      </c>
      <c r="I184" s="45"/>
    </row>
    <row r="185">
      <c r="A185" s="41" t="s">
        <v>15516</v>
      </c>
      <c r="B185" s="41" t="s">
        <v>15517</v>
      </c>
      <c r="C185" s="41">
        <v>9.38863232E8</v>
      </c>
      <c r="D185" s="42" t="s">
        <v>15518</v>
      </c>
      <c r="E185" s="41" t="s">
        <v>7793</v>
      </c>
      <c r="F185" s="41" t="s">
        <v>231</v>
      </c>
      <c r="G185" s="40"/>
      <c r="H185" s="41" t="s">
        <v>14822</v>
      </c>
      <c r="I185" s="43"/>
    </row>
    <row r="186">
      <c r="A186" s="44" t="s">
        <v>15519</v>
      </c>
      <c r="B186" s="44" t="s">
        <v>15520</v>
      </c>
      <c r="C186" s="44" t="s">
        <v>15521</v>
      </c>
      <c r="D186" s="45"/>
      <c r="E186" s="44" t="s">
        <v>15522</v>
      </c>
      <c r="F186" s="44" t="s">
        <v>2391</v>
      </c>
      <c r="G186" s="45"/>
      <c r="H186" s="44" t="s">
        <v>14822</v>
      </c>
      <c r="I186" s="45"/>
    </row>
    <row r="187">
      <c r="A187" s="41" t="s">
        <v>15523</v>
      </c>
      <c r="B187" s="41" t="s">
        <v>15524</v>
      </c>
      <c r="C187" s="41" t="s">
        <v>15525</v>
      </c>
      <c r="D187" s="42" t="s">
        <v>15526</v>
      </c>
      <c r="E187" s="41" t="s">
        <v>231</v>
      </c>
      <c r="F187" s="41" t="s">
        <v>231</v>
      </c>
      <c r="G187" s="41" t="s">
        <v>15527</v>
      </c>
      <c r="H187" s="41" t="s">
        <v>14822</v>
      </c>
      <c r="I187" s="43"/>
    </row>
    <row r="188">
      <c r="A188" s="44" t="s">
        <v>15528</v>
      </c>
      <c r="B188" s="44" t="s">
        <v>15529</v>
      </c>
      <c r="C188" s="44" t="s">
        <v>15530</v>
      </c>
      <c r="D188" s="45"/>
      <c r="E188" s="44" t="s">
        <v>2162</v>
      </c>
      <c r="F188" s="44" t="s">
        <v>2162</v>
      </c>
      <c r="G188" s="44" t="s">
        <v>15455</v>
      </c>
      <c r="H188" s="44" t="s">
        <v>14822</v>
      </c>
      <c r="I188" s="45"/>
    </row>
    <row r="189">
      <c r="A189" s="41" t="s">
        <v>15531</v>
      </c>
      <c r="B189" s="41" t="s">
        <v>15529</v>
      </c>
      <c r="C189" s="41">
        <v>6.80980688E8</v>
      </c>
      <c r="D189" s="42" t="s">
        <v>15532</v>
      </c>
      <c r="E189" s="41" t="s">
        <v>15533</v>
      </c>
      <c r="F189" s="41" t="s">
        <v>2162</v>
      </c>
      <c r="G189" s="41" t="s">
        <v>15455</v>
      </c>
      <c r="H189" s="41" t="s">
        <v>14822</v>
      </c>
      <c r="I189" s="43"/>
    </row>
    <row r="190">
      <c r="A190" s="44" t="s">
        <v>15534</v>
      </c>
      <c r="B190" s="44" t="s">
        <v>15535</v>
      </c>
      <c r="C190" s="44">
        <v>6.00526465E8</v>
      </c>
      <c r="D190" s="46" t="s">
        <v>15536</v>
      </c>
      <c r="E190" s="44" t="s">
        <v>231</v>
      </c>
      <c r="F190" s="44" t="s">
        <v>231</v>
      </c>
      <c r="G190" s="44" t="s">
        <v>15537</v>
      </c>
      <c r="H190" s="44" t="s">
        <v>14822</v>
      </c>
      <c r="I190" s="45"/>
    </row>
    <row r="191">
      <c r="A191" s="41" t="s">
        <v>15538</v>
      </c>
      <c r="B191" s="41" t="s">
        <v>15539</v>
      </c>
      <c r="C191" s="41">
        <v>9.3301009E8</v>
      </c>
      <c r="D191" s="42" t="s">
        <v>15540</v>
      </c>
      <c r="E191" s="41" t="s">
        <v>231</v>
      </c>
      <c r="F191" s="41" t="s">
        <v>231</v>
      </c>
      <c r="G191" s="41" t="s">
        <v>15541</v>
      </c>
      <c r="H191" s="41" t="s">
        <v>14822</v>
      </c>
      <c r="I191" s="43"/>
    </row>
    <row r="192">
      <c r="A192" s="44" t="s">
        <v>15542</v>
      </c>
      <c r="B192" s="44" t="s">
        <v>15543</v>
      </c>
      <c r="C192" s="44">
        <v>9.3301009E8</v>
      </c>
      <c r="D192" s="46" t="s">
        <v>15544</v>
      </c>
      <c r="E192" s="44" t="s">
        <v>231</v>
      </c>
      <c r="F192" s="44" t="s">
        <v>231</v>
      </c>
      <c r="G192" s="44" t="s">
        <v>15545</v>
      </c>
      <c r="H192" s="44" t="s">
        <v>14822</v>
      </c>
      <c r="I192" s="45"/>
    </row>
    <row r="193">
      <c r="A193" s="41" t="s">
        <v>15546</v>
      </c>
      <c r="B193" s="41" t="s">
        <v>15547</v>
      </c>
      <c r="C193" s="41">
        <v>5.192819502E9</v>
      </c>
      <c r="D193" s="40"/>
      <c r="E193" s="41" t="s">
        <v>15548</v>
      </c>
      <c r="F193" s="41" t="s">
        <v>14826</v>
      </c>
      <c r="G193" s="41" t="s">
        <v>15549</v>
      </c>
      <c r="H193" s="41" t="s">
        <v>14822</v>
      </c>
      <c r="I193" s="43"/>
    </row>
    <row r="194">
      <c r="A194" s="44" t="s">
        <v>15550</v>
      </c>
      <c r="B194" s="44" t="s">
        <v>15551</v>
      </c>
      <c r="C194" s="44" t="s">
        <v>15552</v>
      </c>
      <c r="D194" s="45"/>
      <c r="E194" s="44" t="s">
        <v>15080</v>
      </c>
      <c r="F194" s="44" t="s">
        <v>55</v>
      </c>
      <c r="G194" s="44" t="s">
        <v>15553</v>
      </c>
      <c r="H194" s="44" t="s">
        <v>14822</v>
      </c>
      <c r="I194" s="45"/>
    </row>
    <row r="195">
      <c r="A195" s="41" t="s">
        <v>15554</v>
      </c>
      <c r="B195" s="41" t="s">
        <v>15555</v>
      </c>
      <c r="C195" s="41">
        <v>9.12777211E8</v>
      </c>
      <c r="D195" s="42" t="s">
        <v>15556</v>
      </c>
      <c r="E195" s="41" t="s">
        <v>3295</v>
      </c>
      <c r="F195" s="41" t="s">
        <v>55</v>
      </c>
      <c r="G195" s="41" t="s">
        <v>15557</v>
      </c>
      <c r="H195" s="41" t="s">
        <v>14822</v>
      </c>
      <c r="I195" s="43"/>
    </row>
    <row r="196">
      <c r="A196" s="44" t="s">
        <v>15558</v>
      </c>
      <c r="B196" s="44" t="s">
        <v>15559</v>
      </c>
      <c r="C196" s="44" t="s">
        <v>15560</v>
      </c>
      <c r="D196" s="46" t="s">
        <v>15561</v>
      </c>
      <c r="E196" s="44" t="s">
        <v>129</v>
      </c>
      <c r="F196" s="44" t="s">
        <v>129</v>
      </c>
      <c r="G196" s="45"/>
      <c r="H196" s="44" t="s">
        <v>14822</v>
      </c>
      <c r="I196" s="45"/>
    </row>
    <row r="197">
      <c r="A197" s="41" t="s">
        <v>15562</v>
      </c>
      <c r="B197" s="41" t="s">
        <v>15563</v>
      </c>
      <c r="C197" s="41">
        <v>9.46765631E8</v>
      </c>
      <c r="D197" s="42" t="s">
        <v>15564</v>
      </c>
      <c r="E197" s="41" t="s">
        <v>15565</v>
      </c>
      <c r="F197" s="41" t="s">
        <v>14975</v>
      </c>
      <c r="G197" s="41" t="s">
        <v>15566</v>
      </c>
      <c r="H197" s="41" t="s">
        <v>14822</v>
      </c>
      <c r="I197" s="43"/>
    </row>
    <row r="198">
      <c r="A198" s="44" t="s">
        <v>15567</v>
      </c>
      <c r="B198" s="44" t="s">
        <v>15117</v>
      </c>
      <c r="C198" s="44">
        <v>6.20222892E8</v>
      </c>
      <c r="D198" s="45"/>
      <c r="E198" s="44" t="s">
        <v>55</v>
      </c>
      <c r="F198" s="44" t="s">
        <v>55</v>
      </c>
      <c r="G198" s="44" t="s">
        <v>15568</v>
      </c>
      <c r="H198" s="44" t="s">
        <v>14822</v>
      </c>
      <c r="I198" s="45"/>
    </row>
    <row r="199">
      <c r="A199" s="41" t="s">
        <v>15569</v>
      </c>
      <c r="B199" s="41" t="s">
        <v>15570</v>
      </c>
      <c r="C199" s="41" t="s">
        <v>15571</v>
      </c>
      <c r="D199" s="42" t="s">
        <v>15572</v>
      </c>
      <c r="E199" s="41" t="s">
        <v>55</v>
      </c>
      <c r="F199" s="41" t="s">
        <v>55</v>
      </c>
      <c r="G199" s="41" t="s">
        <v>15573</v>
      </c>
      <c r="H199" s="41" t="s">
        <v>14822</v>
      </c>
      <c r="I199" s="43"/>
    </row>
    <row r="200">
      <c r="A200" s="44" t="s">
        <v>15574</v>
      </c>
      <c r="B200" s="44" t="s">
        <v>15575</v>
      </c>
      <c r="C200" s="44">
        <v>6.22019555E8</v>
      </c>
      <c r="D200" s="46" t="s">
        <v>15576</v>
      </c>
      <c r="E200" s="44" t="s">
        <v>15577</v>
      </c>
      <c r="F200" s="44" t="s">
        <v>10629</v>
      </c>
      <c r="G200" s="44" t="s">
        <v>15578</v>
      </c>
      <c r="H200" s="44" t="s">
        <v>14822</v>
      </c>
      <c r="I200" s="45"/>
    </row>
    <row r="201">
      <c r="A201" s="41" t="s">
        <v>15579</v>
      </c>
      <c r="B201" s="41" t="s">
        <v>15580</v>
      </c>
      <c r="C201" s="41">
        <v>6.59006697E8</v>
      </c>
      <c r="D201" s="40"/>
      <c r="E201" s="41" t="s">
        <v>15581</v>
      </c>
      <c r="F201" s="41" t="s">
        <v>55</v>
      </c>
      <c r="G201" s="41" t="s">
        <v>15582</v>
      </c>
      <c r="H201" s="41" t="s">
        <v>14822</v>
      </c>
      <c r="I201" s="43"/>
    </row>
    <row r="202">
      <c r="A202" s="44" t="s">
        <v>15583</v>
      </c>
      <c r="B202" s="44" t="s">
        <v>15584</v>
      </c>
      <c r="C202" s="44" t="s">
        <v>15585</v>
      </c>
      <c r="D202" s="46" t="s">
        <v>15586</v>
      </c>
      <c r="E202" s="44" t="s">
        <v>926</v>
      </c>
      <c r="F202" s="44" t="s">
        <v>14905</v>
      </c>
      <c r="G202" s="44" t="s">
        <v>15587</v>
      </c>
      <c r="H202" s="44" t="s">
        <v>14822</v>
      </c>
      <c r="I202" s="45"/>
    </row>
    <row r="203">
      <c r="A203" s="41" t="s">
        <v>15588</v>
      </c>
      <c r="B203" s="41" t="s">
        <v>15589</v>
      </c>
      <c r="C203" s="41" t="s">
        <v>15590</v>
      </c>
      <c r="D203" s="42" t="s">
        <v>15591</v>
      </c>
      <c r="E203" s="41" t="s">
        <v>15592</v>
      </c>
      <c r="F203" s="41" t="s">
        <v>55</v>
      </c>
      <c r="G203" s="41" t="s">
        <v>15593</v>
      </c>
      <c r="H203" s="41" t="s">
        <v>14822</v>
      </c>
      <c r="I203" s="43"/>
    </row>
    <row r="204">
      <c r="A204" s="44" t="s">
        <v>15594</v>
      </c>
      <c r="B204" s="44" t="s">
        <v>15595</v>
      </c>
      <c r="C204" s="44" t="s">
        <v>15596</v>
      </c>
      <c r="D204" s="45"/>
      <c r="E204" s="44" t="s">
        <v>2162</v>
      </c>
      <c r="F204" s="44" t="s">
        <v>2162</v>
      </c>
      <c r="G204" s="44" t="s">
        <v>15597</v>
      </c>
      <c r="H204" s="44" t="s">
        <v>14822</v>
      </c>
      <c r="I204" s="45"/>
    </row>
    <row r="205">
      <c r="A205" s="41" t="s">
        <v>15598</v>
      </c>
      <c r="B205" s="41" t="s">
        <v>15599</v>
      </c>
      <c r="C205" s="41">
        <v>6.26943208E8</v>
      </c>
      <c r="D205" s="42" t="s">
        <v>15600</v>
      </c>
      <c r="E205" s="41" t="s">
        <v>15601</v>
      </c>
      <c r="F205" s="41" t="s">
        <v>231</v>
      </c>
      <c r="G205" s="41" t="s">
        <v>15602</v>
      </c>
      <c r="H205" s="41" t="s">
        <v>14822</v>
      </c>
      <c r="I205" s="43"/>
    </row>
    <row r="206">
      <c r="A206" s="44" t="s">
        <v>15603</v>
      </c>
      <c r="B206" s="44" t="s">
        <v>15604</v>
      </c>
      <c r="C206" s="44" t="s">
        <v>15605</v>
      </c>
      <c r="D206" s="45"/>
      <c r="E206" s="44" t="s">
        <v>55</v>
      </c>
      <c r="F206" s="44" t="s">
        <v>55</v>
      </c>
      <c r="G206" s="45"/>
      <c r="H206" s="44" t="s">
        <v>14822</v>
      </c>
      <c r="I206" s="45"/>
    </row>
    <row r="207">
      <c r="A207" s="41" t="s">
        <v>15606</v>
      </c>
      <c r="B207" s="41" t="s">
        <v>15607</v>
      </c>
      <c r="C207" s="41">
        <v>9.0238384E8</v>
      </c>
      <c r="D207" s="42" t="s">
        <v>15608</v>
      </c>
      <c r="E207" s="41" t="s">
        <v>231</v>
      </c>
      <c r="F207" s="41" t="s">
        <v>231</v>
      </c>
      <c r="G207" s="40"/>
      <c r="H207" s="41" t="s">
        <v>14822</v>
      </c>
      <c r="I207" s="43"/>
    </row>
    <row r="208">
      <c r="A208" s="44" t="s">
        <v>15609</v>
      </c>
      <c r="B208" s="44" t="s">
        <v>15610</v>
      </c>
      <c r="C208" s="44">
        <v>9.15046895E8</v>
      </c>
      <c r="D208" s="46" t="s">
        <v>15611</v>
      </c>
      <c r="E208" s="44" t="s">
        <v>15612</v>
      </c>
      <c r="F208" s="44" t="s">
        <v>55</v>
      </c>
      <c r="G208" s="44" t="s">
        <v>15609</v>
      </c>
      <c r="H208" s="44" t="s">
        <v>14822</v>
      </c>
      <c r="I208" s="45"/>
    </row>
    <row r="209">
      <c r="A209" s="41" t="s">
        <v>15613</v>
      </c>
      <c r="B209" s="41" t="s">
        <v>15614</v>
      </c>
      <c r="C209" s="40" t="str">
        <f>+34 605 805 101</f>
        <v>#ERROR!</v>
      </c>
      <c r="D209" s="42" t="s">
        <v>15615</v>
      </c>
      <c r="E209" s="41" t="s">
        <v>6315</v>
      </c>
      <c r="F209" s="41" t="s">
        <v>14905</v>
      </c>
      <c r="G209" s="41" t="s">
        <v>15616</v>
      </c>
      <c r="H209" s="41" t="s">
        <v>14822</v>
      </c>
      <c r="I209" s="43"/>
    </row>
    <row r="210">
      <c r="A210" s="44" t="s">
        <v>15617</v>
      </c>
      <c r="B210" s="44" t="s">
        <v>15618</v>
      </c>
      <c r="C210" s="44">
        <v>6.99027015E8</v>
      </c>
      <c r="D210" s="46" t="s">
        <v>15619</v>
      </c>
      <c r="E210" s="44" t="s">
        <v>231</v>
      </c>
      <c r="F210" s="44" t="s">
        <v>231</v>
      </c>
      <c r="G210" s="44" t="s">
        <v>15620</v>
      </c>
      <c r="H210" s="44" t="s">
        <v>14822</v>
      </c>
      <c r="I210" s="45"/>
    </row>
    <row r="211">
      <c r="A211" s="41" t="s">
        <v>15621</v>
      </c>
      <c r="B211" s="41" t="s">
        <v>15622</v>
      </c>
      <c r="C211" s="41" t="s">
        <v>15623</v>
      </c>
      <c r="D211" s="42" t="s">
        <v>15624</v>
      </c>
      <c r="E211" s="41" t="s">
        <v>15625</v>
      </c>
      <c r="F211" s="41" t="s">
        <v>1612</v>
      </c>
      <c r="G211" s="41" t="s">
        <v>15626</v>
      </c>
      <c r="H211" s="41" t="s">
        <v>14822</v>
      </c>
      <c r="I211" s="43"/>
    </row>
    <row r="212">
      <c r="A212" s="44" t="s">
        <v>15627</v>
      </c>
      <c r="B212" s="44" t="s">
        <v>15628</v>
      </c>
      <c r="C212" s="44">
        <v>6.51630204E8</v>
      </c>
      <c r="D212" s="46" t="s">
        <v>15629</v>
      </c>
      <c r="E212" s="44" t="s">
        <v>129</v>
      </c>
      <c r="F212" s="44" t="s">
        <v>129</v>
      </c>
      <c r="G212" s="45"/>
      <c r="H212" s="44" t="s">
        <v>14822</v>
      </c>
      <c r="I212" s="45"/>
    </row>
    <row r="213">
      <c r="A213" s="41" t="s">
        <v>15630</v>
      </c>
      <c r="B213" s="41" t="s">
        <v>15631</v>
      </c>
      <c r="C213" s="40" t="str">
        <f>+34 605 10 13 80</f>
        <v>#ERROR!</v>
      </c>
      <c r="D213" s="42" t="s">
        <v>15632</v>
      </c>
      <c r="E213" s="41" t="s">
        <v>55</v>
      </c>
      <c r="F213" s="41" t="s">
        <v>55</v>
      </c>
      <c r="G213" s="41" t="s">
        <v>15633</v>
      </c>
      <c r="H213" s="41" t="s">
        <v>14822</v>
      </c>
      <c r="I213" s="43"/>
    </row>
    <row r="214">
      <c r="A214" s="44" t="s">
        <v>15634</v>
      </c>
      <c r="B214" s="44" t="s">
        <v>15635</v>
      </c>
      <c r="C214" s="44">
        <v>6.27423199E8</v>
      </c>
      <c r="D214" s="45"/>
      <c r="E214" s="44" t="s">
        <v>231</v>
      </c>
      <c r="F214" s="44" t="s">
        <v>231</v>
      </c>
      <c r="G214" s="44" t="s">
        <v>15636</v>
      </c>
      <c r="H214" s="44" t="s">
        <v>14822</v>
      </c>
      <c r="I214" s="45"/>
    </row>
    <row r="215">
      <c r="A215" s="41" t="s">
        <v>15637</v>
      </c>
      <c r="B215" s="41" t="s">
        <v>15638</v>
      </c>
      <c r="C215" s="41">
        <v>6.86068214E8</v>
      </c>
      <c r="D215" s="40"/>
      <c r="E215" s="41" t="s">
        <v>55</v>
      </c>
      <c r="F215" s="41" t="s">
        <v>55</v>
      </c>
      <c r="G215" s="41" t="s">
        <v>15639</v>
      </c>
      <c r="H215" s="41" t="s">
        <v>14822</v>
      </c>
      <c r="I215" s="43"/>
    </row>
    <row r="216">
      <c r="A216" s="44" t="s">
        <v>15640</v>
      </c>
      <c r="B216" s="44" t="s">
        <v>15641</v>
      </c>
      <c r="C216" s="44">
        <v>6.09461134E8</v>
      </c>
      <c r="D216" s="45"/>
      <c r="E216" s="44" t="s">
        <v>698</v>
      </c>
      <c r="F216" s="44" t="s">
        <v>14975</v>
      </c>
      <c r="G216" s="44" t="s">
        <v>15642</v>
      </c>
      <c r="H216" s="44" t="s">
        <v>14822</v>
      </c>
      <c r="I216" s="45"/>
    </row>
    <row r="217">
      <c r="A217" s="41" t="s">
        <v>15643</v>
      </c>
      <c r="B217" s="41" t="s">
        <v>15644</v>
      </c>
      <c r="C217" s="41">
        <v>6.22445155E8</v>
      </c>
      <c r="D217" s="42" t="s">
        <v>15645</v>
      </c>
      <c r="E217" s="41" t="s">
        <v>8107</v>
      </c>
      <c r="F217" s="41" t="s">
        <v>129</v>
      </c>
      <c r="G217" s="41" t="s">
        <v>15646</v>
      </c>
      <c r="H217" s="41" t="s">
        <v>14822</v>
      </c>
      <c r="I217" s="43"/>
    </row>
    <row r="218">
      <c r="A218" s="44" t="s">
        <v>15647</v>
      </c>
      <c r="B218" s="44" t="s">
        <v>8714</v>
      </c>
      <c r="C218" s="44">
        <v>6.29305509E8</v>
      </c>
      <c r="D218" s="46" t="s">
        <v>15648</v>
      </c>
      <c r="E218" s="44" t="s">
        <v>8717</v>
      </c>
      <c r="F218" s="44" t="s">
        <v>231</v>
      </c>
      <c r="G218" s="44" t="s">
        <v>15649</v>
      </c>
      <c r="H218" s="44" t="s">
        <v>14822</v>
      </c>
      <c r="I218" s="45"/>
    </row>
    <row r="219">
      <c r="A219" s="41" t="s">
        <v>15650</v>
      </c>
      <c r="B219" s="41" t="s">
        <v>15651</v>
      </c>
      <c r="C219" s="40">
        <f>+34624449558</f>
        <v>34624449558</v>
      </c>
      <c r="D219" s="42" t="s">
        <v>15652</v>
      </c>
      <c r="E219" s="41" t="s">
        <v>112</v>
      </c>
      <c r="F219" s="41" t="s">
        <v>14905</v>
      </c>
      <c r="G219" s="41" t="s">
        <v>15653</v>
      </c>
      <c r="H219" s="41" t="s">
        <v>14822</v>
      </c>
      <c r="I219" s="43"/>
    </row>
    <row r="220">
      <c r="A220" s="44" t="s">
        <v>15654</v>
      </c>
      <c r="B220" s="44" t="s">
        <v>15655</v>
      </c>
      <c r="C220" s="44">
        <v>6.15964897E8</v>
      </c>
      <c r="D220" s="46" t="s">
        <v>15656</v>
      </c>
      <c r="E220" s="44" t="s">
        <v>8036</v>
      </c>
      <c r="F220" s="44" t="s">
        <v>55</v>
      </c>
      <c r="G220" s="44" t="s">
        <v>15657</v>
      </c>
      <c r="H220" s="44" t="s">
        <v>14822</v>
      </c>
      <c r="I220" s="45"/>
    </row>
    <row r="221">
      <c r="A221" s="41" t="s">
        <v>15658</v>
      </c>
      <c r="B221" s="41" t="s">
        <v>15659</v>
      </c>
      <c r="C221" s="47">
        <v>6.56182778E8</v>
      </c>
      <c r="D221" s="40"/>
      <c r="E221" s="41" t="s">
        <v>55</v>
      </c>
      <c r="F221" s="41" t="s">
        <v>55</v>
      </c>
      <c r="G221" s="40"/>
      <c r="H221" s="41" t="s">
        <v>14822</v>
      </c>
      <c r="I221" s="43"/>
    </row>
    <row r="222">
      <c r="A222" s="44" t="s">
        <v>15660</v>
      </c>
      <c r="B222" s="44" t="s">
        <v>15661</v>
      </c>
      <c r="C222" s="44">
        <v>6.69796879E8</v>
      </c>
      <c r="D222" s="45"/>
      <c r="E222" s="44" t="s">
        <v>55</v>
      </c>
      <c r="F222" s="44" t="s">
        <v>55</v>
      </c>
      <c r="G222" s="45"/>
      <c r="H222" s="44" t="s">
        <v>14822</v>
      </c>
      <c r="I222" s="45"/>
    </row>
    <row r="223">
      <c r="A223" s="41" t="s">
        <v>15662</v>
      </c>
      <c r="B223" s="41" t="s">
        <v>15663</v>
      </c>
      <c r="C223" s="41">
        <v>9.54383555E8</v>
      </c>
      <c r="D223" s="40"/>
      <c r="E223" s="41" t="s">
        <v>813</v>
      </c>
      <c r="F223" s="41" t="s">
        <v>813</v>
      </c>
      <c r="G223" s="40"/>
      <c r="H223" s="41" t="s">
        <v>14822</v>
      </c>
      <c r="I223" s="43"/>
    </row>
    <row r="224">
      <c r="A224" s="44" t="s">
        <v>15664</v>
      </c>
      <c r="B224" s="44" t="s">
        <v>15665</v>
      </c>
      <c r="C224" s="44">
        <v>6.79368185E8</v>
      </c>
      <c r="D224" s="45"/>
      <c r="E224" s="44" t="s">
        <v>8066</v>
      </c>
      <c r="F224" s="44" t="s">
        <v>231</v>
      </c>
      <c r="G224" s="44" t="s">
        <v>15664</v>
      </c>
      <c r="H224" s="44" t="s">
        <v>14822</v>
      </c>
      <c r="I224" s="45"/>
    </row>
    <row r="225">
      <c r="A225" s="41" t="s">
        <v>15666</v>
      </c>
      <c r="B225" s="41" t="s">
        <v>15667</v>
      </c>
      <c r="C225" s="41" t="s">
        <v>15668</v>
      </c>
      <c r="D225" s="40"/>
      <c r="E225" s="41" t="s">
        <v>2162</v>
      </c>
      <c r="F225" s="41" t="s">
        <v>2162</v>
      </c>
      <c r="G225" s="41" t="s">
        <v>15669</v>
      </c>
      <c r="H225" s="41" t="s">
        <v>14822</v>
      </c>
      <c r="I225" s="43"/>
    </row>
    <row r="226">
      <c r="A226" s="44" t="s">
        <v>15670</v>
      </c>
      <c r="B226" s="44" t="s">
        <v>15671</v>
      </c>
      <c r="C226" s="44">
        <v>6.96649512E8</v>
      </c>
      <c r="D226" s="45"/>
      <c r="E226" s="44" t="s">
        <v>55</v>
      </c>
      <c r="F226" s="44" t="s">
        <v>55</v>
      </c>
      <c r="G226" s="44" t="s">
        <v>12187</v>
      </c>
      <c r="H226" s="44" t="s">
        <v>14822</v>
      </c>
      <c r="I226" s="45"/>
    </row>
    <row r="227">
      <c r="A227" s="41" t="s">
        <v>15672</v>
      </c>
      <c r="B227" s="41" t="s">
        <v>15673</v>
      </c>
      <c r="C227" s="41" t="s">
        <v>15674</v>
      </c>
      <c r="D227" s="42" t="s">
        <v>15675</v>
      </c>
      <c r="E227" s="41" t="s">
        <v>231</v>
      </c>
      <c r="F227" s="41" t="s">
        <v>231</v>
      </c>
      <c r="G227" s="40"/>
      <c r="H227" s="41" t="s">
        <v>14822</v>
      </c>
      <c r="I227" s="43"/>
    </row>
    <row r="228">
      <c r="A228" s="44" t="s">
        <v>15676</v>
      </c>
      <c r="B228" s="44" t="s">
        <v>15677</v>
      </c>
      <c r="C228" s="44">
        <v>6.03849313E8</v>
      </c>
      <c r="D228" s="46" t="s">
        <v>15678</v>
      </c>
      <c r="E228" s="44" t="s">
        <v>15679</v>
      </c>
      <c r="F228" s="44" t="s">
        <v>231</v>
      </c>
      <c r="G228" s="44" t="s">
        <v>15680</v>
      </c>
      <c r="H228" s="44" t="s">
        <v>14822</v>
      </c>
      <c r="I228" s="45"/>
    </row>
    <row r="229">
      <c r="A229" s="41" t="s">
        <v>15681</v>
      </c>
      <c r="B229" s="41" t="s">
        <v>15682</v>
      </c>
      <c r="C229" s="41" t="s">
        <v>15683</v>
      </c>
      <c r="D229" s="42" t="s">
        <v>15684</v>
      </c>
      <c r="E229" s="41" t="s">
        <v>2837</v>
      </c>
      <c r="F229" s="41" t="s">
        <v>580</v>
      </c>
      <c r="G229" s="41" t="s">
        <v>15685</v>
      </c>
      <c r="H229" s="41" t="s">
        <v>14822</v>
      </c>
      <c r="I229" s="43"/>
    </row>
    <row r="230">
      <c r="A230" s="44" t="s">
        <v>15686</v>
      </c>
      <c r="B230" s="44" t="s">
        <v>15687</v>
      </c>
      <c r="C230" s="44">
        <v>6.86456217E8</v>
      </c>
      <c r="D230" s="46" t="s">
        <v>15688</v>
      </c>
      <c r="E230" s="44" t="s">
        <v>8616</v>
      </c>
      <c r="F230" s="44" t="s">
        <v>253</v>
      </c>
      <c r="G230" s="44" t="s">
        <v>15689</v>
      </c>
      <c r="H230" s="44" t="s">
        <v>14822</v>
      </c>
      <c r="I230" s="45"/>
    </row>
    <row r="231">
      <c r="A231" s="41" t="s">
        <v>15690</v>
      </c>
      <c r="B231" s="41" t="s">
        <v>15691</v>
      </c>
      <c r="C231" s="41" t="s">
        <v>15692</v>
      </c>
      <c r="D231" s="42" t="s">
        <v>15693</v>
      </c>
      <c r="E231" s="41" t="s">
        <v>55</v>
      </c>
      <c r="F231" s="41" t="s">
        <v>55</v>
      </c>
      <c r="G231" s="41" t="s">
        <v>15694</v>
      </c>
      <c r="H231" s="41" t="s">
        <v>14822</v>
      </c>
      <c r="I231" s="43"/>
    </row>
    <row r="232">
      <c r="A232" s="44" t="s">
        <v>15695</v>
      </c>
      <c r="B232" s="44" t="s">
        <v>15696</v>
      </c>
      <c r="C232" s="44" t="s">
        <v>15697</v>
      </c>
      <c r="D232" s="46" t="s">
        <v>15698</v>
      </c>
      <c r="E232" s="44" t="s">
        <v>231</v>
      </c>
      <c r="F232" s="44" t="s">
        <v>231</v>
      </c>
      <c r="G232" s="44" t="s">
        <v>15699</v>
      </c>
      <c r="H232" s="44" t="s">
        <v>14822</v>
      </c>
      <c r="I232" s="45"/>
    </row>
    <row r="233">
      <c r="A233" s="41" t="s">
        <v>15700</v>
      </c>
      <c r="B233" s="41" t="s">
        <v>15701</v>
      </c>
      <c r="C233" s="41">
        <v>6.56865545E8</v>
      </c>
      <c r="D233" s="42" t="s">
        <v>15702</v>
      </c>
      <c r="E233" s="41" t="s">
        <v>7388</v>
      </c>
      <c r="F233" s="41" t="s">
        <v>231</v>
      </c>
      <c r="G233" s="41" t="s">
        <v>15703</v>
      </c>
      <c r="H233" s="41" t="s">
        <v>14822</v>
      </c>
      <c r="I233" s="43"/>
    </row>
    <row r="234">
      <c r="A234" s="44" t="s">
        <v>15704</v>
      </c>
      <c r="B234" s="44" t="s">
        <v>15705</v>
      </c>
      <c r="C234" s="44" t="s">
        <v>15706</v>
      </c>
      <c r="D234" s="46" t="s">
        <v>15707</v>
      </c>
      <c r="E234" s="44" t="s">
        <v>55</v>
      </c>
      <c r="F234" s="44" t="s">
        <v>55</v>
      </c>
      <c r="G234" s="44" t="s">
        <v>15708</v>
      </c>
      <c r="H234" s="44" t="s">
        <v>14822</v>
      </c>
      <c r="I234" s="45"/>
    </row>
    <row r="235">
      <c r="A235" s="41" t="s">
        <v>15709</v>
      </c>
      <c r="B235" s="41" t="s">
        <v>15710</v>
      </c>
      <c r="C235" s="41">
        <v>9.33620296E8</v>
      </c>
      <c r="D235" s="42" t="s">
        <v>15711</v>
      </c>
      <c r="E235" s="41" t="s">
        <v>231</v>
      </c>
      <c r="F235" s="41" t="s">
        <v>231</v>
      </c>
      <c r="G235" s="40"/>
      <c r="H235" s="41" t="s">
        <v>14822</v>
      </c>
      <c r="I235" s="43"/>
    </row>
    <row r="236">
      <c r="A236" s="44" t="s">
        <v>15712</v>
      </c>
      <c r="B236" s="44" t="s">
        <v>15713</v>
      </c>
      <c r="C236" s="44">
        <v>6.15232269E8</v>
      </c>
      <c r="D236" s="45"/>
      <c r="E236" s="44" t="s">
        <v>1352</v>
      </c>
      <c r="F236" s="44" t="s">
        <v>1352</v>
      </c>
      <c r="G236" s="44" t="s">
        <v>15714</v>
      </c>
      <c r="H236" s="44" t="s">
        <v>14822</v>
      </c>
      <c r="I236" s="45"/>
    </row>
    <row r="237">
      <c r="A237" s="41" t="s">
        <v>15715</v>
      </c>
      <c r="B237" s="41" t="s">
        <v>15716</v>
      </c>
      <c r="C237" s="41">
        <v>6.15589421E8</v>
      </c>
      <c r="D237" s="40"/>
      <c r="E237" s="41" t="s">
        <v>15717</v>
      </c>
      <c r="F237" s="41" t="s">
        <v>231</v>
      </c>
      <c r="G237" s="40"/>
      <c r="H237" s="41" t="s">
        <v>14822</v>
      </c>
      <c r="I237" s="43"/>
    </row>
    <row r="238">
      <c r="A238" s="44" t="s">
        <v>15718</v>
      </c>
      <c r="B238" s="44" t="s">
        <v>15719</v>
      </c>
      <c r="C238" s="44">
        <v>6.18551512E8</v>
      </c>
      <c r="D238" s="46" t="s">
        <v>15720</v>
      </c>
      <c r="E238" s="44" t="s">
        <v>15721</v>
      </c>
      <c r="F238" s="44" t="s">
        <v>5480</v>
      </c>
      <c r="G238" s="44" t="s">
        <v>15722</v>
      </c>
      <c r="H238" s="44" t="s">
        <v>14822</v>
      </c>
      <c r="I238" s="45"/>
    </row>
    <row r="239">
      <c r="A239" s="41" t="s">
        <v>15723</v>
      </c>
      <c r="B239" s="41" t="s">
        <v>15724</v>
      </c>
      <c r="C239" s="41" t="s">
        <v>15725</v>
      </c>
      <c r="D239" s="42" t="s">
        <v>15726</v>
      </c>
      <c r="E239" s="41" t="s">
        <v>55</v>
      </c>
      <c r="F239" s="41" t="s">
        <v>55</v>
      </c>
      <c r="G239" s="41" t="s">
        <v>15727</v>
      </c>
      <c r="H239" s="41" t="s">
        <v>14822</v>
      </c>
      <c r="I239" s="43"/>
    </row>
    <row r="240">
      <c r="A240" s="44" t="s">
        <v>15728</v>
      </c>
      <c r="B240" s="44" t="s">
        <v>15729</v>
      </c>
      <c r="C240" s="44">
        <v>6.8595138E8</v>
      </c>
      <c r="D240" s="46" t="s">
        <v>15730</v>
      </c>
      <c r="E240" s="44" t="s">
        <v>15268</v>
      </c>
      <c r="F240" s="44" t="s">
        <v>231</v>
      </c>
      <c r="G240" s="44" t="s">
        <v>15731</v>
      </c>
      <c r="H240" s="44" t="s">
        <v>14822</v>
      </c>
      <c r="I240" s="45"/>
    </row>
    <row r="241">
      <c r="A241" s="41" t="s">
        <v>15732</v>
      </c>
      <c r="B241" s="41" t="s">
        <v>15733</v>
      </c>
      <c r="C241" s="41" t="s">
        <v>15734</v>
      </c>
      <c r="D241" s="42" t="s">
        <v>15735</v>
      </c>
      <c r="E241" s="41" t="s">
        <v>1612</v>
      </c>
      <c r="F241" s="41" t="s">
        <v>1612</v>
      </c>
      <c r="G241" s="41" t="s">
        <v>15736</v>
      </c>
      <c r="H241" s="41" t="s">
        <v>14822</v>
      </c>
      <c r="I241" s="43"/>
    </row>
    <row r="242">
      <c r="A242" s="44" t="s">
        <v>15737</v>
      </c>
      <c r="B242" s="44" t="s">
        <v>15738</v>
      </c>
      <c r="C242" s="44">
        <v>6.3322014E8</v>
      </c>
      <c r="D242" s="46" t="s">
        <v>15739</v>
      </c>
      <c r="E242" s="44" t="s">
        <v>55</v>
      </c>
      <c r="F242" s="44" t="s">
        <v>55</v>
      </c>
      <c r="G242" s="44" t="s">
        <v>15740</v>
      </c>
      <c r="H242" s="44" t="s">
        <v>14822</v>
      </c>
      <c r="I242" s="45"/>
    </row>
    <row r="243">
      <c r="A243" s="41" t="s">
        <v>15741</v>
      </c>
      <c r="B243" s="41" t="s">
        <v>15742</v>
      </c>
      <c r="C243" s="41" t="s">
        <v>15743</v>
      </c>
      <c r="D243" s="40"/>
      <c r="E243" s="41" t="s">
        <v>10805</v>
      </c>
      <c r="F243" s="41" t="s">
        <v>14915</v>
      </c>
      <c r="G243" s="41" t="s">
        <v>15744</v>
      </c>
      <c r="H243" s="41" t="s">
        <v>14822</v>
      </c>
      <c r="I243" s="43"/>
    </row>
    <row r="244">
      <c r="A244" s="44" t="s">
        <v>15745</v>
      </c>
      <c r="B244" s="44" t="s">
        <v>15746</v>
      </c>
      <c r="C244" s="44" t="s">
        <v>15747</v>
      </c>
      <c r="D244" s="46" t="s">
        <v>15748</v>
      </c>
      <c r="E244" s="44" t="s">
        <v>7067</v>
      </c>
      <c r="F244" s="44" t="s">
        <v>231</v>
      </c>
      <c r="G244" s="44" t="s">
        <v>15749</v>
      </c>
      <c r="H244" s="44" t="s">
        <v>14822</v>
      </c>
      <c r="I244" s="45"/>
    </row>
    <row r="245">
      <c r="A245" s="41" t="s">
        <v>12229</v>
      </c>
      <c r="B245" s="41" t="s">
        <v>12232</v>
      </c>
      <c r="C245" s="41" t="s">
        <v>15750</v>
      </c>
      <c r="D245" s="42" t="s">
        <v>15751</v>
      </c>
      <c r="E245" s="41" t="s">
        <v>55</v>
      </c>
      <c r="F245" s="41" t="s">
        <v>55</v>
      </c>
      <c r="G245" s="41" t="s">
        <v>15752</v>
      </c>
      <c r="H245" s="41" t="s">
        <v>14822</v>
      </c>
      <c r="I245" s="43"/>
    </row>
    <row r="246">
      <c r="A246" s="44" t="s">
        <v>15753</v>
      </c>
      <c r="B246" s="44" t="s">
        <v>15754</v>
      </c>
      <c r="C246" s="44" t="s">
        <v>15755</v>
      </c>
      <c r="D246" s="46" t="s">
        <v>15756</v>
      </c>
      <c r="E246" s="44" t="s">
        <v>15757</v>
      </c>
      <c r="F246" s="44" t="s">
        <v>262</v>
      </c>
      <c r="G246" s="44" t="s">
        <v>15758</v>
      </c>
      <c r="H246" s="44" t="s">
        <v>14822</v>
      </c>
      <c r="I246" s="45"/>
    </row>
    <row r="247">
      <c r="A247" s="41" t="s">
        <v>15759</v>
      </c>
      <c r="B247" s="41" t="s">
        <v>15760</v>
      </c>
      <c r="C247" s="41" t="s">
        <v>15761</v>
      </c>
      <c r="D247" s="40"/>
      <c r="E247" s="41" t="s">
        <v>15762</v>
      </c>
      <c r="F247" s="41" t="s">
        <v>2391</v>
      </c>
      <c r="G247" s="41" t="s">
        <v>15763</v>
      </c>
      <c r="H247" s="41" t="s">
        <v>14822</v>
      </c>
      <c r="I247" s="43"/>
    </row>
    <row r="248">
      <c r="A248" s="44" t="s">
        <v>15764</v>
      </c>
      <c r="B248" s="44" t="s">
        <v>15765</v>
      </c>
      <c r="C248" s="44">
        <v>6.19022036E8</v>
      </c>
      <c r="D248" s="46" t="s">
        <v>15766</v>
      </c>
      <c r="E248" s="44" t="s">
        <v>1163</v>
      </c>
      <c r="F248" s="44" t="s">
        <v>253</v>
      </c>
      <c r="G248" s="44" t="s">
        <v>15767</v>
      </c>
      <c r="H248" s="44" t="s">
        <v>14822</v>
      </c>
      <c r="I248" s="45"/>
    </row>
    <row r="249">
      <c r="A249" s="41" t="s">
        <v>15768</v>
      </c>
      <c r="B249" s="41" t="s">
        <v>15769</v>
      </c>
      <c r="C249" s="41">
        <v>6.47172526E8</v>
      </c>
      <c r="D249" s="40"/>
      <c r="E249" s="41" t="s">
        <v>8354</v>
      </c>
      <c r="F249" s="41" t="s">
        <v>1014</v>
      </c>
      <c r="G249" s="41" t="s">
        <v>15768</v>
      </c>
      <c r="H249" s="41" t="s">
        <v>14822</v>
      </c>
      <c r="I249" s="43"/>
    </row>
    <row r="250">
      <c r="A250" s="44" t="s">
        <v>15770</v>
      </c>
      <c r="B250" s="44" t="s">
        <v>15771</v>
      </c>
      <c r="C250" s="44">
        <v>6.36944281E8</v>
      </c>
      <c r="D250" s="46" t="s">
        <v>15772</v>
      </c>
      <c r="E250" s="44" t="s">
        <v>1929</v>
      </c>
      <c r="F250" s="44" t="s">
        <v>1929</v>
      </c>
      <c r="G250" s="45"/>
      <c r="H250" s="44" t="s">
        <v>14822</v>
      </c>
      <c r="I250" s="45"/>
    </row>
    <row r="251">
      <c r="A251" s="41" t="s">
        <v>15773</v>
      </c>
      <c r="B251" s="41" t="s">
        <v>15774</v>
      </c>
      <c r="C251" s="41" t="s">
        <v>15775</v>
      </c>
      <c r="D251" s="40"/>
      <c r="E251" s="41" t="s">
        <v>15776</v>
      </c>
      <c r="F251" s="41" t="s">
        <v>7083</v>
      </c>
      <c r="G251" s="41" t="s">
        <v>15777</v>
      </c>
      <c r="H251" s="41" t="s">
        <v>14822</v>
      </c>
      <c r="I251" s="43"/>
    </row>
    <row r="252">
      <c r="A252" s="44" t="s">
        <v>13299</v>
      </c>
      <c r="B252" s="44" t="s">
        <v>15778</v>
      </c>
      <c r="C252" s="44" t="s">
        <v>15779</v>
      </c>
      <c r="D252" s="46" t="s">
        <v>15780</v>
      </c>
      <c r="E252" s="44" t="s">
        <v>13303</v>
      </c>
      <c r="F252" s="44" t="s">
        <v>1352</v>
      </c>
      <c r="G252" s="44" t="s">
        <v>15781</v>
      </c>
      <c r="H252" s="44" t="s">
        <v>14822</v>
      </c>
      <c r="I252" s="45"/>
    </row>
    <row r="253">
      <c r="A253" s="41" t="s">
        <v>15782</v>
      </c>
      <c r="B253" s="41" t="s">
        <v>15783</v>
      </c>
      <c r="C253" s="41">
        <v>6.08665533E8</v>
      </c>
      <c r="D253" s="40"/>
      <c r="E253" s="41" t="s">
        <v>129</v>
      </c>
      <c r="F253" s="41" t="s">
        <v>129</v>
      </c>
      <c r="G253" s="40"/>
      <c r="H253" s="41" t="s">
        <v>14822</v>
      </c>
      <c r="I253" s="43"/>
    </row>
    <row r="254">
      <c r="A254" s="44" t="s">
        <v>15784</v>
      </c>
      <c r="B254" s="44" t="s">
        <v>15785</v>
      </c>
      <c r="C254" s="44">
        <v>6.44217755E8</v>
      </c>
      <c r="D254" s="45"/>
      <c r="E254" s="44" t="s">
        <v>15786</v>
      </c>
      <c r="F254" s="44" t="s">
        <v>55</v>
      </c>
      <c r="G254" s="44" t="s">
        <v>15787</v>
      </c>
      <c r="H254" s="44" t="s">
        <v>14822</v>
      </c>
      <c r="I254" s="45"/>
    </row>
    <row r="255">
      <c r="A255" s="41" t="s">
        <v>15788</v>
      </c>
      <c r="B255" s="41" t="s">
        <v>15789</v>
      </c>
      <c r="C255" s="41" t="s">
        <v>15790</v>
      </c>
      <c r="D255" s="42" t="s">
        <v>15791</v>
      </c>
      <c r="E255" s="41" t="s">
        <v>1352</v>
      </c>
      <c r="F255" s="41" t="s">
        <v>1352</v>
      </c>
      <c r="G255" s="41" t="s">
        <v>15792</v>
      </c>
      <c r="H255" s="41" t="s">
        <v>14822</v>
      </c>
      <c r="I255" s="43"/>
    </row>
    <row r="256">
      <c r="A256" s="44" t="s">
        <v>15793</v>
      </c>
      <c r="B256" s="44" t="s">
        <v>15794</v>
      </c>
      <c r="C256" s="44" t="s">
        <v>15795</v>
      </c>
      <c r="D256" s="45"/>
      <c r="E256" s="44" t="s">
        <v>55</v>
      </c>
      <c r="F256" s="44" t="s">
        <v>55</v>
      </c>
      <c r="G256" s="44" t="s">
        <v>15796</v>
      </c>
      <c r="H256" s="44" t="s">
        <v>14822</v>
      </c>
      <c r="I256" s="45"/>
    </row>
    <row r="257">
      <c r="A257" s="41" t="s">
        <v>15797</v>
      </c>
      <c r="B257" s="41" t="s">
        <v>15798</v>
      </c>
      <c r="C257" s="41">
        <v>6.96832254E8</v>
      </c>
      <c r="D257" s="42" t="s">
        <v>15799</v>
      </c>
      <c r="E257" s="41" t="s">
        <v>1014</v>
      </c>
      <c r="F257" s="41" t="s">
        <v>1014</v>
      </c>
      <c r="G257" s="41" t="s">
        <v>15800</v>
      </c>
      <c r="H257" s="41" t="s">
        <v>14822</v>
      </c>
      <c r="I257" s="43"/>
    </row>
    <row r="258">
      <c r="A258" s="44" t="s">
        <v>15801</v>
      </c>
      <c r="B258" s="44" t="s">
        <v>15802</v>
      </c>
      <c r="C258" s="44" t="s">
        <v>15803</v>
      </c>
      <c r="D258" s="45"/>
      <c r="E258" s="44" t="s">
        <v>55</v>
      </c>
      <c r="F258" s="44" t="s">
        <v>55</v>
      </c>
      <c r="G258" s="45"/>
      <c r="H258" s="44" t="s">
        <v>14822</v>
      </c>
      <c r="I258" s="45"/>
    </row>
    <row r="259">
      <c r="A259" s="41" t="s">
        <v>15804</v>
      </c>
      <c r="B259" s="41" t="s">
        <v>15805</v>
      </c>
      <c r="C259" s="41">
        <v>6.56439466E8</v>
      </c>
      <c r="D259" s="40"/>
      <c r="E259" s="41" t="s">
        <v>55</v>
      </c>
      <c r="F259" s="41" t="s">
        <v>55</v>
      </c>
      <c r="G259" s="40"/>
      <c r="H259" s="41" t="s">
        <v>14822</v>
      </c>
      <c r="I259" s="43"/>
    </row>
    <row r="260">
      <c r="A260" s="44" t="s">
        <v>15806</v>
      </c>
      <c r="B260" s="44" t="s">
        <v>15807</v>
      </c>
      <c r="C260" s="44" t="s">
        <v>15808</v>
      </c>
      <c r="D260" s="46" t="s">
        <v>15809</v>
      </c>
      <c r="E260" s="44" t="s">
        <v>55</v>
      </c>
      <c r="F260" s="44" t="s">
        <v>55</v>
      </c>
      <c r="G260" s="44" t="s">
        <v>15806</v>
      </c>
      <c r="H260" s="44" t="s">
        <v>14822</v>
      </c>
      <c r="I260" s="45"/>
    </row>
    <row r="261">
      <c r="A261" s="41" t="s">
        <v>15810</v>
      </c>
      <c r="B261" s="41" t="s">
        <v>15811</v>
      </c>
      <c r="C261" s="41" t="s">
        <v>15812</v>
      </c>
      <c r="D261" s="42" t="s">
        <v>15813</v>
      </c>
      <c r="E261" s="41" t="s">
        <v>11722</v>
      </c>
      <c r="F261" s="41" t="s">
        <v>55</v>
      </c>
      <c r="G261" s="40"/>
      <c r="H261" s="41" t="s">
        <v>14822</v>
      </c>
      <c r="I261" s="43"/>
    </row>
    <row r="262">
      <c r="A262" s="44" t="s">
        <v>15814</v>
      </c>
      <c r="B262" s="44" t="s">
        <v>15815</v>
      </c>
      <c r="C262" s="44">
        <v>6.30060033E8</v>
      </c>
      <c r="D262" s="46" t="s">
        <v>15816</v>
      </c>
      <c r="E262" s="44" t="s">
        <v>15757</v>
      </c>
      <c r="F262" s="44" t="s">
        <v>262</v>
      </c>
      <c r="G262" s="44" t="s">
        <v>15817</v>
      </c>
      <c r="H262" s="44" t="s">
        <v>14822</v>
      </c>
      <c r="I262" s="45"/>
    </row>
    <row r="263">
      <c r="A263" s="41" t="s">
        <v>15818</v>
      </c>
      <c r="B263" s="41" t="s">
        <v>15819</v>
      </c>
      <c r="C263" s="41">
        <v>6.50947394E8</v>
      </c>
      <c r="D263" s="42" t="s">
        <v>15820</v>
      </c>
      <c r="E263" s="41" t="s">
        <v>8036</v>
      </c>
      <c r="F263" s="41" t="s">
        <v>55</v>
      </c>
      <c r="G263" s="41" t="s">
        <v>15821</v>
      </c>
      <c r="H263" s="41" t="s">
        <v>14822</v>
      </c>
      <c r="I263" s="43"/>
    </row>
    <row r="264">
      <c r="A264" s="44" t="s">
        <v>15822</v>
      </c>
      <c r="B264" s="44" t="s">
        <v>15823</v>
      </c>
      <c r="C264" s="44">
        <v>6.26742939E8</v>
      </c>
      <c r="D264" s="45"/>
      <c r="E264" s="44" t="s">
        <v>2391</v>
      </c>
      <c r="F264" s="44" t="s">
        <v>2391</v>
      </c>
      <c r="G264" s="44" t="s">
        <v>15822</v>
      </c>
      <c r="H264" s="44" t="s">
        <v>14822</v>
      </c>
      <c r="I264" s="45"/>
    </row>
    <row r="265">
      <c r="A265" s="41" t="s">
        <v>15824</v>
      </c>
      <c r="B265" s="41" t="s">
        <v>15825</v>
      </c>
      <c r="C265" s="41">
        <v>6.35634279E8</v>
      </c>
      <c r="D265" s="42" t="s">
        <v>15826</v>
      </c>
      <c r="E265" s="41" t="s">
        <v>14881</v>
      </c>
      <c r="F265" s="41" t="s">
        <v>129</v>
      </c>
      <c r="G265" s="41" t="s">
        <v>15827</v>
      </c>
      <c r="H265" s="41" t="s">
        <v>14822</v>
      </c>
      <c r="I265" s="43"/>
    </row>
    <row r="266">
      <c r="A266" s="44" t="s">
        <v>15828</v>
      </c>
      <c r="B266" s="44" t="s">
        <v>15829</v>
      </c>
      <c r="C266" s="44">
        <v>6.598224E8</v>
      </c>
      <c r="D266" s="45"/>
      <c r="E266" s="44" t="s">
        <v>8066</v>
      </c>
      <c r="F266" s="44" t="s">
        <v>231</v>
      </c>
      <c r="G266" s="44" t="s">
        <v>15828</v>
      </c>
      <c r="H266" s="44" t="s">
        <v>14822</v>
      </c>
      <c r="I266" s="45"/>
    </row>
    <row r="267">
      <c r="A267" s="41" t="s">
        <v>15830</v>
      </c>
      <c r="B267" s="41" t="s">
        <v>15831</v>
      </c>
      <c r="C267" s="47">
        <v>9.16542857E8</v>
      </c>
      <c r="D267" s="42" t="s">
        <v>15832</v>
      </c>
      <c r="E267" s="41" t="s">
        <v>11279</v>
      </c>
      <c r="F267" s="41" t="s">
        <v>55</v>
      </c>
      <c r="G267" s="41" t="s">
        <v>15833</v>
      </c>
      <c r="H267" s="41" t="s">
        <v>14822</v>
      </c>
      <c r="I267" s="43"/>
    </row>
    <row r="268">
      <c r="A268" s="44" t="s">
        <v>15834</v>
      </c>
      <c r="B268" s="44" t="s">
        <v>15835</v>
      </c>
      <c r="C268" s="44">
        <v>6.29616005E8</v>
      </c>
      <c r="D268" s="46" t="s">
        <v>15836</v>
      </c>
      <c r="E268" s="44" t="s">
        <v>55</v>
      </c>
      <c r="F268" s="44" t="s">
        <v>55</v>
      </c>
      <c r="G268" s="44" t="s">
        <v>15837</v>
      </c>
      <c r="H268" s="44" t="s">
        <v>14822</v>
      </c>
      <c r="I268" s="45"/>
    </row>
    <row r="269">
      <c r="A269" s="41" t="s">
        <v>15838</v>
      </c>
      <c r="B269" s="41" t="s">
        <v>15839</v>
      </c>
      <c r="C269" s="41">
        <v>6.85830542E8</v>
      </c>
      <c r="D269" s="40"/>
      <c r="E269" s="41" t="s">
        <v>2391</v>
      </c>
      <c r="F269" s="41" t="s">
        <v>2391</v>
      </c>
      <c r="G269" s="41" t="s">
        <v>15840</v>
      </c>
      <c r="H269" s="41" t="s">
        <v>14822</v>
      </c>
      <c r="I269" s="43"/>
    </row>
    <row r="270">
      <c r="A270" s="44" t="s">
        <v>15841</v>
      </c>
      <c r="B270" s="44" t="s">
        <v>15842</v>
      </c>
      <c r="C270" s="44" t="s">
        <v>15843</v>
      </c>
      <c r="D270" s="46" t="s">
        <v>15844</v>
      </c>
      <c r="E270" s="44" t="s">
        <v>15845</v>
      </c>
      <c r="F270" s="44" t="s">
        <v>100</v>
      </c>
      <c r="G270" s="44" t="s">
        <v>15846</v>
      </c>
      <c r="H270" s="44" t="s">
        <v>14822</v>
      </c>
      <c r="I270" s="45"/>
    </row>
    <row r="271">
      <c r="A271" s="41" t="s">
        <v>15847</v>
      </c>
      <c r="B271" s="41" t="s">
        <v>15848</v>
      </c>
      <c r="C271" s="41">
        <v>6.99854239E8</v>
      </c>
      <c r="D271" s="40"/>
      <c r="E271" s="41" t="s">
        <v>1014</v>
      </c>
      <c r="F271" s="41" t="s">
        <v>1014</v>
      </c>
      <c r="G271" s="41" t="s">
        <v>15849</v>
      </c>
      <c r="H271" s="41" t="s">
        <v>14822</v>
      </c>
      <c r="I271" s="43"/>
    </row>
    <row r="272">
      <c r="A272" s="44" t="s">
        <v>15850</v>
      </c>
      <c r="B272" s="44" t="s">
        <v>15851</v>
      </c>
      <c r="C272" s="44">
        <v>9.15301661E8</v>
      </c>
      <c r="D272" s="46" t="s">
        <v>15852</v>
      </c>
      <c r="E272" s="44" t="s">
        <v>55</v>
      </c>
      <c r="F272" s="44" t="s">
        <v>55</v>
      </c>
      <c r="G272" s="45"/>
      <c r="H272" s="44" t="s">
        <v>14822</v>
      </c>
      <c r="I272" s="45"/>
    </row>
    <row r="273">
      <c r="A273" s="41" t="s">
        <v>15853</v>
      </c>
      <c r="B273" s="41" t="s">
        <v>15854</v>
      </c>
      <c r="C273" s="41" t="s">
        <v>15855</v>
      </c>
      <c r="D273" s="42" t="s">
        <v>15856</v>
      </c>
      <c r="E273" s="41" t="s">
        <v>395</v>
      </c>
      <c r="F273" s="41" t="s">
        <v>395</v>
      </c>
      <c r="G273" s="40"/>
      <c r="H273" s="41" t="s">
        <v>14822</v>
      </c>
      <c r="I273" s="43"/>
    </row>
    <row r="274">
      <c r="A274" s="44" t="s">
        <v>15857</v>
      </c>
      <c r="B274" s="44" t="s">
        <v>13344</v>
      </c>
      <c r="C274" s="44">
        <v>9.24660083E8</v>
      </c>
      <c r="D274" s="46" t="s">
        <v>15858</v>
      </c>
      <c r="E274" s="44" t="s">
        <v>13347</v>
      </c>
      <c r="F274" s="44" t="s">
        <v>262</v>
      </c>
      <c r="G274" s="45"/>
      <c r="H274" s="44" t="s">
        <v>14822</v>
      </c>
      <c r="I274" s="45"/>
    </row>
    <row r="275">
      <c r="A275" s="41" t="s">
        <v>15859</v>
      </c>
      <c r="B275" s="41" t="s">
        <v>15860</v>
      </c>
      <c r="C275" s="41">
        <v>9.64286488E8</v>
      </c>
      <c r="D275" s="42" t="s">
        <v>15861</v>
      </c>
      <c r="E275" s="41" t="s">
        <v>15862</v>
      </c>
      <c r="F275" s="41" t="s">
        <v>5048</v>
      </c>
      <c r="G275" s="41" t="s">
        <v>15863</v>
      </c>
      <c r="H275" s="41" t="s">
        <v>14822</v>
      </c>
      <c r="I275" s="43"/>
    </row>
    <row r="276">
      <c r="A276" s="44" t="s">
        <v>15864</v>
      </c>
      <c r="B276" s="44" t="s">
        <v>12288</v>
      </c>
      <c r="C276" s="44">
        <v>6.00555001E8</v>
      </c>
      <c r="D276" s="46" t="s">
        <v>15865</v>
      </c>
      <c r="E276" s="44" t="s">
        <v>55</v>
      </c>
      <c r="F276" s="44" t="s">
        <v>55</v>
      </c>
      <c r="G276" s="44" t="s">
        <v>15866</v>
      </c>
      <c r="H276" s="44" t="s">
        <v>14822</v>
      </c>
      <c r="I276" s="45"/>
    </row>
    <row r="277">
      <c r="A277" s="41" t="s">
        <v>15867</v>
      </c>
      <c r="B277" s="41" t="s">
        <v>15868</v>
      </c>
      <c r="C277" s="41">
        <v>6.33869649E8</v>
      </c>
      <c r="D277" s="42" t="s">
        <v>15869</v>
      </c>
      <c r="E277" s="41" t="s">
        <v>8738</v>
      </c>
      <c r="F277" s="41" t="s">
        <v>10629</v>
      </c>
      <c r="G277" s="41" t="s">
        <v>15870</v>
      </c>
      <c r="H277" s="41" t="s">
        <v>14822</v>
      </c>
      <c r="I277" s="43"/>
    </row>
    <row r="278">
      <c r="A278" s="44" t="s">
        <v>15871</v>
      </c>
      <c r="B278" s="44" t="s">
        <v>15872</v>
      </c>
      <c r="C278" s="45" t="str">
        <f>+34 691 690 692</f>
        <v>#ERROR!</v>
      </c>
      <c r="D278" s="45"/>
      <c r="E278" s="44" t="s">
        <v>3008</v>
      </c>
      <c r="F278" s="44" t="s">
        <v>14872</v>
      </c>
      <c r="G278" s="44" t="s">
        <v>15873</v>
      </c>
      <c r="H278" s="44" t="s">
        <v>14822</v>
      </c>
      <c r="I278" s="45"/>
    </row>
    <row r="279">
      <c r="A279" s="41" t="s">
        <v>15874</v>
      </c>
      <c r="B279" s="41" t="s">
        <v>15875</v>
      </c>
      <c r="C279" s="41">
        <v>6.78611441E8</v>
      </c>
      <c r="D279" s="42" t="s">
        <v>15876</v>
      </c>
      <c r="E279" s="41" t="s">
        <v>8975</v>
      </c>
      <c r="F279" s="41" t="s">
        <v>601</v>
      </c>
      <c r="G279" s="41" t="s">
        <v>15877</v>
      </c>
      <c r="H279" s="41" t="s">
        <v>14822</v>
      </c>
      <c r="I279" s="43"/>
    </row>
    <row r="280">
      <c r="A280" s="44" t="s">
        <v>15878</v>
      </c>
      <c r="B280" s="44" t="s">
        <v>15879</v>
      </c>
      <c r="C280" s="44">
        <v>6.51408174E8</v>
      </c>
      <c r="D280" s="45"/>
      <c r="E280" s="44" t="s">
        <v>15880</v>
      </c>
      <c r="F280" s="44" t="s">
        <v>610</v>
      </c>
      <c r="G280" s="44" t="s">
        <v>15881</v>
      </c>
      <c r="H280" s="44" t="s">
        <v>14822</v>
      </c>
      <c r="I280" s="45"/>
    </row>
    <row r="281">
      <c r="A281" s="41" t="s">
        <v>12096</v>
      </c>
      <c r="B281" s="41" t="s">
        <v>15882</v>
      </c>
      <c r="C281" s="41" t="s">
        <v>15883</v>
      </c>
      <c r="D281" s="42" t="s">
        <v>15884</v>
      </c>
      <c r="E281" s="41" t="s">
        <v>55</v>
      </c>
      <c r="F281" s="41" t="s">
        <v>55</v>
      </c>
      <c r="G281" s="41" t="s">
        <v>15885</v>
      </c>
      <c r="H281" s="41" t="s">
        <v>14822</v>
      </c>
      <c r="I281" s="43"/>
    </row>
    <row r="282">
      <c r="A282" s="44" t="s">
        <v>15886</v>
      </c>
      <c r="B282" s="44" t="s">
        <v>15887</v>
      </c>
      <c r="C282" s="44" t="s">
        <v>15888</v>
      </c>
      <c r="D282" s="46" t="s">
        <v>15889</v>
      </c>
      <c r="E282" s="44" t="s">
        <v>1352</v>
      </c>
      <c r="F282" s="44" t="s">
        <v>1352</v>
      </c>
      <c r="G282" s="45"/>
      <c r="H282" s="44" t="s">
        <v>14822</v>
      </c>
      <c r="I282" s="45"/>
    </row>
    <row r="283">
      <c r="A283" s="41" t="s">
        <v>15890</v>
      </c>
      <c r="B283" s="41" t="s">
        <v>15891</v>
      </c>
      <c r="C283" s="41" t="s">
        <v>15892</v>
      </c>
      <c r="D283" s="40"/>
      <c r="E283" s="41" t="s">
        <v>813</v>
      </c>
      <c r="F283" s="41" t="s">
        <v>813</v>
      </c>
      <c r="G283" s="41" t="s">
        <v>15893</v>
      </c>
      <c r="H283" s="41" t="s">
        <v>14822</v>
      </c>
      <c r="I283" s="43"/>
    </row>
    <row r="284">
      <c r="A284" s="44" t="s">
        <v>15894</v>
      </c>
      <c r="B284" s="44" t="s">
        <v>15895</v>
      </c>
      <c r="C284" s="44">
        <v>6.90078725E8</v>
      </c>
      <c r="D284" s="46" t="s">
        <v>15896</v>
      </c>
      <c r="E284" s="44" t="s">
        <v>3029</v>
      </c>
      <c r="F284" s="44" t="s">
        <v>15475</v>
      </c>
      <c r="G284" s="44" t="s">
        <v>15897</v>
      </c>
      <c r="H284" s="44" t="s">
        <v>14822</v>
      </c>
      <c r="I284" s="45"/>
    </row>
    <row r="285">
      <c r="A285" s="41" t="s">
        <v>15898</v>
      </c>
      <c r="B285" s="41" t="s">
        <v>4098</v>
      </c>
      <c r="C285" s="41" t="s">
        <v>15899</v>
      </c>
      <c r="D285" s="42" t="s">
        <v>15900</v>
      </c>
      <c r="E285" s="41" t="s">
        <v>55</v>
      </c>
      <c r="F285" s="41" t="s">
        <v>55</v>
      </c>
      <c r="G285" s="41" t="s">
        <v>15901</v>
      </c>
      <c r="H285" s="41" t="s">
        <v>14822</v>
      </c>
      <c r="I285" s="43"/>
    </row>
    <row r="286">
      <c r="A286" s="44" t="s">
        <v>15902</v>
      </c>
      <c r="B286" s="44" t="s">
        <v>15903</v>
      </c>
      <c r="C286" s="44" t="s">
        <v>15904</v>
      </c>
      <c r="D286" s="46" t="s">
        <v>15905</v>
      </c>
      <c r="E286" s="44" t="s">
        <v>1427</v>
      </c>
      <c r="F286" s="44" t="s">
        <v>1427</v>
      </c>
      <c r="G286" s="44" t="s">
        <v>15906</v>
      </c>
      <c r="H286" s="44" t="s">
        <v>14822</v>
      </c>
      <c r="I286" s="45"/>
    </row>
    <row r="287">
      <c r="A287" s="41" t="s">
        <v>15907</v>
      </c>
      <c r="B287" s="41" t="s">
        <v>15908</v>
      </c>
      <c r="C287" s="41">
        <v>6.46333964E8</v>
      </c>
      <c r="D287" s="42" t="s">
        <v>15909</v>
      </c>
      <c r="E287" s="41" t="s">
        <v>15910</v>
      </c>
      <c r="F287" s="41" t="s">
        <v>55</v>
      </c>
      <c r="G287" s="41" t="s">
        <v>15911</v>
      </c>
      <c r="H287" s="41" t="s">
        <v>14822</v>
      </c>
      <c r="I287" s="43"/>
    </row>
    <row r="288">
      <c r="A288" s="44" t="s">
        <v>15912</v>
      </c>
      <c r="B288" s="44" t="s">
        <v>15913</v>
      </c>
      <c r="C288" s="44">
        <v>6.65372361E8</v>
      </c>
      <c r="D288" s="46" t="s">
        <v>15914</v>
      </c>
      <c r="E288" s="44" t="s">
        <v>231</v>
      </c>
      <c r="F288" s="44" t="s">
        <v>231</v>
      </c>
      <c r="G288" s="44" t="s">
        <v>15915</v>
      </c>
      <c r="H288" s="44" t="s">
        <v>14822</v>
      </c>
      <c r="I288" s="45"/>
    </row>
    <row r="289">
      <c r="A289" s="41" t="s">
        <v>15916</v>
      </c>
      <c r="B289" s="41" t="s">
        <v>15917</v>
      </c>
      <c r="C289" s="41">
        <v>9.14295679E8</v>
      </c>
      <c r="D289" s="42" t="s">
        <v>15918</v>
      </c>
      <c r="E289" s="41" t="s">
        <v>55</v>
      </c>
      <c r="F289" s="41" t="s">
        <v>55</v>
      </c>
      <c r="G289" s="41" t="s">
        <v>15919</v>
      </c>
      <c r="H289" s="41" t="s">
        <v>14822</v>
      </c>
      <c r="I289" s="43"/>
    </row>
    <row r="290">
      <c r="A290" s="44" t="s">
        <v>15920</v>
      </c>
      <c r="B290" s="44" t="s">
        <v>15921</v>
      </c>
      <c r="C290" s="44">
        <v>6.05028627E8</v>
      </c>
      <c r="D290" s="46" t="s">
        <v>15922</v>
      </c>
      <c r="E290" s="44" t="s">
        <v>15923</v>
      </c>
      <c r="F290" s="44" t="s">
        <v>129</v>
      </c>
      <c r="G290" s="44" t="s">
        <v>15924</v>
      </c>
      <c r="H290" s="44" t="s">
        <v>14822</v>
      </c>
      <c r="I290" s="45"/>
    </row>
    <row r="291">
      <c r="A291" s="41" t="s">
        <v>15925</v>
      </c>
      <c r="B291" s="41" t="s">
        <v>15926</v>
      </c>
      <c r="C291" s="41" t="s">
        <v>15927</v>
      </c>
      <c r="D291" s="40"/>
      <c r="E291" s="41" t="s">
        <v>55</v>
      </c>
      <c r="F291" s="41" t="s">
        <v>55</v>
      </c>
      <c r="G291" s="40"/>
      <c r="H291" s="41" t="s">
        <v>14822</v>
      </c>
      <c r="I291" s="43"/>
    </row>
    <row r="292">
      <c r="A292" s="44" t="s">
        <v>573</v>
      </c>
      <c r="B292" s="44" t="s">
        <v>15928</v>
      </c>
      <c r="C292" s="45" t="str">
        <f>+34 696 37 06 26</f>
        <v>#ERROR!</v>
      </c>
      <c r="D292" s="46" t="s">
        <v>15929</v>
      </c>
      <c r="E292" s="44" t="s">
        <v>15195</v>
      </c>
      <c r="F292" s="44" t="s">
        <v>55</v>
      </c>
      <c r="G292" s="44" t="s">
        <v>15930</v>
      </c>
      <c r="H292" s="44" t="s">
        <v>14822</v>
      </c>
      <c r="I292" s="45"/>
    </row>
    <row r="293">
      <c r="A293" s="41" t="s">
        <v>15931</v>
      </c>
      <c r="B293" s="41" t="s">
        <v>15932</v>
      </c>
      <c r="C293" s="40">
        <f>+34629651875</f>
        <v>34629651875</v>
      </c>
      <c r="D293" s="42" t="s">
        <v>15929</v>
      </c>
      <c r="E293" s="41" t="s">
        <v>15195</v>
      </c>
      <c r="F293" s="41" t="s">
        <v>55</v>
      </c>
      <c r="G293" s="41" t="s">
        <v>15933</v>
      </c>
      <c r="H293" s="41" t="s">
        <v>14822</v>
      </c>
      <c r="I293" s="43"/>
    </row>
    <row r="294">
      <c r="A294" s="44" t="s">
        <v>15934</v>
      </c>
      <c r="B294" s="44" t="s">
        <v>15935</v>
      </c>
      <c r="C294" s="44">
        <v>6.63373237E8</v>
      </c>
      <c r="D294" s="45"/>
      <c r="E294" s="44" t="s">
        <v>5380</v>
      </c>
      <c r="F294" s="44" t="s">
        <v>5380</v>
      </c>
      <c r="G294" s="44" t="s">
        <v>15936</v>
      </c>
      <c r="H294" s="44" t="s">
        <v>14822</v>
      </c>
      <c r="I294" s="45"/>
    </row>
    <row r="295">
      <c r="A295" s="41" t="s">
        <v>15937</v>
      </c>
      <c r="B295" s="41" t="s">
        <v>15938</v>
      </c>
      <c r="C295" s="41">
        <v>9.44805562E8</v>
      </c>
      <c r="D295" s="42" t="s">
        <v>15939</v>
      </c>
      <c r="E295" s="41" t="s">
        <v>15940</v>
      </c>
      <c r="F295" s="41" t="s">
        <v>14975</v>
      </c>
      <c r="G295" s="40"/>
      <c r="H295" s="41" t="s">
        <v>14822</v>
      </c>
      <c r="I295" s="43"/>
    </row>
    <row r="296">
      <c r="A296" s="44" t="s">
        <v>15941</v>
      </c>
      <c r="B296" s="44" t="s">
        <v>15942</v>
      </c>
      <c r="C296" s="44" t="s">
        <v>15943</v>
      </c>
      <c r="D296" s="46" t="s">
        <v>15944</v>
      </c>
      <c r="E296" s="44" t="s">
        <v>55</v>
      </c>
      <c r="F296" s="44" t="s">
        <v>55</v>
      </c>
      <c r="G296" s="45"/>
      <c r="H296" s="44" t="s">
        <v>14822</v>
      </c>
      <c r="I296" s="45"/>
    </row>
    <row r="297">
      <c r="A297" s="41" t="s">
        <v>15945</v>
      </c>
      <c r="B297" s="41" t="s">
        <v>15946</v>
      </c>
      <c r="C297" s="41">
        <v>6.37756129E8</v>
      </c>
      <c r="D297" s="42" t="s">
        <v>15947</v>
      </c>
      <c r="E297" s="41" t="s">
        <v>6080</v>
      </c>
      <c r="F297" s="41" t="s">
        <v>14905</v>
      </c>
      <c r="G297" s="41" t="s">
        <v>15948</v>
      </c>
      <c r="H297" s="41" t="s">
        <v>14822</v>
      </c>
      <c r="I297" s="43"/>
    </row>
    <row r="298">
      <c r="A298" s="44" t="s">
        <v>15949</v>
      </c>
      <c r="B298" s="44" t="s">
        <v>15950</v>
      </c>
      <c r="C298" s="44">
        <v>9.14422779E8</v>
      </c>
      <c r="D298" s="45"/>
      <c r="E298" s="44" t="s">
        <v>55</v>
      </c>
      <c r="F298" s="44" t="s">
        <v>55</v>
      </c>
      <c r="G298" s="45"/>
      <c r="H298" s="44" t="s">
        <v>14822</v>
      </c>
      <c r="I298" s="45"/>
    </row>
    <row r="299">
      <c r="A299" s="41" t="s">
        <v>15951</v>
      </c>
      <c r="B299" s="41" t="s">
        <v>15952</v>
      </c>
      <c r="C299" s="41">
        <v>6.18318229E8</v>
      </c>
      <c r="D299" s="40"/>
      <c r="E299" s="41" t="s">
        <v>55</v>
      </c>
      <c r="F299" s="41" t="s">
        <v>55</v>
      </c>
      <c r="G299" s="41" t="s">
        <v>15953</v>
      </c>
      <c r="H299" s="41" t="s">
        <v>14822</v>
      </c>
      <c r="I299" s="43"/>
    </row>
    <row r="300">
      <c r="A300" s="44" t="s">
        <v>15954</v>
      </c>
      <c r="B300" s="44" t="s">
        <v>15955</v>
      </c>
      <c r="C300" s="44">
        <v>6.54940514E8</v>
      </c>
      <c r="D300" s="46" t="s">
        <v>15956</v>
      </c>
      <c r="E300" s="44" t="s">
        <v>55</v>
      </c>
      <c r="F300" s="44" t="s">
        <v>55</v>
      </c>
      <c r="G300" s="44" t="s">
        <v>15957</v>
      </c>
      <c r="H300" s="44" t="s">
        <v>14822</v>
      </c>
      <c r="I300" s="45"/>
    </row>
    <row r="301">
      <c r="A301" s="41" t="s">
        <v>15958</v>
      </c>
      <c r="B301" s="41" t="s">
        <v>15959</v>
      </c>
      <c r="C301" s="41">
        <v>9.776008E8</v>
      </c>
      <c r="D301" s="42" t="s">
        <v>15960</v>
      </c>
      <c r="E301" s="41" t="s">
        <v>7780</v>
      </c>
      <c r="F301" s="41" t="s">
        <v>1009</v>
      </c>
      <c r="G301" s="41" t="s">
        <v>15961</v>
      </c>
      <c r="H301" s="41" t="s">
        <v>14822</v>
      </c>
      <c r="I301" s="43"/>
    </row>
    <row r="302">
      <c r="A302" s="44" t="s">
        <v>15962</v>
      </c>
      <c r="B302" s="44" t="s">
        <v>15963</v>
      </c>
      <c r="C302" s="44">
        <v>6.24436434E8</v>
      </c>
      <c r="D302" s="46" t="s">
        <v>15964</v>
      </c>
      <c r="E302" s="44" t="s">
        <v>129</v>
      </c>
      <c r="F302" s="44" t="s">
        <v>129</v>
      </c>
      <c r="G302" s="44" t="s">
        <v>15965</v>
      </c>
      <c r="H302" s="44" t="s">
        <v>14822</v>
      </c>
      <c r="I302" s="45"/>
    </row>
    <row r="303">
      <c r="A303" s="41" t="s">
        <v>15966</v>
      </c>
      <c r="B303" s="41" t="s">
        <v>15967</v>
      </c>
      <c r="C303" s="41" t="s">
        <v>15968</v>
      </c>
      <c r="D303" s="42" t="s">
        <v>15969</v>
      </c>
      <c r="E303" s="41" t="s">
        <v>55</v>
      </c>
      <c r="F303" s="41" t="s">
        <v>55</v>
      </c>
      <c r="G303" s="41" t="s">
        <v>15970</v>
      </c>
      <c r="H303" s="41" t="s">
        <v>14822</v>
      </c>
      <c r="I303" s="43"/>
    </row>
    <row r="304">
      <c r="A304" s="44" t="s">
        <v>15971</v>
      </c>
      <c r="B304" s="44" t="s">
        <v>15972</v>
      </c>
      <c r="C304" s="44" t="s">
        <v>15973</v>
      </c>
      <c r="D304" s="46" t="s">
        <v>15974</v>
      </c>
      <c r="E304" s="44" t="s">
        <v>15975</v>
      </c>
      <c r="F304" s="44" t="s">
        <v>1427</v>
      </c>
      <c r="G304" s="45"/>
      <c r="H304" s="44" t="s">
        <v>14822</v>
      </c>
      <c r="I304" s="45"/>
    </row>
    <row r="305">
      <c r="A305" s="41" t="s">
        <v>15976</v>
      </c>
      <c r="B305" s="41" t="s">
        <v>15977</v>
      </c>
      <c r="C305" s="41">
        <v>6.60467327E8</v>
      </c>
      <c r="D305" s="42" t="s">
        <v>15978</v>
      </c>
      <c r="E305" s="41" t="s">
        <v>231</v>
      </c>
      <c r="F305" s="41" t="s">
        <v>231</v>
      </c>
      <c r="G305" s="41" t="s">
        <v>15976</v>
      </c>
      <c r="H305" s="41" t="s">
        <v>14822</v>
      </c>
      <c r="I305" s="43"/>
    </row>
    <row r="306">
      <c r="A306" s="44" t="s">
        <v>15979</v>
      </c>
      <c r="B306" s="44" t="s">
        <v>15980</v>
      </c>
      <c r="C306" s="44">
        <v>9.433148E8</v>
      </c>
      <c r="D306" s="46" t="s">
        <v>15981</v>
      </c>
      <c r="E306" s="44" t="s">
        <v>1486</v>
      </c>
      <c r="F306" s="44" t="s">
        <v>15475</v>
      </c>
      <c r="G306" s="44" t="s">
        <v>15982</v>
      </c>
      <c r="H306" s="44" t="s">
        <v>14822</v>
      </c>
      <c r="I306" s="45"/>
    </row>
    <row r="307">
      <c r="A307" s="41" t="s">
        <v>15983</v>
      </c>
      <c r="B307" s="41" t="s">
        <v>15984</v>
      </c>
      <c r="C307" s="41">
        <v>6.71758343E8</v>
      </c>
      <c r="D307" s="42" t="s">
        <v>15985</v>
      </c>
      <c r="E307" s="41" t="s">
        <v>15986</v>
      </c>
      <c r="F307" s="41" t="s">
        <v>14826</v>
      </c>
      <c r="G307" s="41" t="s">
        <v>15987</v>
      </c>
      <c r="H307" s="41" t="s">
        <v>14822</v>
      </c>
      <c r="I307" s="43"/>
    </row>
    <row r="308">
      <c r="A308" s="44" t="s">
        <v>15988</v>
      </c>
      <c r="B308" s="44" t="s">
        <v>15989</v>
      </c>
      <c r="C308" s="44" t="s">
        <v>15990</v>
      </c>
      <c r="D308" s="46" t="s">
        <v>15991</v>
      </c>
      <c r="E308" s="44" t="s">
        <v>15992</v>
      </c>
      <c r="F308" s="44" t="s">
        <v>55</v>
      </c>
      <c r="G308" s="44" t="s">
        <v>15993</v>
      </c>
      <c r="H308" s="44" t="s">
        <v>14822</v>
      </c>
      <c r="I308" s="45"/>
    </row>
    <row r="309">
      <c r="A309" s="41" t="s">
        <v>15994</v>
      </c>
      <c r="B309" s="41" t="s">
        <v>15995</v>
      </c>
      <c r="C309" s="41">
        <v>6.5570467E8</v>
      </c>
      <c r="D309" s="42" t="s">
        <v>15996</v>
      </c>
      <c r="E309" s="41" t="s">
        <v>1163</v>
      </c>
      <c r="F309" s="41" t="s">
        <v>253</v>
      </c>
      <c r="G309" s="41" t="s">
        <v>13492</v>
      </c>
      <c r="H309" s="41" t="s">
        <v>14822</v>
      </c>
      <c r="I309" s="43"/>
    </row>
    <row r="310">
      <c r="A310" s="44" t="s">
        <v>15997</v>
      </c>
      <c r="B310" s="44" t="s">
        <v>15998</v>
      </c>
      <c r="C310" s="44">
        <v>6.07929582E8</v>
      </c>
      <c r="D310" s="46" t="s">
        <v>15999</v>
      </c>
      <c r="E310" s="44" t="s">
        <v>16000</v>
      </c>
      <c r="F310" s="44" t="s">
        <v>253</v>
      </c>
      <c r="G310" s="44" t="s">
        <v>16001</v>
      </c>
      <c r="H310" s="44" t="s">
        <v>14822</v>
      </c>
      <c r="I310" s="45"/>
    </row>
    <row r="311">
      <c r="A311" s="41" t="s">
        <v>16002</v>
      </c>
      <c r="B311" s="41" t="s">
        <v>16003</v>
      </c>
      <c r="C311" s="41">
        <v>7.22889121E8</v>
      </c>
      <c r="D311" s="42" t="s">
        <v>16004</v>
      </c>
      <c r="E311" s="41" t="s">
        <v>12081</v>
      </c>
      <c r="F311" s="41" t="s">
        <v>55</v>
      </c>
      <c r="G311" s="41" t="s">
        <v>16005</v>
      </c>
      <c r="H311" s="41" t="s">
        <v>14822</v>
      </c>
      <c r="I311" s="43"/>
    </row>
    <row r="312">
      <c r="A312" s="44" t="s">
        <v>16006</v>
      </c>
      <c r="B312" s="44" t="s">
        <v>16007</v>
      </c>
      <c r="C312" s="45" t="str">
        <f>+34 650179919</f>
        <v>#ERROR!</v>
      </c>
      <c r="D312" s="46" t="s">
        <v>16008</v>
      </c>
      <c r="E312" s="44" t="s">
        <v>129</v>
      </c>
      <c r="F312" s="44" t="s">
        <v>129</v>
      </c>
      <c r="G312" s="44" t="s">
        <v>16009</v>
      </c>
      <c r="H312" s="44" t="s">
        <v>14822</v>
      </c>
      <c r="I312" s="45"/>
    </row>
    <row r="313">
      <c r="A313" s="41" t="s">
        <v>16010</v>
      </c>
      <c r="B313" s="41" t="s">
        <v>16011</v>
      </c>
      <c r="C313" s="41" t="s">
        <v>16012</v>
      </c>
      <c r="D313" s="42" t="s">
        <v>16013</v>
      </c>
      <c r="E313" s="41" t="s">
        <v>16014</v>
      </c>
      <c r="F313" s="41" t="s">
        <v>2391</v>
      </c>
      <c r="G313" s="41" t="s">
        <v>16015</v>
      </c>
      <c r="H313" s="41" t="s">
        <v>14822</v>
      </c>
      <c r="I313" s="43"/>
    </row>
    <row r="314">
      <c r="A314" s="44" t="s">
        <v>16016</v>
      </c>
      <c r="B314" s="44" t="s">
        <v>16017</v>
      </c>
      <c r="C314" s="44" t="s">
        <v>16018</v>
      </c>
      <c r="D314" s="46" t="s">
        <v>16019</v>
      </c>
      <c r="E314" s="44" t="s">
        <v>55</v>
      </c>
      <c r="F314" s="44" t="s">
        <v>55</v>
      </c>
      <c r="G314" s="45"/>
      <c r="H314" s="44" t="s">
        <v>14822</v>
      </c>
      <c r="I314" s="45"/>
    </row>
    <row r="315">
      <c r="A315" s="41" t="s">
        <v>16020</v>
      </c>
      <c r="B315" s="41" t="s">
        <v>16021</v>
      </c>
      <c r="C315" s="41">
        <v>6.19189284E8</v>
      </c>
      <c r="D315" s="42" t="s">
        <v>16022</v>
      </c>
      <c r="E315" s="41" t="s">
        <v>16023</v>
      </c>
      <c r="F315" s="41" t="s">
        <v>55</v>
      </c>
      <c r="G315" s="41" t="s">
        <v>16024</v>
      </c>
      <c r="H315" s="41" t="s">
        <v>14822</v>
      </c>
      <c r="I315" s="43"/>
    </row>
    <row r="316">
      <c r="A316" s="44" t="s">
        <v>16025</v>
      </c>
      <c r="B316" s="44" t="s">
        <v>16026</v>
      </c>
      <c r="C316" s="44">
        <v>6.86727477E8</v>
      </c>
      <c r="D316" s="46" t="s">
        <v>16027</v>
      </c>
      <c r="E316" s="44" t="s">
        <v>16028</v>
      </c>
      <c r="F316" s="44" t="s">
        <v>580</v>
      </c>
      <c r="G316" s="44" t="s">
        <v>16029</v>
      </c>
      <c r="H316" s="44" t="s">
        <v>14822</v>
      </c>
      <c r="I316" s="45"/>
    </row>
    <row r="317">
      <c r="A317" s="41" t="s">
        <v>16030</v>
      </c>
      <c r="B317" s="41" t="s">
        <v>16031</v>
      </c>
      <c r="C317" s="41">
        <v>6.17417272E8</v>
      </c>
      <c r="D317" s="42" t="s">
        <v>16032</v>
      </c>
      <c r="E317" s="41" t="s">
        <v>16033</v>
      </c>
      <c r="F317" s="41" t="s">
        <v>1014</v>
      </c>
      <c r="G317" s="41" t="s">
        <v>16034</v>
      </c>
      <c r="H317" s="41" t="s">
        <v>14822</v>
      </c>
      <c r="I317" s="43"/>
    </row>
    <row r="318">
      <c r="A318" s="44" t="s">
        <v>16035</v>
      </c>
      <c r="B318" s="44" t="s">
        <v>16036</v>
      </c>
      <c r="C318" s="44">
        <v>6.70907888E8</v>
      </c>
      <c r="D318" s="46" t="s">
        <v>16037</v>
      </c>
      <c r="E318" s="44" t="s">
        <v>16038</v>
      </c>
      <c r="F318" s="44" t="s">
        <v>55</v>
      </c>
      <c r="G318" s="44" t="s">
        <v>16039</v>
      </c>
      <c r="H318" s="44" t="s">
        <v>14822</v>
      </c>
      <c r="I318" s="45"/>
    </row>
    <row r="319">
      <c r="A319" s="41" t="s">
        <v>16040</v>
      </c>
      <c r="B319" s="41" t="s">
        <v>16041</v>
      </c>
      <c r="C319" s="41">
        <v>6.51329877E8</v>
      </c>
      <c r="D319" s="42" t="s">
        <v>16042</v>
      </c>
      <c r="E319" s="41" t="s">
        <v>16043</v>
      </c>
      <c r="F319" s="41" t="s">
        <v>129</v>
      </c>
      <c r="G319" s="41" t="s">
        <v>16044</v>
      </c>
      <c r="H319" s="41" t="s">
        <v>14822</v>
      </c>
      <c r="I319" s="43"/>
    </row>
    <row r="320">
      <c r="A320" s="44" t="s">
        <v>16045</v>
      </c>
      <c r="B320" s="44" t="s">
        <v>16046</v>
      </c>
      <c r="C320" s="44" t="s">
        <v>16047</v>
      </c>
      <c r="D320" s="46" t="s">
        <v>16048</v>
      </c>
      <c r="E320" s="44" t="s">
        <v>8107</v>
      </c>
      <c r="F320" s="44" t="s">
        <v>129</v>
      </c>
      <c r="G320" s="44" t="s">
        <v>16049</v>
      </c>
      <c r="H320" s="44" t="s">
        <v>14822</v>
      </c>
      <c r="I320" s="45"/>
    </row>
    <row r="321">
      <c r="A321" s="41" t="s">
        <v>16050</v>
      </c>
      <c r="B321" s="41" t="s">
        <v>16051</v>
      </c>
      <c r="C321" s="41">
        <v>6.28664369E8</v>
      </c>
      <c r="D321" s="42" t="s">
        <v>16052</v>
      </c>
      <c r="E321" s="41" t="s">
        <v>926</v>
      </c>
      <c r="F321" s="41" t="s">
        <v>14905</v>
      </c>
      <c r="G321" s="41" t="s">
        <v>16053</v>
      </c>
      <c r="H321" s="41" t="s">
        <v>14822</v>
      </c>
      <c r="I321" s="43"/>
    </row>
    <row r="322">
      <c r="A322" s="44" t="s">
        <v>16054</v>
      </c>
      <c r="B322" s="44" t="s">
        <v>16055</v>
      </c>
      <c r="C322" s="44">
        <v>9.13615521E8</v>
      </c>
      <c r="D322" s="46" t="s">
        <v>16056</v>
      </c>
      <c r="E322" s="44" t="s">
        <v>55</v>
      </c>
      <c r="F322" s="44" t="s">
        <v>55</v>
      </c>
      <c r="G322" s="45"/>
      <c r="H322" s="44" t="s">
        <v>14822</v>
      </c>
      <c r="I322" s="45"/>
    </row>
    <row r="323">
      <c r="A323" s="41" t="s">
        <v>16057</v>
      </c>
      <c r="B323" s="41" t="s">
        <v>16058</v>
      </c>
      <c r="C323" s="41">
        <v>9.42355101E8</v>
      </c>
      <c r="D323" s="42" t="s">
        <v>16059</v>
      </c>
      <c r="E323" s="41" t="s">
        <v>16060</v>
      </c>
      <c r="F323" s="41" t="s">
        <v>580</v>
      </c>
      <c r="G323" s="41" t="s">
        <v>16061</v>
      </c>
      <c r="H323" s="41" t="s">
        <v>14822</v>
      </c>
      <c r="I323" s="43"/>
    </row>
    <row r="324">
      <c r="A324" s="44" t="s">
        <v>16062</v>
      </c>
      <c r="B324" s="44" t="s">
        <v>16063</v>
      </c>
      <c r="C324" s="44" t="s">
        <v>16064</v>
      </c>
      <c r="D324" s="45"/>
      <c r="E324" s="44" t="s">
        <v>16065</v>
      </c>
      <c r="F324" s="44" t="s">
        <v>1961</v>
      </c>
      <c r="G324" s="44" t="s">
        <v>16066</v>
      </c>
      <c r="H324" s="44" t="s">
        <v>14822</v>
      </c>
      <c r="I324" s="45"/>
    </row>
    <row r="325">
      <c r="A325" s="41" t="s">
        <v>16067</v>
      </c>
      <c r="B325" s="41" t="s">
        <v>16068</v>
      </c>
      <c r="C325" s="41">
        <v>8.71570256E8</v>
      </c>
      <c r="D325" s="42" t="s">
        <v>16069</v>
      </c>
      <c r="E325" s="41" t="s">
        <v>7295</v>
      </c>
      <c r="F325" s="41" t="s">
        <v>7083</v>
      </c>
      <c r="G325" s="41" t="s">
        <v>16070</v>
      </c>
      <c r="H325" s="41" t="s">
        <v>14822</v>
      </c>
      <c r="I325" s="43"/>
    </row>
    <row r="326">
      <c r="A326" s="44" t="s">
        <v>16071</v>
      </c>
      <c r="B326" s="44" t="s">
        <v>16072</v>
      </c>
      <c r="C326" s="44">
        <v>6.06436072E8</v>
      </c>
      <c r="D326" s="46" t="s">
        <v>16073</v>
      </c>
      <c r="E326" s="44" t="s">
        <v>16038</v>
      </c>
      <c r="F326" s="44" t="s">
        <v>55</v>
      </c>
      <c r="G326" s="44" t="s">
        <v>16074</v>
      </c>
      <c r="H326" s="44" t="s">
        <v>14822</v>
      </c>
      <c r="I326" s="45"/>
    </row>
    <row r="327">
      <c r="A327" s="41" t="s">
        <v>16075</v>
      </c>
      <c r="B327" s="41" t="s">
        <v>16076</v>
      </c>
      <c r="C327" s="41">
        <v>6.01088532E8</v>
      </c>
      <c r="D327" s="42" t="s">
        <v>16077</v>
      </c>
      <c r="E327" s="41" t="s">
        <v>8107</v>
      </c>
      <c r="F327" s="41" t="s">
        <v>129</v>
      </c>
      <c r="G327" s="41" t="s">
        <v>16078</v>
      </c>
      <c r="H327" s="41" t="s">
        <v>14822</v>
      </c>
      <c r="I327" s="43"/>
    </row>
    <row r="328">
      <c r="A328" s="44" t="s">
        <v>16079</v>
      </c>
      <c r="B328" s="44" t="s">
        <v>16080</v>
      </c>
      <c r="C328" s="44">
        <v>9.85172393E8</v>
      </c>
      <c r="D328" s="46" t="s">
        <v>16081</v>
      </c>
      <c r="E328" s="44" t="s">
        <v>723</v>
      </c>
      <c r="F328" s="44" t="s">
        <v>406</v>
      </c>
      <c r="G328" s="44" t="s">
        <v>16082</v>
      </c>
      <c r="H328" s="44" t="s">
        <v>14822</v>
      </c>
      <c r="I328" s="45"/>
    </row>
    <row r="329">
      <c r="A329" s="41" t="s">
        <v>16083</v>
      </c>
      <c r="B329" s="41" t="s">
        <v>16084</v>
      </c>
      <c r="C329" s="41">
        <v>6.25559725E8</v>
      </c>
      <c r="D329" s="42" t="s">
        <v>16085</v>
      </c>
      <c r="E329" s="41" t="s">
        <v>16086</v>
      </c>
      <c r="F329" s="41" t="s">
        <v>1009</v>
      </c>
      <c r="G329" s="41" t="s">
        <v>16087</v>
      </c>
      <c r="H329" s="41" t="s">
        <v>14822</v>
      </c>
      <c r="I329" s="43"/>
    </row>
    <row r="330">
      <c r="A330" s="44" t="s">
        <v>13701</v>
      </c>
      <c r="B330" s="44" t="s">
        <v>16088</v>
      </c>
      <c r="C330" s="44">
        <v>6.95744387E8</v>
      </c>
      <c r="D330" s="46" t="s">
        <v>16089</v>
      </c>
      <c r="E330" s="44" t="s">
        <v>16090</v>
      </c>
      <c r="F330" s="44" t="s">
        <v>55</v>
      </c>
      <c r="G330" s="44" t="s">
        <v>16091</v>
      </c>
      <c r="H330" s="44" t="s">
        <v>14822</v>
      </c>
      <c r="I330" s="45"/>
    </row>
    <row r="331">
      <c r="A331" s="41" t="s">
        <v>16092</v>
      </c>
      <c r="B331" s="41" t="s">
        <v>13110</v>
      </c>
      <c r="C331" s="40">
        <f>+34678460559</f>
        <v>34678460559</v>
      </c>
      <c r="D331" s="42" t="s">
        <v>16093</v>
      </c>
      <c r="E331" s="41" t="s">
        <v>1541</v>
      </c>
      <c r="F331" s="41" t="s">
        <v>16094</v>
      </c>
      <c r="G331" s="41" t="s">
        <v>16095</v>
      </c>
      <c r="H331" s="41" t="s">
        <v>14822</v>
      </c>
      <c r="I331" s="43"/>
    </row>
    <row r="332">
      <c r="A332" s="44" t="s">
        <v>16096</v>
      </c>
      <c r="B332" s="44" t="s">
        <v>16097</v>
      </c>
      <c r="C332" s="44" t="s">
        <v>16098</v>
      </c>
      <c r="D332" s="46" t="s">
        <v>16099</v>
      </c>
      <c r="E332" s="44" t="s">
        <v>55</v>
      </c>
      <c r="F332" s="44" t="s">
        <v>55</v>
      </c>
      <c r="G332" s="44" t="s">
        <v>16100</v>
      </c>
      <c r="H332" s="44" t="s">
        <v>14822</v>
      </c>
      <c r="I332" s="45"/>
    </row>
    <row r="333">
      <c r="A333" s="41" t="s">
        <v>16101</v>
      </c>
      <c r="B333" s="41" t="s">
        <v>16102</v>
      </c>
      <c r="C333" s="41" t="s">
        <v>16103</v>
      </c>
      <c r="D333" s="40"/>
      <c r="E333" s="41" t="s">
        <v>129</v>
      </c>
      <c r="F333" s="41" t="s">
        <v>129</v>
      </c>
      <c r="G333" s="41" t="s">
        <v>16104</v>
      </c>
      <c r="H333" s="41" t="s">
        <v>14822</v>
      </c>
      <c r="I333" s="43"/>
    </row>
    <row r="334">
      <c r="A334" s="44" t="s">
        <v>16105</v>
      </c>
      <c r="B334" s="44" t="s">
        <v>16106</v>
      </c>
      <c r="C334" s="44">
        <v>6.15123633E8</v>
      </c>
      <c r="D334" s="46" t="s">
        <v>16107</v>
      </c>
      <c r="E334" s="44" t="s">
        <v>55</v>
      </c>
      <c r="F334" s="44" t="s">
        <v>55</v>
      </c>
      <c r="G334" s="44" t="s">
        <v>16108</v>
      </c>
      <c r="H334" s="44" t="s">
        <v>14822</v>
      </c>
      <c r="I334" s="45"/>
    </row>
    <row r="335">
      <c r="A335" s="41" t="s">
        <v>16109</v>
      </c>
      <c r="B335" s="41" t="s">
        <v>16110</v>
      </c>
      <c r="C335" s="41">
        <v>6.44947344E8</v>
      </c>
      <c r="D335" s="42" t="s">
        <v>16111</v>
      </c>
      <c r="E335" s="41" t="s">
        <v>231</v>
      </c>
      <c r="F335" s="41" t="s">
        <v>231</v>
      </c>
      <c r="G335" s="41" t="s">
        <v>16112</v>
      </c>
      <c r="H335" s="41" t="s">
        <v>14822</v>
      </c>
      <c r="I335" s="43"/>
    </row>
    <row r="336">
      <c r="A336" s="44" t="s">
        <v>16113</v>
      </c>
      <c r="B336" s="44" t="s">
        <v>14173</v>
      </c>
      <c r="C336" s="44">
        <v>9.54374679E8</v>
      </c>
      <c r="D336" s="46" t="s">
        <v>16114</v>
      </c>
      <c r="E336" s="44" t="s">
        <v>813</v>
      </c>
      <c r="F336" s="44" t="s">
        <v>813</v>
      </c>
      <c r="G336" s="44" t="s">
        <v>16115</v>
      </c>
      <c r="H336" s="44" t="s">
        <v>14822</v>
      </c>
      <c r="I336" s="45"/>
    </row>
    <row r="337">
      <c r="A337" s="41" t="s">
        <v>16116</v>
      </c>
      <c r="B337" s="41" t="s">
        <v>16117</v>
      </c>
      <c r="C337" s="41" t="s">
        <v>16118</v>
      </c>
      <c r="D337" s="42" t="s">
        <v>16119</v>
      </c>
      <c r="E337" s="41" t="s">
        <v>2162</v>
      </c>
      <c r="F337" s="41" t="s">
        <v>2162</v>
      </c>
      <c r="G337" s="41" t="s">
        <v>16120</v>
      </c>
      <c r="H337" s="41" t="s">
        <v>14822</v>
      </c>
      <c r="I337" s="43"/>
    </row>
    <row r="338">
      <c r="A338" s="44" t="s">
        <v>16121</v>
      </c>
      <c r="B338" s="44" t="s">
        <v>16122</v>
      </c>
      <c r="C338" s="44">
        <v>6.19400223E8</v>
      </c>
      <c r="D338" s="46" t="s">
        <v>16123</v>
      </c>
      <c r="E338" s="44" t="s">
        <v>16124</v>
      </c>
      <c r="F338" s="44" t="s">
        <v>15165</v>
      </c>
      <c r="G338" s="44" t="s">
        <v>16125</v>
      </c>
      <c r="H338" s="44" t="s">
        <v>14822</v>
      </c>
      <c r="I338" s="45"/>
    </row>
    <row r="339">
      <c r="A339" s="41" t="s">
        <v>16126</v>
      </c>
      <c r="B339" s="41" t="s">
        <v>16127</v>
      </c>
      <c r="C339" s="41" t="s">
        <v>16128</v>
      </c>
      <c r="D339" s="42" t="s">
        <v>16129</v>
      </c>
      <c r="E339" s="41" t="s">
        <v>1961</v>
      </c>
      <c r="F339" s="41" t="s">
        <v>1961</v>
      </c>
      <c r="G339" s="41" t="s">
        <v>16130</v>
      </c>
      <c r="H339" s="41" t="s">
        <v>14822</v>
      </c>
      <c r="I339" s="43"/>
    </row>
    <row r="340">
      <c r="A340" s="44" t="s">
        <v>16131</v>
      </c>
      <c r="B340" s="44" t="s">
        <v>16132</v>
      </c>
      <c r="C340" s="44">
        <v>6.2904175E8</v>
      </c>
      <c r="D340" s="46" t="s">
        <v>16133</v>
      </c>
      <c r="E340" s="44" t="s">
        <v>16134</v>
      </c>
      <c r="F340" s="44" t="s">
        <v>14905</v>
      </c>
      <c r="G340" s="44" t="s">
        <v>16135</v>
      </c>
      <c r="H340" s="44" t="s">
        <v>14822</v>
      </c>
      <c r="I340" s="45"/>
    </row>
    <row r="341">
      <c r="A341" s="41" t="s">
        <v>16136</v>
      </c>
      <c r="B341" s="41" t="s">
        <v>16137</v>
      </c>
      <c r="C341" s="41">
        <v>6.90707893E8</v>
      </c>
      <c r="D341" s="42" t="s">
        <v>16138</v>
      </c>
      <c r="E341" s="41" t="s">
        <v>16139</v>
      </c>
      <c r="F341" s="41" t="s">
        <v>129</v>
      </c>
      <c r="G341" s="41" t="s">
        <v>16140</v>
      </c>
      <c r="H341" s="41" t="s">
        <v>14822</v>
      </c>
      <c r="I341" s="43"/>
    </row>
    <row r="342">
      <c r="A342" s="44" t="s">
        <v>16141</v>
      </c>
      <c r="B342" s="44" t="s">
        <v>16142</v>
      </c>
      <c r="C342" s="44">
        <v>6.51911972E8</v>
      </c>
      <c r="D342" s="46" t="s">
        <v>16143</v>
      </c>
      <c r="E342" s="44" t="s">
        <v>129</v>
      </c>
      <c r="F342" s="44" t="s">
        <v>129</v>
      </c>
      <c r="G342" s="44" t="s">
        <v>16144</v>
      </c>
      <c r="H342" s="44" t="s">
        <v>14822</v>
      </c>
      <c r="I342" s="45"/>
    </row>
    <row r="343">
      <c r="A343" s="41" t="s">
        <v>16145</v>
      </c>
      <c r="B343" s="41" t="s">
        <v>16146</v>
      </c>
      <c r="C343" s="41">
        <v>9.2881464E8</v>
      </c>
      <c r="D343" s="42" t="s">
        <v>16147</v>
      </c>
      <c r="E343" s="41" t="s">
        <v>16148</v>
      </c>
      <c r="F343" s="41" t="s">
        <v>10629</v>
      </c>
      <c r="G343" s="41" t="s">
        <v>16149</v>
      </c>
      <c r="H343" s="41" t="s">
        <v>14822</v>
      </c>
      <c r="I343" s="43"/>
    </row>
    <row r="344">
      <c r="A344" s="44" t="s">
        <v>16150</v>
      </c>
      <c r="B344" s="44" t="s">
        <v>16151</v>
      </c>
      <c r="C344" s="44" t="s">
        <v>16152</v>
      </c>
      <c r="D344" s="46" t="s">
        <v>16153</v>
      </c>
      <c r="E344" s="44" t="s">
        <v>15601</v>
      </c>
      <c r="F344" s="44" t="s">
        <v>231</v>
      </c>
      <c r="G344" s="44" t="s">
        <v>16154</v>
      </c>
      <c r="H344" s="44" t="s">
        <v>14822</v>
      </c>
      <c r="I344" s="45"/>
    </row>
    <row r="345">
      <c r="A345" s="41" t="s">
        <v>16155</v>
      </c>
      <c r="B345" s="41" t="s">
        <v>16156</v>
      </c>
      <c r="C345" s="41">
        <v>6.7809188E8</v>
      </c>
      <c r="D345" s="42" t="s">
        <v>16157</v>
      </c>
      <c r="E345" s="41" t="s">
        <v>698</v>
      </c>
      <c r="F345" s="41" t="s">
        <v>14975</v>
      </c>
      <c r="G345" s="41" t="s">
        <v>16158</v>
      </c>
      <c r="H345" s="41" t="s">
        <v>14822</v>
      </c>
      <c r="I345" s="43"/>
    </row>
    <row r="346">
      <c r="A346" s="44" t="s">
        <v>16159</v>
      </c>
      <c r="B346" s="44" t="s">
        <v>16160</v>
      </c>
      <c r="C346" s="44">
        <v>6.67021612E8</v>
      </c>
      <c r="D346" s="46" t="s">
        <v>16161</v>
      </c>
      <c r="E346" s="44" t="s">
        <v>2660</v>
      </c>
      <c r="F346" s="44" t="s">
        <v>2660</v>
      </c>
      <c r="G346" s="44" t="s">
        <v>16162</v>
      </c>
      <c r="H346" s="44" t="s">
        <v>14822</v>
      </c>
      <c r="I346" s="45"/>
    </row>
    <row r="347">
      <c r="A347" s="41" t="s">
        <v>16163</v>
      </c>
      <c r="B347" s="41" t="s">
        <v>16164</v>
      </c>
      <c r="C347" s="41" t="s">
        <v>16165</v>
      </c>
      <c r="D347" s="42" t="s">
        <v>16166</v>
      </c>
      <c r="E347" s="41" t="s">
        <v>8431</v>
      </c>
      <c r="F347" s="41" t="s">
        <v>813</v>
      </c>
      <c r="G347" s="41" t="s">
        <v>16167</v>
      </c>
      <c r="H347" s="41" t="s">
        <v>14822</v>
      </c>
      <c r="I347" s="43"/>
    </row>
    <row r="348">
      <c r="A348" s="44" t="s">
        <v>16168</v>
      </c>
      <c r="B348" s="44" t="s">
        <v>16169</v>
      </c>
      <c r="C348" s="44">
        <v>6.46612448E8</v>
      </c>
      <c r="D348" s="46" t="s">
        <v>16170</v>
      </c>
      <c r="E348" s="44" t="s">
        <v>55</v>
      </c>
      <c r="F348" s="44" t="s">
        <v>55</v>
      </c>
      <c r="G348" s="44" t="s">
        <v>16171</v>
      </c>
      <c r="H348" s="44" t="s">
        <v>14822</v>
      </c>
      <c r="I348" s="45"/>
    </row>
    <row r="349">
      <c r="A349" s="41" t="s">
        <v>16172</v>
      </c>
      <c r="B349" s="41" t="s">
        <v>16173</v>
      </c>
      <c r="C349" s="41">
        <v>6.9554038E8</v>
      </c>
      <c r="D349" s="42" t="s">
        <v>16174</v>
      </c>
      <c r="E349" s="41" t="s">
        <v>55</v>
      </c>
      <c r="F349" s="41" t="s">
        <v>55</v>
      </c>
      <c r="G349" s="41" t="s">
        <v>16175</v>
      </c>
      <c r="H349" s="41" t="s">
        <v>14822</v>
      </c>
      <c r="I349" s="43"/>
    </row>
    <row r="350">
      <c r="A350" s="44" t="s">
        <v>16176</v>
      </c>
      <c r="B350" s="44" t="s">
        <v>16177</v>
      </c>
      <c r="C350" s="44" t="s">
        <v>16178</v>
      </c>
      <c r="D350" s="46" t="s">
        <v>16179</v>
      </c>
      <c r="E350" s="44" t="s">
        <v>698</v>
      </c>
      <c r="F350" s="44" t="s">
        <v>14975</v>
      </c>
      <c r="G350" s="44" t="s">
        <v>16180</v>
      </c>
      <c r="H350" s="44" t="s">
        <v>14822</v>
      </c>
      <c r="I350" s="45"/>
    </row>
    <row r="351">
      <c r="A351" s="41" t="s">
        <v>16181</v>
      </c>
      <c r="B351" s="41" t="s">
        <v>16182</v>
      </c>
      <c r="C351" s="41" t="s">
        <v>16183</v>
      </c>
      <c r="D351" s="42" t="s">
        <v>16184</v>
      </c>
      <c r="E351" s="41" t="s">
        <v>16185</v>
      </c>
      <c r="F351" s="41" t="s">
        <v>813</v>
      </c>
      <c r="G351" s="40"/>
      <c r="H351" s="41" t="s">
        <v>14822</v>
      </c>
      <c r="I351" s="43"/>
    </row>
    <row r="352">
      <c r="A352" s="44" t="s">
        <v>16186</v>
      </c>
      <c r="B352" s="44" t="s">
        <v>16187</v>
      </c>
      <c r="C352" s="44" t="s">
        <v>16188</v>
      </c>
      <c r="D352" s="45"/>
      <c r="E352" s="44" t="s">
        <v>813</v>
      </c>
      <c r="F352" s="44" t="s">
        <v>813</v>
      </c>
      <c r="G352" s="44" t="s">
        <v>16189</v>
      </c>
      <c r="H352" s="44" t="s">
        <v>14822</v>
      </c>
      <c r="I352" s="45"/>
    </row>
    <row r="353">
      <c r="A353" s="41" t="s">
        <v>16190</v>
      </c>
      <c r="B353" s="41" t="s">
        <v>16191</v>
      </c>
      <c r="C353" s="41">
        <v>9.31125361E8</v>
      </c>
      <c r="D353" s="42" t="s">
        <v>16192</v>
      </c>
      <c r="E353" s="41" t="s">
        <v>16193</v>
      </c>
      <c r="F353" s="41" t="s">
        <v>231</v>
      </c>
      <c r="G353" s="40"/>
      <c r="H353" s="41" t="s">
        <v>14822</v>
      </c>
      <c r="I353" s="43"/>
    </row>
    <row r="354">
      <c r="A354" s="44" t="s">
        <v>16194</v>
      </c>
      <c r="B354" s="44" t="s">
        <v>16195</v>
      </c>
      <c r="C354" s="44">
        <v>6.30133482E8</v>
      </c>
      <c r="D354" s="46" t="s">
        <v>16196</v>
      </c>
      <c r="E354" s="44" t="s">
        <v>16197</v>
      </c>
      <c r="F354" s="44" t="s">
        <v>7083</v>
      </c>
      <c r="G354" s="44" t="s">
        <v>8072</v>
      </c>
      <c r="H354" s="44" t="s">
        <v>14822</v>
      </c>
      <c r="I354" s="45"/>
    </row>
    <row r="355">
      <c r="A355" s="41" t="s">
        <v>16198</v>
      </c>
      <c r="B355" s="41" t="s">
        <v>16199</v>
      </c>
      <c r="C355" s="41" t="s">
        <v>16200</v>
      </c>
      <c r="D355" s="42" t="s">
        <v>16201</v>
      </c>
      <c r="E355" s="41" t="s">
        <v>16202</v>
      </c>
      <c r="F355" s="41" t="s">
        <v>55</v>
      </c>
      <c r="G355" s="40"/>
      <c r="H355" s="41" t="s">
        <v>14822</v>
      </c>
      <c r="I355" s="43"/>
    </row>
    <row r="356">
      <c r="A356" s="44" t="s">
        <v>16203</v>
      </c>
      <c r="B356" s="44" t="s">
        <v>16204</v>
      </c>
      <c r="C356" s="44">
        <v>6.15731677E8</v>
      </c>
      <c r="D356" s="46" t="s">
        <v>16205</v>
      </c>
      <c r="E356" s="44" t="s">
        <v>8066</v>
      </c>
      <c r="F356" s="44" t="s">
        <v>231</v>
      </c>
      <c r="G356" s="44" t="s">
        <v>16206</v>
      </c>
      <c r="H356" s="44" t="s">
        <v>14822</v>
      </c>
      <c r="I356" s="45"/>
    </row>
    <row r="357">
      <c r="A357" s="41" t="s">
        <v>16207</v>
      </c>
      <c r="B357" s="41" t="s">
        <v>16208</v>
      </c>
      <c r="C357" s="41">
        <v>6.29130112E8</v>
      </c>
      <c r="D357" s="42" t="s">
        <v>16209</v>
      </c>
      <c r="E357" s="41" t="s">
        <v>16210</v>
      </c>
      <c r="F357" s="41" t="s">
        <v>55</v>
      </c>
      <c r="G357" s="41" t="s">
        <v>16211</v>
      </c>
      <c r="H357" s="41" t="s">
        <v>14822</v>
      </c>
      <c r="I357" s="43"/>
    </row>
    <row r="358">
      <c r="A358" s="44" t="s">
        <v>16212</v>
      </c>
      <c r="B358" s="44" t="s">
        <v>16213</v>
      </c>
      <c r="C358" s="44">
        <v>6.95796534E8</v>
      </c>
      <c r="D358" s="45"/>
      <c r="E358" s="44" t="s">
        <v>55</v>
      </c>
      <c r="F358" s="44" t="s">
        <v>55</v>
      </c>
      <c r="G358" s="44" t="s">
        <v>16214</v>
      </c>
      <c r="H358" s="44" t="s">
        <v>14822</v>
      </c>
      <c r="I358" s="45"/>
    </row>
    <row r="359">
      <c r="A359" s="41" t="s">
        <v>16215</v>
      </c>
      <c r="B359" s="41" t="s">
        <v>16216</v>
      </c>
      <c r="C359" s="41" t="s">
        <v>16217</v>
      </c>
      <c r="D359" s="42" t="s">
        <v>16218</v>
      </c>
      <c r="E359" s="41" t="s">
        <v>231</v>
      </c>
      <c r="F359" s="41" t="s">
        <v>231</v>
      </c>
      <c r="G359" s="41" t="s">
        <v>16219</v>
      </c>
      <c r="H359" s="41" t="s">
        <v>14822</v>
      </c>
      <c r="I359" s="43"/>
    </row>
    <row r="360">
      <c r="A360" s="44" t="s">
        <v>16220</v>
      </c>
      <c r="B360" s="44" t="s">
        <v>16221</v>
      </c>
      <c r="C360" s="44" t="s">
        <v>16222</v>
      </c>
      <c r="D360" s="45"/>
      <c r="E360" s="44" t="s">
        <v>8036</v>
      </c>
      <c r="F360" s="44" t="s">
        <v>55</v>
      </c>
      <c r="G360" s="44" t="s">
        <v>16223</v>
      </c>
      <c r="H360" s="44" t="s">
        <v>14822</v>
      </c>
      <c r="I360" s="45"/>
    </row>
    <row r="361">
      <c r="A361" s="41" t="s">
        <v>16224</v>
      </c>
      <c r="B361" s="41" t="s">
        <v>16225</v>
      </c>
      <c r="C361" s="41" t="s">
        <v>16226</v>
      </c>
      <c r="D361" s="40"/>
      <c r="E361" s="41" t="s">
        <v>55</v>
      </c>
      <c r="F361" s="41" t="s">
        <v>55</v>
      </c>
      <c r="G361" s="41" t="s">
        <v>16227</v>
      </c>
      <c r="H361" s="41" t="s">
        <v>14822</v>
      </c>
      <c r="I361" s="43"/>
    </row>
    <row r="362">
      <c r="A362" s="44" t="s">
        <v>16228</v>
      </c>
      <c r="B362" s="44" t="s">
        <v>16229</v>
      </c>
      <c r="C362" s="44">
        <v>6.60797724E8</v>
      </c>
      <c r="D362" s="45"/>
      <c r="E362" s="44" t="s">
        <v>55</v>
      </c>
      <c r="F362" s="44" t="s">
        <v>55</v>
      </c>
      <c r="G362" s="44" t="s">
        <v>16230</v>
      </c>
      <c r="H362" s="44" t="s">
        <v>14822</v>
      </c>
      <c r="I362" s="45"/>
    </row>
    <row r="363">
      <c r="A363" s="41" t="s">
        <v>16231</v>
      </c>
      <c r="B363" s="41" t="s">
        <v>16232</v>
      </c>
      <c r="C363" s="41" t="s">
        <v>16233</v>
      </c>
      <c r="D363" s="42" t="s">
        <v>16234</v>
      </c>
      <c r="E363" s="41" t="s">
        <v>16235</v>
      </c>
      <c r="F363" s="41" t="s">
        <v>1014</v>
      </c>
      <c r="G363" s="40"/>
      <c r="H363" s="41" t="s">
        <v>14822</v>
      </c>
      <c r="I363" s="43"/>
    </row>
    <row r="364">
      <c r="A364" s="44" t="s">
        <v>16236</v>
      </c>
      <c r="B364" s="44" t="s">
        <v>16237</v>
      </c>
      <c r="C364" s="44" t="s">
        <v>16238</v>
      </c>
      <c r="D364" s="46" t="s">
        <v>16239</v>
      </c>
      <c r="E364" s="44" t="s">
        <v>55</v>
      </c>
      <c r="F364" s="44" t="s">
        <v>55</v>
      </c>
      <c r="G364" s="44" t="s">
        <v>16240</v>
      </c>
      <c r="H364" s="44" t="s">
        <v>14822</v>
      </c>
      <c r="I364" s="45"/>
    </row>
    <row r="365">
      <c r="A365" s="41" t="s">
        <v>16241</v>
      </c>
      <c r="B365" s="41" t="s">
        <v>16242</v>
      </c>
      <c r="C365" s="41" t="s">
        <v>16243</v>
      </c>
      <c r="D365" s="40"/>
      <c r="E365" s="41" t="s">
        <v>16244</v>
      </c>
      <c r="F365" s="41" t="s">
        <v>14905</v>
      </c>
      <c r="G365" s="41" t="s">
        <v>16245</v>
      </c>
      <c r="H365" s="41" t="s">
        <v>14822</v>
      </c>
      <c r="I365" s="43"/>
    </row>
    <row r="366">
      <c r="A366" s="44" t="s">
        <v>16246</v>
      </c>
      <c r="B366" s="44" t="s">
        <v>16247</v>
      </c>
      <c r="C366" s="44">
        <v>6.19463991E8</v>
      </c>
      <c r="D366" s="46" t="s">
        <v>16248</v>
      </c>
      <c r="E366" s="44" t="s">
        <v>55</v>
      </c>
      <c r="F366" s="44" t="s">
        <v>55</v>
      </c>
      <c r="G366" s="44" t="s">
        <v>16249</v>
      </c>
      <c r="H366" s="44" t="s">
        <v>14822</v>
      </c>
      <c r="I366" s="45"/>
    </row>
    <row r="367">
      <c r="A367" s="41" t="s">
        <v>16250</v>
      </c>
      <c r="B367" s="41" t="s">
        <v>16251</v>
      </c>
      <c r="C367" s="41">
        <v>9.81216879E8</v>
      </c>
      <c r="D367" s="42" t="s">
        <v>16252</v>
      </c>
      <c r="E367" s="41" t="s">
        <v>6455</v>
      </c>
      <c r="F367" s="41" t="s">
        <v>14905</v>
      </c>
      <c r="G367" s="40"/>
      <c r="H367" s="41" t="s">
        <v>14822</v>
      </c>
      <c r="I367" s="43"/>
    </row>
    <row r="368">
      <c r="A368" s="44" t="s">
        <v>16253</v>
      </c>
      <c r="B368" s="44" t="s">
        <v>16254</v>
      </c>
      <c r="C368" s="44">
        <v>6.06436072E8</v>
      </c>
      <c r="D368" s="45"/>
      <c r="E368" s="44" t="s">
        <v>16038</v>
      </c>
      <c r="F368" s="44" t="s">
        <v>55</v>
      </c>
      <c r="G368" s="44" t="s">
        <v>16255</v>
      </c>
      <c r="H368" s="44" t="s">
        <v>14822</v>
      </c>
      <c r="I368" s="45"/>
    </row>
    <row r="369">
      <c r="A369" s="41" t="s">
        <v>16256</v>
      </c>
      <c r="B369" s="41" t="s">
        <v>16257</v>
      </c>
      <c r="C369" s="41">
        <v>9.81582836E8</v>
      </c>
      <c r="D369" s="42" t="s">
        <v>16258</v>
      </c>
      <c r="E369" s="41" t="s">
        <v>3081</v>
      </c>
      <c r="F369" s="41" t="s">
        <v>14905</v>
      </c>
      <c r="G369" s="41" t="s">
        <v>16259</v>
      </c>
      <c r="H369" s="41" t="s">
        <v>14822</v>
      </c>
      <c r="I369" s="43"/>
    </row>
    <row r="370">
      <c r="A370" s="44" t="s">
        <v>16260</v>
      </c>
      <c r="B370" s="44" t="s">
        <v>16261</v>
      </c>
      <c r="C370" s="44">
        <v>6.5753338E8</v>
      </c>
      <c r="D370" s="46" t="s">
        <v>16262</v>
      </c>
      <c r="E370" s="44" t="s">
        <v>16263</v>
      </c>
      <c r="F370" s="44" t="s">
        <v>55</v>
      </c>
      <c r="G370" s="44" t="s">
        <v>16264</v>
      </c>
      <c r="H370" s="44" t="s">
        <v>14822</v>
      </c>
      <c r="I370" s="45"/>
    </row>
    <row r="371">
      <c r="A371" s="41" t="s">
        <v>16265</v>
      </c>
      <c r="B371" s="41" t="s">
        <v>16266</v>
      </c>
      <c r="C371" s="41" t="s">
        <v>16267</v>
      </c>
      <c r="D371" s="42" t="s">
        <v>16268</v>
      </c>
      <c r="E371" s="41" t="s">
        <v>16269</v>
      </c>
      <c r="F371" s="41" t="s">
        <v>14905</v>
      </c>
      <c r="G371" s="41" t="s">
        <v>16270</v>
      </c>
      <c r="H371" s="41" t="s">
        <v>14822</v>
      </c>
      <c r="I371" s="43"/>
    </row>
    <row r="372">
      <c r="A372" s="44" t="s">
        <v>16271</v>
      </c>
      <c r="B372" s="44" t="s">
        <v>16272</v>
      </c>
      <c r="C372" s="44" t="s">
        <v>16273</v>
      </c>
      <c r="D372" s="46" t="s">
        <v>16274</v>
      </c>
      <c r="E372" s="44" t="s">
        <v>16275</v>
      </c>
      <c r="F372" s="44" t="s">
        <v>231</v>
      </c>
      <c r="G372" s="45"/>
      <c r="H372" s="44" t="s">
        <v>14822</v>
      </c>
      <c r="I372" s="45"/>
    </row>
    <row r="373">
      <c r="A373" s="41" t="s">
        <v>16276</v>
      </c>
      <c r="B373" s="41" t="s">
        <v>16277</v>
      </c>
      <c r="C373" s="41">
        <v>6.89454419E8</v>
      </c>
      <c r="D373" s="42" t="s">
        <v>16278</v>
      </c>
      <c r="E373" s="41" t="s">
        <v>55</v>
      </c>
      <c r="F373" s="41" t="s">
        <v>55</v>
      </c>
      <c r="G373" s="41" t="s">
        <v>15178</v>
      </c>
      <c r="H373" s="41" t="s">
        <v>14822</v>
      </c>
      <c r="I373" s="43"/>
    </row>
    <row r="374">
      <c r="A374" s="44" t="s">
        <v>16279</v>
      </c>
      <c r="B374" s="44" t="s">
        <v>16280</v>
      </c>
      <c r="C374" s="44">
        <v>9.63153522E8</v>
      </c>
      <c r="D374" s="46" t="s">
        <v>16281</v>
      </c>
      <c r="E374" s="44" t="s">
        <v>129</v>
      </c>
      <c r="F374" s="44" t="s">
        <v>129</v>
      </c>
      <c r="G374" s="45"/>
      <c r="H374" s="44" t="s">
        <v>14822</v>
      </c>
      <c r="I374" s="45"/>
    </row>
    <row r="375">
      <c r="A375" s="41" t="s">
        <v>16282</v>
      </c>
      <c r="B375" s="41" t="s">
        <v>16283</v>
      </c>
      <c r="C375" s="41">
        <v>6.45833012E8</v>
      </c>
      <c r="D375" s="42" t="s">
        <v>16284</v>
      </c>
      <c r="E375" s="41" t="s">
        <v>55</v>
      </c>
      <c r="F375" s="41" t="s">
        <v>55</v>
      </c>
      <c r="G375" s="41" t="s">
        <v>16285</v>
      </c>
      <c r="H375" s="41" t="s">
        <v>14822</v>
      </c>
      <c r="I375" s="43"/>
    </row>
    <row r="376">
      <c r="A376" s="44" t="s">
        <v>16286</v>
      </c>
      <c r="B376" s="44" t="s">
        <v>16287</v>
      </c>
      <c r="C376" s="44">
        <v>6.22404312E8</v>
      </c>
      <c r="D376" s="46" t="s">
        <v>16288</v>
      </c>
      <c r="E376" s="44" t="s">
        <v>55</v>
      </c>
      <c r="F376" s="44" t="s">
        <v>55</v>
      </c>
      <c r="G376" s="44" t="s">
        <v>16289</v>
      </c>
      <c r="H376" s="44" t="s">
        <v>14822</v>
      </c>
      <c r="I376" s="45"/>
    </row>
    <row r="377">
      <c r="A377" s="41" t="s">
        <v>16290</v>
      </c>
      <c r="B377" s="41" t="s">
        <v>16291</v>
      </c>
      <c r="C377" s="41">
        <v>6.59838991E8</v>
      </c>
      <c r="D377" s="42" t="s">
        <v>16292</v>
      </c>
      <c r="E377" s="41" t="s">
        <v>16293</v>
      </c>
      <c r="F377" s="41" t="s">
        <v>759</v>
      </c>
      <c r="G377" s="41" t="s">
        <v>16294</v>
      </c>
      <c r="H377" s="41" t="s">
        <v>14822</v>
      </c>
      <c r="I377" s="43"/>
    </row>
    <row r="378">
      <c r="A378" s="44" t="s">
        <v>16295</v>
      </c>
      <c r="B378" s="44" t="s">
        <v>16296</v>
      </c>
      <c r="C378" s="44">
        <v>6.79860899E8</v>
      </c>
      <c r="D378" s="46" t="s">
        <v>16297</v>
      </c>
      <c r="E378" s="44" t="s">
        <v>813</v>
      </c>
      <c r="F378" s="44" t="s">
        <v>813</v>
      </c>
      <c r="G378" s="44" t="s">
        <v>16298</v>
      </c>
      <c r="H378" s="44" t="s">
        <v>14822</v>
      </c>
      <c r="I378" s="45"/>
    </row>
    <row r="379">
      <c r="A379" s="41" t="s">
        <v>16299</v>
      </c>
      <c r="B379" s="41" t="s">
        <v>16300</v>
      </c>
      <c r="C379" s="41" t="s">
        <v>16301</v>
      </c>
      <c r="D379" s="42" t="s">
        <v>16302</v>
      </c>
      <c r="E379" s="41" t="s">
        <v>16303</v>
      </c>
      <c r="F379" s="41" t="s">
        <v>813</v>
      </c>
      <c r="G379" s="40"/>
      <c r="H379" s="41" t="s">
        <v>14822</v>
      </c>
      <c r="I379" s="43"/>
    </row>
    <row r="380">
      <c r="A380" s="44" t="s">
        <v>16304</v>
      </c>
      <c r="B380" s="44" t="s">
        <v>16305</v>
      </c>
      <c r="C380" s="44">
        <v>6.33305576E8</v>
      </c>
      <c r="D380" s="46" t="s">
        <v>16306</v>
      </c>
      <c r="E380" s="44" t="s">
        <v>100</v>
      </c>
      <c r="F380" s="44" t="s">
        <v>100</v>
      </c>
      <c r="G380" s="44" t="s">
        <v>16307</v>
      </c>
      <c r="H380" s="44" t="s">
        <v>14822</v>
      </c>
      <c r="I380" s="45"/>
    </row>
    <row r="381">
      <c r="A381" s="41" t="s">
        <v>16308</v>
      </c>
      <c r="B381" s="41" t="s">
        <v>16309</v>
      </c>
      <c r="C381" s="41" t="s">
        <v>16310</v>
      </c>
      <c r="D381" s="42" t="s">
        <v>16311</v>
      </c>
      <c r="E381" s="41" t="s">
        <v>16312</v>
      </c>
      <c r="F381" s="41" t="s">
        <v>231</v>
      </c>
      <c r="G381" s="41" t="s">
        <v>16313</v>
      </c>
      <c r="H381" s="41" t="s">
        <v>14822</v>
      </c>
      <c r="I381" s="43"/>
    </row>
    <row r="382">
      <c r="A382" s="44" t="s">
        <v>16314</v>
      </c>
      <c r="B382" s="44" t="s">
        <v>16315</v>
      </c>
      <c r="C382" s="44">
        <v>6.45387782E8</v>
      </c>
      <c r="D382" s="46" t="s">
        <v>16316</v>
      </c>
      <c r="E382" s="44" t="s">
        <v>4941</v>
      </c>
      <c r="F382" s="44" t="s">
        <v>1014</v>
      </c>
      <c r="G382" s="44" t="s">
        <v>16317</v>
      </c>
      <c r="H382" s="44" t="s">
        <v>14822</v>
      </c>
      <c r="I382" s="45"/>
    </row>
    <row r="383">
      <c r="A383" s="41" t="s">
        <v>16318</v>
      </c>
      <c r="B383" s="41" t="s">
        <v>16319</v>
      </c>
      <c r="C383" s="41">
        <v>6.92300293E8</v>
      </c>
      <c r="D383" s="42" t="s">
        <v>16320</v>
      </c>
      <c r="E383" s="41" t="s">
        <v>2358</v>
      </c>
      <c r="F383" s="41" t="s">
        <v>5048</v>
      </c>
      <c r="G383" s="41" t="s">
        <v>16321</v>
      </c>
      <c r="H383" s="41" t="s">
        <v>14822</v>
      </c>
      <c r="I383" s="43"/>
    </row>
    <row r="384">
      <c r="A384" s="44" t="s">
        <v>16322</v>
      </c>
      <c r="B384" s="44" t="s">
        <v>16323</v>
      </c>
      <c r="C384" s="44">
        <v>6.88893975E8</v>
      </c>
      <c r="D384" s="46" t="s">
        <v>16324</v>
      </c>
      <c r="E384" s="44" t="s">
        <v>16325</v>
      </c>
      <c r="F384" s="44" t="s">
        <v>231</v>
      </c>
      <c r="G384" s="44" t="s">
        <v>16326</v>
      </c>
      <c r="H384" s="44" t="s">
        <v>14822</v>
      </c>
      <c r="I384" s="45"/>
    </row>
    <row r="385">
      <c r="A385" s="41" t="s">
        <v>16327</v>
      </c>
      <c r="B385" s="41" t="s">
        <v>16328</v>
      </c>
      <c r="C385" s="41">
        <v>6.05495357E8</v>
      </c>
      <c r="D385" s="42" t="s">
        <v>16329</v>
      </c>
      <c r="E385" s="41" t="s">
        <v>16330</v>
      </c>
      <c r="F385" s="41" t="s">
        <v>1014</v>
      </c>
      <c r="G385" s="41" t="s">
        <v>16331</v>
      </c>
      <c r="H385" s="41" t="s">
        <v>14822</v>
      </c>
      <c r="I385" s="43"/>
    </row>
    <row r="386">
      <c r="A386" s="44" t="s">
        <v>16332</v>
      </c>
      <c r="B386" s="44" t="s">
        <v>16333</v>
      </c>
      <c r="C386" s="44" t="s">
        <v>16334</v>
      </c>
      <c r="D386" s="46" t="s">
        <v>14628</v>
      </c>
      <c r="E386" s="44" t="s">
        <v>16335</v>
      </c>
      <c r="F386" s="44" t="s">
        <v>601</v>
      </c>
      <c r="G386" s="44" t="s">
        <v>16336</v>
      </c>
      <c r="H386" s="44" t="s">
        <v>14822</v>
      </c>
      <c r="I386" s="45"/>
    </row>
    <row r="387">
      <c r="A387" s="41" t="s">
        <v>16337</v>
      </c>
      <c r="B387" s="41" t="s">
        <v>16338</v>
      </c>
      <c r="C387" s="41">
        <v>6.03704764E8</v>
      </c>
      <c r="D387" s="42" t="s">
        <v>16339</v>
      </c>
      <c r="E387" s="41" t="s">
        <v>4660</v>
      </c>
      <c r="F387" s="41" t="s">
        <v>1462</v>
      </c>
      <c r="G387" s="41" t="s">
        <v>16340</v>
      </c>
      <c r="H387" s="41" t="s">
        <v>14822</v>
      </c>
      <c r="I387" s="43"/>
    </row>
    <row r="388">
      <c r="A388" s="44" t="s">
        <v>16341</v>
      </c>
      <c r="B388" s="44" t="s">
        <v>16342</v>
      </c>
      <c r="C388" s="44">
        <v>6.79860899E8</v>
      </c>
      <c r="D388" s="46" t="s">
        <v>16343</v>
      </c>
      <c r="E388" s="44" t="s">
        <v>813</v>
      </c>
      <c r="F388" s="44" t="s">
        <v>813</v>
      </c>
      <c r="G388" s="44" t="s">
        <v>16298</v>
      </c>
      <c r="H388" s="44" t="s">
        <v>14822</v>
      </c>
      <c r="I388" s="45"/>
    </row>
    <row r="389">
      <c r="A389" s="41" t="s">
        <v>16344</v>
      </c>
      <c r="B389" s="41" t="s">
        <v>16345</v>
      </c>
      <c r="C389" s="41" t="s">
        <v>16346</v>
      </c>
      <c r="D389" s="42" t="s">
        <v>16347</v>
      </c>
      <c r="E389" s="41" t="s">
        <v>15612</v>
      </c>
      <c r="F389" s="41" t="s">
        <v>55</v>
      </c>
      <c r="G389" s="41" t="s">
        <v>16348</v>
      </c>
      <c r="H389" s="41" t="s">
        <v>14822</v>
      </c>
      <c r="I389" s="43"/>
    </row>
    <row r="390">
      <c r="A390" s="44" t="s">
        <v>16349</v>
      </c>
      <c r="B390" s="44" t="s">
        <v>16350</v>
      </c>
      <c r="C390" s="44" t="s">
        <v>16351</v>
      </c>
      <c r="D390" s="46" t="s">
        <v>16352</v>
      </c>
      <c r="E390" s="44" t="s">
        <v>813</v>
      </c>
      <c r="F390" s="44" t="s">
        <v>813</v>
      </c>
      <c r="G390" s="45"/>
      <c r="H390" s="44" t="s">
        <v>14822</v>
      </c>
      <c r="I390" s="45"/>
    </row>
    <row r="391">
      <c r="A391" s="41" t="s">
        <v>16353</v>
      </c>
      <c r="B391" s="41" t="s">
        <v>16354</v>
      </c>
      <c r="C391" s="41" t="s">
        <v>16355</v>
      </c>
      <c r="D391" s="40"/>
      <c r="E391" s="41" t="s">
        <v>55</v>
      </c>
      <c r="F391" s="41" t="s">
        <v>55</v>
      </c>
      <c r="G391" s="41" t="s">
        <v>16356</v>
      </c>
      <c r="H391" s="41" t="s">
        <v>14822</v>
      </c>
      <c r="I391" s="43"/>
    </row>
    <row r="392">
      <c r="A392" s="44" t="s">
        <v>16357</v>
      </c>
      <c r="B392" s="44" t="s">
        <v>16358</v>
      </c>
      <c r="C392" s="44" t="s">
        <v>16359</v>
      </c>
      <c r="D392" s="46" t="s">
        <v>16360</v>
      </c>
      <c r="E392" s="44" t="s">
        <v>231</v>
      </c>
      <c r="F392" s="44" t="s">
        <v>231</v>
      </c>
      <c r="G392" s="44" t="s">
        <v>16361</v>
      </c>
      <c r="H392" s="44" t="s">
        <v>14822</v>
      </c>
      <c r="I392" s="45"/>
    </row>
    <row r="393">
      <c r="A393" s="41" t="s">
        <v>16362</v>
      </c>
      <c r="B393" s="41" t="s">
        <v>16363</v>
      </c>
      <c r="C393" s="41">
        <v>6.04968824E8</v>
      </c>
      <c r="D393" s="42" t="s">
        <v>16364</v>
      </c>
      <c r="E393" s="41" t="s">
        <v>16365</v>
      </c>
      <c r="F393" s="41" t="s">
        <v>813</v>
      </c>
      <c r="G393" s="41" t="s">
        <v>16366</v>
      </c>
      <c r="H393" s="41" t="s">
        <v>14822</v>
      </c>
      <c r="I393" s="43"/>
    </row>
    <row r="394">
      <c r="A394" s="44" t="s">
        <v>16367</v>
      </c>
      <c r="B394" s="44" t="s">
        <v>16368</v>
      </c>
      <c r="C394" s="44">
        <v>6.09627452E8</v>
      </c>
      <c r="D394" s="45"/>
      <c r="E394" s="44" t="s">
        <v>489</v>
      </c>
      <c r="F394" s="44" t="s">
        <v>10629</v>
      </c>
      <c r="G394" s="44" t="s">
        <v>16369</v>
      </c>
      <c r="H394" s="44" t="s">
        <v>14822</v>
      </c>
      <c r="I394" s="45"/>
    </row>
    <row r="395">
      <c r="A395" s="41" t="s">
        <v>16370</v>
      </c>
      <c r="B395" s="41" t="s">
        <v>16371</v>
      </c>
      <c r="C395" s="41">
        <v>6.45569211E8</v>
      </c>
      <c r="D395" s="42" t="s">
        <v>16372</v>
      </c>
      <c r="E395" s="41" t="s">
        <v>16373</v>
      </c>
      <c r="F395" s="41" t="s">
        <v>129</v>
      </c>
      <c r="G395" s="41" t="s">
        <v>16374</v>
      </c>
      <c r="H395" s="41" t="s">
        <v>14822</v>
      </c>
      <c r="I395" s="43"/>
    </row>
    <row r="396">
      <c r="A396" s="44" t="s">
        <v>16375</v>
      </c>
      <c r="B396" s="44" t="s">
        <v>16376</v>
      </c>
      <c r="C396" s="44">
        <v>6.07274497E8</v>
      </c>
      <c r="D396" s="46" t="s">
        <v>16377</v>
      </c>
      <c r="E396" s="44" t="s">
        <v>16378</v>
      </c>
      <c r="F396" s="44" t="s">
        <v>100</v>
      </c>
      <c r="G396" s="44" t="s">
        <v>16379</v>
      </c>
      <c r="H396" s="44" t="s">
        <v>14822</v>
      </c>
      <c r="I396" s="45"/>
    </row>
    <row r="397">
      <c r="A397" s="41" t="s">
        <v>16380</v>
      </c>
      <c r="B397" s="41" t="s">
        <v>16381</v>
      </c>
      <c r="C397" s="41">
        <v>9.13090815E8</v>
      </c>
      <c r="D397" s="42" t="s">
        <v>16382</v>
      </c>
      <c r="E397" s="41" t="s">
        <v>55</v>
      </c>
      <c r="F397" s="41" t="s">
        <v>55</v>
      </c>
      <c r="G397" s="41" t="s">
        <v>16383</v>
      </c>
      <c r="H397" s="41" t="s">
        <v>14822</v>
      </c>
      <c r="I397" s="43"/>
    </row>
    <row r="398">
      <c r="A398" s="44" t="s">
        <v>16384</v>
      </c>
      <c r="B398" s="44" t="s">
        <v>16385</v>
      </c>
      <c r="C398" s="45" t="str">
        <f>+33750670161 y +34630108209</f>
        <v>#ERROR!</v>
      </c>
      <c r="D398" s="46" t="s">
        <v>16386</v>
      </c>
      <c r="E398" s="44" t="s">
        <v>231</v>
      </c>
      <c r="F398" s="44" t="s">
        <v>231</v>
      </c>
      <c r="G398" s="44" t="s">
        <v>16387</v>
      </c>
      <c r="H398" s="44" t="s">
        <v>14822</v>
      </c>
      <c r="I398" s="45"/>
    </row>
    <row r="399">
      <c r="A399" s="41" t="s">
        <v>16388</v>
      </c>
      <c r="B399" s="41" t="s">
        <v>11550</v>
      </c>
      <c r="C399" s="41" t="s">
        <v>16389</v>
      </c>
      <c r="D399" s="42" t="s">
        <v>16390</v>
      </c>
      <c r="E399" s="41" t="s">
        <v>55</v>
      </c>
      <c r="F399" s="41" t="s">
        <v>55</v>
      </c>
      <c r="G399" s="41" t="s">
        <v>16391</v>
      </c>
      <c r="H399" s="41" t="s">
        <v>14822</v>
      </c>
      <c r="I399" s="43"/>
    </row>
    <row r="400">
      <c r="A400" s="44" t="s">
        <v>16392</v>
      </c>
      <c r="B400" s="44" t="s">
        <v>16393</v>
      </c>
      <c r="C400" s="44">
        <v>6.52854333E8</v>
      </c>
      <c r="D400" s="46" t="s">
        <v>16394</v>
      </c>
      <c r="E400" s="44" t="s">
        <v>7388</v>
      </c>
      <c r="F400" s="44" t="s">
        <v>231</v>
      </c>
      <c r="G400" s="45"/>
      <c r="H400" s="44" t="s">
        <v>14822</v>
      </c>
      <c r="I400" s="45"/>
    </row>
    <row r="401">
      <c r="A401" s="41" t="s">
        <v>16395</v>
      </c>
      <c r="B401" s="41" t="s">
        <v>16396</v>
      </c>
      <c r="C401" s="41" t="s">
        <v>16397</v>
      </c>
      <c r="D401" s="42" t="s">
        <v>16398</v>
      </c>
      <c r="E401" s="41" t="s">
        <v>16399</v>
      </c>
      <c r="F401" s="41" t="s">
        <v>14915</v>
      </c>
      <c r="G401" s="41" t="s">
        <v>16400</v>
      </c>
      <c r="H401" s="41" t="s">
        <v>14822</v>
      </c>
      <c r="I401" s="43"/>
    </row>
    <row r="402">
      <c r="A402" s="44" t="s">
        <v>16401</v>
      </c>
      <c r="B402" s="44" t="s">
        <v>16402</v>
      </c>
      <c r="C402" s="44">
        <v>6.25381523E8</v>
      </c>
      <c r="D402" s="45"/>
      <c r="E402" s="44" t="s">
        <v>15146</v>
      </c>
      <c r="F402" s="44" t="s">
        <v>813</v>
      </c>
      <c r="G402" s="44" t="s">
        <v>16403</v>
      </c>
      <c r="H402" s="44" t="s">
        <v>14822</v>
      </c>
      <c r="I402" s="45"/>
    </row>
    <row r="403">
      <c r="A403" s="41" t="s">
        <v>16404</v>
      </c>
      <c r="B403" s="41" t="s">
        <v>16405</v>
      </c>
      <c r="C403" s="41" t="s">
        <v>16406</v>
      </c>
      <c r="D403" s="42" t="s">
        <v>16407</v>
      </c>
      <c r="E403" s="41" t="s">
        <v>16038</v>
      </c>
      <c r="F403" s="41" t="s">
        <v>55</v>
      </c>
      <c r="G403" s="40"/>
      <c r="H403" s="41" t="s">
        <v>14822</v>
      </c>
      <c r="I403" s="43"/>
    </row>
    <row r="404">
      <c r="A404" s="44" t="s">
        <v>16408</v>
      </c>
      <c r="B404" s="44" t="s">
        <v>16409</v>
      </c>
      <c r="C404" s="44">
        <v>6.72183595E8</v>
      </c>
      <c r="D404" s="46" t="s">
        <v>16410</v>
      </c>
      <c r="E404" s="44" t="s">
        <v>231</v>
      </c>
      <c r="F404" s="44" t="s">
        <v>231</v>
      </c>
      <c r="G404" s="44" t="s">
        <v>16411</v>
      </c>
      <c r="H404" s="44" t="s">
        <v>14822</v>
      </c>
      <c r="I404" s="45"/>
    </row>
    <row r="405">
      <c r="A405" s="41" t="s">
        <v>16412</v>
      </c>
      <c r="B405" s="41" t="s">
        <v>16413</v>
      </c>
      <c r="C405" s="41">
        <v>6.44402162E8</v>
      </c>
      <c r="D405" s="42" t="s">
        <v>16414</v>
      </c>
      <c r="E405" s="41" t="s">
        <v>16415</v>
      </c>
      <c r="F405" s="41" t="s">
        <v>14915</v>
      </c>
      <c r="G405" s="41" t="s">
        <v>16416</v>
      </c>
      <c r="H405" s="41" t="s">
        <v>14822</v>
      </c>
      <c r="I405" s="43"/>
    </row>
    <row r="406">
      <c r="A406" s="44" t="s">
        <v>16417</v>
      </c>
      <c r="B406" s="44" t="s">
        <v>16418</v>
      </c>
      <c r="C406" s="44">
        <v>6.84391311E8</v>
      </c>
      <c r="D406" s="46" t="s">
        <v>16419</v>
      </c>
      <c r="E406" s="44" t="s">
        <v>1427</v>
      </c>
      <c r="F406" s="44" t="s">
        <v>1427</v>
      </c>
      <c r="G406" s="44" t="s">
        <v>16420</v>
      </c>
      <c r="H406" s="44" t="s">
        <v>14822</v>
      </c>
      <c r="I406" s="45"/>
    </row>
    <row r="407">
      <c r="A407" s="41" t="s">
        <v>16421</v>
      </c>
      <c r="B407" s="41" t="s">
        <v>16422</v>
      </c>
      <c r="C407" s="41" t="s">
        <v>16423</v>
      </c>
      <c r="D407" s="40"/>
      <c r="E407" s="41" t="s">
        <v>1014</v>
      </c>
      <c r="F407" s="41" t="s">
        <v>1014</v>
      </c>
      <c r="G407" s="41" t="s">
        <v>16424</v>
      </c>
      <c r="H407" s="41" t="s">
        <v>14822</v>
      </c>
      <c r="I407" s="43"/>
    </row>
    <row r="408">
      <c r="A408" s="44" t="s">
        <v>16425</v>
      </c>
      <c r="B408" s="44" t="s">
        <v>16426</v>
      </c>
      <c r="C408" s="44">
        <v>6.79060606E8</v>
      </c>
      <c r="D408" s="46" t="s">
        <v>16427</v>
      </c>
      <c r="E408" s="44" t="s">
        <v>8107</v>
      </c>
      <c r="F408" s="44" t="s">
        <v>129</v>
      </c>
      <c r="G408" s="44" t="s">
        <v>16428</v>
      </c>
      <c r="H408" s="44" t="s">
        <v>14822</v>
      </c>
      <c r="I408" s="45"/>
    </row>
    <row r="409">
      <c r="A409" s="41" t="s">
        <v>16429</v>
      </c>
      <c r="B409" s="41" t="s">
        <v>16430</v>
      </c>
      <c r="C409" s="41" t="s">
        <v>16431</v>
      </c>
      <c r="D409" s="40"/>
      <c r="E409" s="41" t="s">
        <v>2162</v>
      </c>
      <c r="F409" s="41" t="s">
        <v>2162</v>
      </c>
      <c r="G409" s="41" t="s">
        <v>16432</v>
      </c>
      <c r="H409" s="41" t="s">
        <v>14822</v>
      </c>
      <c r="I409" s="43"/>
    </row>
    <row r="410">
      <c r="A410" s="44" t="s">
        <v>16433</v>
      </c>
      <c r="B410" s="44" t="s">
        <v>16434</v>
      </c>
      <c r="C410" s="44">
        <v>6.06580009E8</v>
      </c>
      <c r="D410" s="46" t="s">
        <v>16435</v>
      </c>
      <c r="E410" s="44" t="s">
        <v>16000</v>
      </c>
      <c r="F410" s="44" t="s">
        <v>253</v>
      </c>
      <c r="G410" s="44" t="s">
        <v>16436</v>
      </c>
      <c r="H410" s="44" t="s">
        <v>14822</v>
      </c>
      <c r="I410" s="45"/>
    </row>
    <row r="411">
      <c r="A411" s="41" t="s">
        <v>16437</v>
      </c>
      <c r="B411" s="41" t="s">
        <v>16438</v>
      </c>
      <c r="C411" s="41" t="s">
        <v>16439</v>
      </c>
      <c r="D411" s="40"/>
      <c r="E411" s="41" t="s">
        <v>15757</v>
      </c>
      <c r="F411" s="41" t="s">
        <v>262</v>
      </c>
      <c r="G411" s="41" t="s">
        <v>16440</v>
      </c>
      <c r="H411" s="41" t="s">
        <v>14822</v>
      </c>
      <c r="I411" s="43"/>
    </row>
    <row r="412">
      <c r="A412" s="44" t="s">
        <v>16441</v>
      </c>
      <c r="B412" s="44" t="s">
        <v>16442</v>
      </c>
      <c r="C412" s="44" t="s">
        <v>16443</v>
      </c>
      <c r="D412" s="46" t="s">
        <v>16444</v>
      </c>
      <c r="E412" s="44" t="s">
        <v>55</v>
      </c>
      <c r="F412" s="44" t="s">
        <v>55</v>
      </c>
      <c r="G412" s="45"/>
      <c r="H412" s="44" t="s">
        <v>14822</v>
      </c>
      <c r="I412" s="45"/>
    </row>
    <row r="413">
      <c r="A413" s="41" t="s">
        <v>16445</v>
      </c>
      <c r="B413" s="41" t="s">
        <v>16446</v>
      </c>
      <c r="C413" s="41" t="s">
        <v>16447</v>
      </c>
      <c r="D413" s="42" t="s">
        <v>16448</v>
      </c>
      <c r="E413" s="41" t="s">
        <v>16449</v>
      </c>
      <c r="F413" s="41" t="s">
        <v>231</v>
      </c>
      <c r="G413" s="41" t="s">
        <v>16445</v>
      </c>
      <c r="H413" s="41" t="s">
        <v>14822</v>
      </c>
      <c r="I413" s="43"/>
    </row>
    <row r="414">
      <c r="A414" s="44" t="s">
        <v>16450</v>
      </c>
      <c r="B414" s="44" t="s">
        <v>16451</v>
      </c>
      <c r="C414" s="44">
        <v>6.67868578E8</v>
      </c>
      <c r="D414" s="45"/>
      <c r="E414" s="44" t="s">
        <v>16452</v>
      </c>
      <c r="F414" s="44" t="s">
        <v>14975</v>
      </c>
      <c r="G414" s="44" t="s">
        <v>16453</v>
      </c>
      <c r="H414" s="44" t="s">
        <v>14822</v>
      </c>
      <c r="I414" s="45"/>
    </row>
    <row r="415">
      <c r="A415" s="41" t="s">
        <v>16454</v>
      </c>
      <c r="B415" s="41" t="s">
        <v>16455</v>
      </c>
      <c r="C415" s="41" t="s">
        <v>16456</v>
      </c>
      <c r="D415" s="42" t="s">
        <v>16457</v>
      </c>
      <c r="E415" s="41" t="s">
        <v>16458</v>
      </c>
      <c r="F415" s="41" t="s">
        <v>1462</v>
      </c>
      <c r="G415" s="41" t="s">
        <v>16459</v>
      </c>
      <c r="H415" s="41" t="s">
        <v>14822</v>
      </c>
      <c r="I415" s="43"/>
    </row>
    <row r="416">
      <c r="A416" s="44" t="s">
        <v>16460</v>
      </c>
      <c r="B416" s="44" t="s">
        <v>16461</v>
      </c>
      <c r="C416" s="44" t="s">
        <v>16462</v>
      </c>
      <c r="D416" s="46" t="s">
        <v>16463</v>
      </c>
      <c r="E416" s="44" t="s">
        <v>129</v>
      </c>
      <c r="F416" s="44" t="s">
        <v>129</v>
      </c>
      <c r="G416" s="44" t="s">
        <v>16464</v>
      </c>
      <c r="H416" s="44" t="s">
        <v>14822</v>
      </c>
      <c r="I416" s="45"/>
    </row>
    <row r="417">
      <c r="A417" s="41" t="s">
        <v>16465</v>
      </c>
      <c r="B417" s="41" t="s">
        <v>16466</v>
      </c>
      <c r="C417" s="41" t="s">
        <v>16467</v>
      </c>
      <c r="D417" s="42" t="s">
        <v>16468</v>
      </c>
      <c r="E417" s="41" t="s">
        <v>5480</v>
      </c>
      <c r="F417" s="41" t="s">
        <v>5480</v>
      </c>
      <c r="G417" s="41" t="s">
        <v>16469</v>
      </c>
      <c r="H417" s="41" t="s">
        <v>14822</v>
      </c>
      <c r="I417" s="43"/>
    </row>
    <row r="418">
      <c r="A418" s="44" t="s">
        <v>16470</v>
      </c>
      <c r="B418" s="44" t="s">
        <v>16471</v>
      </c>
      <c r="C418" s="44">
        <v>6.16724564E8</v>
      </c>
      <c r="D418" s="45"/>
      <c r="E418" s="44" t="s">
        <v>8242</v>
      </c>
      <c r="F418" s="44" t="s">
        <v>219</v>
      </c>
      <c r="G418" s="44" t="s">
        <v>16472</v>
      </c>
      <c r="H418" s="44" t="s">
        <v>14822</v>
      </c>
      <c r="I418" s="45"/>
    </row>
    <row r="419">
      <c r="A419" s="41" t="s">
        <v>16473</v>
      </c>
      <c r="B419" s="41" t="s">
        <v>16474</v>
      </c>
      <c r="C419" s="41">
        <v>6.95566301E8</v>
      </c>
      <c r="D419" s="42" t="s">
        <v>16475</v>
      </c>
      <c r="E419" s="41" t="s">
        <v>8036</v>
      </c>
      <c r="F419" s="41" t="s">
        <v>55</v>
      </c>
      <c r="G419" s="41" t="s">
        <v>16476</v>
      </c>
      <c r="H419" s="41" t="s">
        <v>14822</v>
      </c>
      <c r="I419" s="43"/>
    </row>
    <row r="420">
      <c r="A420" s="44" t="s">
        <v>16477</v>
      </c>
      <c r="B420" s="44" t="s">
        <v>16478</v>
      </c>
      <c r="C420" s="44" t="s">
        <v>16479</v>
      </c>
      <c r="D420" s="46" t="s">
        <v>16480</v>
      </c>
      <c r="E420" s="44" t="s">
        <v>16481</v>
      </c>
      <c r="F420" s="44" t="s">
        <v>813</v>
      </c>
      <c r="G420" s="45"/>
      <c r="H420" s="44" t="s">
        <v>14822</v>
      </c>
      <c r="I420" s="45"/>
    </row>
    <row r="421">
      <c r="A421" s="41" t="s">
        <v>16482</v>
      </c>
      <c r="B421" s="41" t="s">
        <v>16483</v>
      </c>
      <c r="C421" s="41">
        <v>6.70660979E8</v>
      </c>
      <c r="D421" s="42" t="s">
        <v>16484</v>
      </c>
      <c r="E421" s="41" t="s">
        <v>8089</v>
      </c>
      <c r="F421" s="41" t="s">
        <v>55</v>
      </c>
      <c r="G421" s="41" t="s">
        <v>16485</v>
      </c>
      <c r="H421" s="41" t="s">
        <v>14822</v>
      </c>
      <c r="I421" s="43"/>
    </row>
    <row r="422">
      <c r="A422" s="44" t="s">
        <v>16486</v>
      </c>
      <c r="B422" s="44" t="s">
        <v>16487</v>
      </c>
      <c r="C422" s="44">
        <v>9.32427912E8</v>
      </c>
      <c r="D422" s="46" t="s">
        <v>16488</v>
      </c>
      <c r="E422" s="44" t="s">
        <v>231</v>
      </c>
      <c r="F422" s="44" t="s">
        <v>231</v>
      </c>
      <c r="G422" s="44" t="s">
        <v>16489</v>
      </c>
      <c r="H422" s="44" t="s">
        <v>14822</v>
      </c>
      <c r="I422" s="45"/>
    </row>
    <row r="423">
      <c r="A423" s="41" t="s">
        <v>16490</v>
      </c>
      <c r="B423" s="41" t="s">
        <v>16491</v>
      </c>
      <c r="C423" s="41">
        <v>7.22363185E8</v>
      </c>
      <c r="D423" s="42" t="s">
        <v>16492</v>
      </c>
      <c r="E423" s="41" t="s">
        <v>16493</v>
      </c>
      <c r="F423" s="41" t="s">
        <v>2391</v>
      </c>
      <c r="G423" s="41" t="s">
        <v>16494</v>
      </c>
      <c r="H423" s="41" t="s">
        <v>14822</v>
      </c>
      <c r="I423" s="43"/>
    </row>
    <row r="424">
      <c r="A424" s="44" t="s">
        <v>16495</v>
      </c>
      <c r="B424" s="44" t="s">
        <v>16496</v>
      </c>
      <c r="C424" s="44">
        <v>6.3737372E8</v>
      </c>
      <c r="D424" s="46" t="s">
        <v>16497</v>
      </c>
      <c r="E424" s="44" t="s">
        <v>100</v>
      </c>
      <c r="F424" s="44" t="s">
        <v>100</v>
      </c>
      <c r="G424" s="44" t="s">
        <v>16498</v>
      </c>
      <c r="H424" s="44" t="s">
        <v>14822</v>
      </c>
      <c r="I424" s="45"/>
    </row>
    <row r="425">
      <c r="A425" s="41" t="s">
        <v>16499</v>
      </c>
      <c r="B425" s="41" t="s">
        <v>16500</v>
      </c>
      <c r="C425" s="41">
        <v>6.54101505E8</v>
      </c>
      <c r="D425" s="42" t="s">
        <v>16501</v>
      </c>
      <c r="E425" s="41" t="s">
        <v>395</v>
      </c>
      <c r="F425" s="41" t="s">
        <v>395</v>
      </c>
      <c r="G425" s="41" t="s">
        <v>16502</v>
      </c>
      <c r="H425" s="41" t="s">
        <v>14822</v>
      </c>
      <c r="I425" s="43"/>
    </row>
    <row r="426">
      <c r="A426" s="44" t="s">
        <v>16503</v>
      </c>
      <c r="B426" s="44" t="s">
        <v>16504</v>
      </c>
      <c r="C426" s="44">
        <v>9.72911063E8</v>
      </c>
      <c r="D426" s="46" t="s">
        <v>16505</v>
      </c>
      <c r="E426" s="44" t="s">
        <v>4846</v>
      </c>
      <c r="F426" s="44" t="s">
        <v>14915</v>
      </c>
      <c r="G426" s="44" t="s">
        <v>16506</v>
      </c>
      <c r="H426" s="44" t="s">
        <v>14822</v>
      </c>
      <c r="I426" s="45"/>
    </row>
    <row r="427">
      <c r="A427" s="41" t="s">
        <v>16507</v>
      </c>
      <c r="B427" s="41" t="s">
        <v>16508</v>
      </c>
      <c r="C427" s="41" t="s">
        <v>16509</v>
      </c>
      <c r="D427" s="42" t="s">
        <v>16510</v>
      </c>
      <c r="E427" s="41" t="s">
        <v>3008</v>
      </c>
      <c r="F427" s="41" t="s">
        <v>14872</v>
      </c>
      <c r="G427" s="41" t="s">
        <v>16511</v>
      </c>
      <c r="H427" s="41" t="s">
        <v>14822</v>
      </c>
      <c r="I427" s="43"/>
    </row>
    <row r="428">
      <c r="A428" s="44" t="s">
        <v>16512</v>
      </c>
      <c r="B428" s="44" t="s">
        <v>12789</v>
      </c>
      <c r="C428" s="44" t="s">
        <v>16513</v>
      </c>
      <c r="D428" s="46" t="s">
        <v>16514</v>
      </c>
      <c r="E428" s="44" t="s">
        <v>8036</v>
      </c>
      <c r="F428" s="44" t="s">
        <v>55</v>
      </c>
      <c r="G428" s="44" t="s">
        <v>16515</v>
      </c>
      <c r="H428" s="44" t="s">
        <v>14822</v>
      </c>
      <c r="I428" s="45"/>
    </row>
    <row r="429">
      <c r="A429" s="41" t="s">
        <v>16516</v>
      </c>
      <c r="B429" s="41" t="s">
        <v>16517</v>
      </c>
      <c r="C429" s="41" t="s">
        <v>16518</v>
      </c>
      <c r="D429" s="42" t="s">
        <v>16519</v>
      </c>
      <c r="E429" s="41" t="s">
        <v>16520</v>
      </c>
      <c r="F429" s="41" t="s">
        <v>129</v>
      </c>
      <c r="G429" s="41" t="s">
        <v>16521</v>
      </c>
      <c r="H429" s="41" t="s">
        <v>14822</v>
      </c>
      <c r="I429" s="43"/>
    </row>
    <row r="430">
      <c r="A430" s="44" t="s">
        <v>16522</v>
      </c>
      <c r="B430" s="44" t="s">
        <v>16523</v>
      </c>
      <c r="C430" s="44">
        <v>9.14459586E8</v>
      </c>
      <c r="D430" s="46" t="s">
        <v>16524</v>
      </c>
      <c r="E430" s="44" t="s">
        <v>8036</v>
      </c>
      <c r="F430" s="44" t="s">
        <v>55</v>
      </c>
      <c r="G430" s="44" t="s">
        <v>16525</v>
      </c>
      <c r="H430" s="44" t="s">
        <v>14822</v>
      </c>
      <c r="I430" s="45"/>
    </row>
    <row r="431">
      <c r="A431" s="41" t="s">
        <v>16526</v>
      </c>
      <c r="B431" s="41" t="s">
        <v>16527</v>
      </c>
      <c r="C431" s="41">
        <v>9.37358085E8</v>
      </c>
      <c r="D431" s="42" t="s">
        <v>16528</v>
      </c>
      <c r="E431" s="41" t="s">
        <v>7605</v>
      </c>
      <c r="F431" s="41" t="s">
        <v>231</v>
      </c>
      <c r="G431" s="41" t="s">
        <v>16529</v>
      </c>
      <c r="H431" s="41" t="s">
        <v>14822</v>
      </c>
      <c r="I431" s="43"/>
    </row>
    <row r="432">
      <c r="A432" s="44" t="s">
        <v>16530</v>
      </c>
      <c r="B432" s="44" t="s">
        <v>16531</v>
      </c>
      <c r="C432" s="44">
        <v>6.56724894E8</v>
      </c>
      <c r="D432" s="46" t="s">
        <v>16532</v>
      </c>
      <c r="E432" s="44" t="s">
        <v>698</v>
      </c>
      <c r="F432" s="44" t="s">
        <v>14975</v>
      </c>
      <c r="G432" s="45"/>
      <c r="H432" s="44" t="s">
        <v>14822</v>
      </c>
      <c r="I432" s="45"/>
    </row>
    <row r="433">
      <c r="A433" s="41" t="s">
        <v>16533</v>
      </c>
      <c r="B433" s="41" t="s">
        <v>16534</v>
      </c>
      <c r="C433" s="41" t="s">
        <v>16535</v>
      </c>
      <c r="D433" s="42" t="s">
        <v>16536</v>
      </c>
      <c r="E433" s="41" t="s">
        <v>55</v>
      </c>
      <c r="F433" s="41" t="s">
        <v>55</v>
      </c>
      <c r="G433" s="41" t="s">
        <v>16537</v>
      </c>
      <c r="H433" s="41" t="s">
        <v>14822</v>
      </c>
      <c r="I433" s="43"/>
    </row>
    <row r="434">
      <c r="A434" s="44" t="s">
        <v>16538</v>
      </c>
      <c r="B434" s="44" t="s">
        <v>16539</v>
      </c>
      <c r="C434" s="44" t="s">
        <v>16540</v>
      </c>
      <c r="D434" s="46" t="s">
        <v>16541</v>
      </c>
      <c r="E434" s="44" t="s">
        <v>813</v>
      </c>
      <c r="F434" s="44" t="s">
        <v>813</v>
      </c>
      <c r="G434" s="44" t="s">
        <v>16542</v>
      </c>
      <c r="H434" s="44" t="s">
        <v>14822</v>
      </c>
      <c r="I434" s="45"/>
    </row>
    <row r="435">
      <c r="A435" s="41" t="s">
        <v>16543</v>
      </c>
      <c r="B435" s="41" t="s">
        <v>16544</v>
      </c>
      <c r="C435" s="41">
        <v>9.15671722E8</v>
      </c>
      <c r="D435" s="42" t="s">
        <v>16545</v>
      </c>
      <c r="E435" s="41" t="s">
        <v>55</v>
      </c>
      <c r="F435" s="41" t="s">
        <v>55</v>
      </c>
      <c r="G435" s="41" t="s">
        <v>16546</v>
      </c>
      <c r="H435" s="41" t="s">
        <v>14822</v>
      </c>
      <c r="I435" s="43"/>
    </row>
    <row r="436">
      <c r="A436" s="44" t="s">
        <v>16547</v>
      </c>
      <c r="B436" s="44" t="s">
        <v>16548</v>
      </c>
      <c r="C436" s="44">
        <v>6.07545904E8</v>
      </c>
      <c r="D436" s="46" t="s">
        <v>16549</v>
      </c>
      <c r="E436" s="44" t="s">
        <v>6279</v>
      </c>
      <c r="F436" s="44" t="s">
        <v>15475</v>
      </c>
      <c r="G436" s="44" t="s">
        <v>7340</v>
      </c>
      <c r="H436" s="44" t="s">
        <v>14822</v>
      </c>
      <c r="I436" s="45"/>
    </row>
    <row r="437">
      <c r="A437" s="41" t="s">
        <v>16550</v>
      </c>
      <c r="B437" s="41" t="s">
        <v>16551</v>
      </c>
      <c r="C437" s="41">
        <v>9.32684434E8</v>
      </c>
      <c r="D437" s="42" t="s">
        <v>16552</v>
      </c>
      <c r="E437" s="41" t="s">
        <v>16553</v>
      </c>
      <c r="F437" s="41" t="s">
        <v>231</v>
      </c>
      <c r="G437" s="41" t="s">
        <v>16554</v>
      </c>
      <c r="H437" s="41" t="s">
        <v>14822</v>
      </c>
      <c r="I437" s="43"/>
    </row>
    <row r="438">
      <c r="A438" s="44" t="s">
        <v>16555</v>
      </c>
      <c r="B438" s="44" t="s">
        <v>16556</v>
      </c>
      <c r="C438" s="44">
        <v>6.793734E8</v>
      </c>
      <c r="D438" s="46" t="s">
        <v>16557</v>
      </c>
      <c r="E438" s="44" t="s">
        <v>16558</v>
      </c>
      <c r="F438" s="44" t="s">
        <v>1014</v>
      </c>
      <c r="G438" s="44" t="s">
        <v>16559</v>
      </c>
      <c r="H438" s="44" t="s">
        <v>14822</v>
      </c>
      <c r="I438" s="45"/>
    </row>
    <row r="439">
      <c r="A439" s="41" t="s">
        <v>16560</v>
      </c>
      <c r="B439" s="41" t="s">
        <v>16561</v>
      </c>
      <c r="C439" s="41" t="s">
        <v>16562</v>
      </c>
      <c r="D439" s="42" t="s">
        <v>16563</v>
      </c>
      <c r="E439" s="41" t="s">
        <v>1612</v>
      </c>
      <c r="F439" s="41" t="s">
        <v>1612</v>
      </c>
      <c r="G439" s="41" t="s">
        <v>16564</v>
      </c>
      <c r="H439" s="41" t="s">
        <v>14822</v>
      </c>
      <c r="I439" s="43"/>
    </row>
    <row r="440">
      <c r="A440" s="44" t="s">
        <v>16565</v>
      </c>
      <c r="B440" s="44" t="s">
        <v>16566</v>
      </c>
      <c r="C440" s="44">
        <v>6.49381132E8</v>
      </c>
      <c r="D440" s="46" t="s">
        <v>16567</v>
      </c>
      <c r="E440" s="44" t="s">
        <v>16269</v>
      </c>
      <c r="F440" s="44" t="s">
        <v>14905</v>
      </c>
      <c r="G440" s="44" t="s">
        <v>16568</v>
      </c>
      <c r="H440" s="44" t="s">
        <v>14822</v>
      </c>
      <c r="I440" s="45"/>
    </row>
    <row r="441">
      <c r="A441" s="41" t="s">
        <v>16569</v>
      </c>
      <c r="B441" s="41" t="s">
        <v>16570</v>
      </c>
      <c r="C441" s="41">
        <v>6.45826804E8</v>
      </c>
      <c r="D441" s="42" t="s">
        <v>16571</v>
      </c>
      <c r="E441" s="41" t="s">
        <v>16572</v>
      </c>
      <c r="F441" s="41" t="s">
        <v>14975</v>
      </c>
      <c r="G441" s="41" t="s">
        <v>16573</v>
      </c>
      <c r="H441" s="41" t="s">
        <v>14822</v>
      </c>
      <c r="I441" s="43"/>
    </row>
    <row r="442">
      <c r="A442" s="44" t="s">
        <v>16574</v>
      </c>
      <c r="B442" s="44" t="s">
        <v>16575</v>
      </c>
      <c r="C442" s="44">
        <v>6.06333396E8</v>
      </c>
      <c r="D442" s="46" t="s">
        <v>16576</v>
      </c>
      <c r="E442" s="44" t="s">
        <v>8791</v>
      </c>
      <c r="F442" s="44" t="s">
        <v>4123</v>
      </c>
      <c r="G442" s="44" t="s">
        <v>16577</v>
      </c>
      <c r="H442" s="44" t="s">
        <v>14822</v>
      </c>
      <c r="I442" s="45"/>
    </row>
    <row r="443">
      <c r="A443" s="41" t="s">
        <v>16578</v>
      </c>
      <c r="B443" s="41" t="s">
        <v>16579</v>
      </c>
      <c r="C443" s="41" t="s">
        <v>16580</v>
      </c>
      <c r="D443" s="40"/>
      <c r="E443" s="41" t="s">
        <v>9763</v>
      </c>
      <c r="F443" s="41" t="s">
        <v>10629</v>
      </c>
      <c r="G443" s="41" t="s">
        <v>16581</v>
      </c>
      <c r="H443" s="41" t="s">
        <v>14822</v>
      </c>
      <c r="I443" s="43"/>
    </row>
    <row r="444">
      <c r="A444" s="44" t="s">
        <v>16582</v>
      </c>
      <c r="B444" s="44" t="s">
        <v>16583</v>
      </c>
      <c r="C444" s="44">
        <v>6.13026454E8</v>
      </c>
      <c r="D444" s="46" t="s">
        <v>16584</v>
      </c>
      <c r="E444" s="44" t="s">
        <v>7605</v>
      </c>
      <c r="F444" s="44" t="s">
        <v>231</v>
      </c>
      <c r="G444" s="44" t="s">
        <v>16585</v>
      </c>
      <c r="H444" s="44" t="s">
        <v>14822</v>
      </c>
      <c r="I444" s="45"/>
    </row>
    <row r="445">
      <c r="A445" s="41" t="s">
        <v>16586</v>
      </c>
      <c r="B445" s="41" t="s">
        <v>16587</v>
      </c>
      <c r="C445" s="41">
        <v>9.85205396E8</v>
      </c>
      <c r="D445" s="42" t="s">
        <v>16588</v>
      </c>
      <c r="E445" s="41" t="s">
        <v>2294</v>
      </c>
      <c r="F445" s="41" t="s">
        <v>406</v>
      </c>
      <c r="G445" s="41" t="s">
        <v>16589</v>
      </c>
      <c r="H445" s="41" t="s">
        <v>14822</v>
      </c>
      <c r="I445" s="43"/>
    </row>
    <row r="446">
      <c r="A446" s="44" t="s">
        <v>16590</v>
      </c>
      <c r="B446" s="44" t="s">
        <v>16591</v>
      </c>
      <c r="C446" s="44">
        <v>6.56872844E8</v>
      </c>
      <c r="D446" s="45"/>
      <c r="E446" s="44" t="s">
        <v>16592</v>
      </c>
      <c r="F446" s="44" t="s">
        <v>129</v>
      </c>
      <c r="G446" s="44" t="s">
        <v>16593</v>
      </c>
      <c r="H446" s="44" t="s">
        <v>14822</v>
      </c>
      <c r="I446" s="45"/>
    </row>
    <row r="447">
      <c r="A447" s="41" t="s">
        <v>16594</v>
      </c>
      <c r="B447" s="41" t="s">
        <v>16595</v>
      </c>
      <c r="C447" s="41">
        <v>6.17207719E8</v>
      </c>
      <c r="D447" s="42" t="s">
        <v>16596</v>
      </c>
      <c r="E447" s="41" t="s">
        <v>8036</v>
      </c>
      <c r="F447" s="41" t="s">
        <v>55</v>
      </c>
      <c r="G447" s="41" t="s">
        <v>16597</v>
      </c>
      <c r="H447" s="41" t="s">
        <v>14822</v>
      </c>
      <c r="I447" s="43"/>
    </row>
    <row r="448">
      <c r="A448" s="44" t="s">
        <v>16598</v>
      </c>
      <c r="B448" s="44" t="s">
        <v>11409</v>
      </c>
      <c r="C448" s="44">
        <v>6.54925551E8</v>
      </c>
      <c r="D448" s="46" t="s">
        <v>16599</v>
      </c>
      <c r="E448" s="44" t="s">
        <v>16600</v>
      </c>
      <c r="F448" s="44" t="s">
        <v>1009</v>
      </c>
      <c r="G448" s="44" t="s">
        <v>11406</v>
      </c>
      <c r="H448" s="44" t="s">
        <v>14822</v>
      </c>
      <c r="I448" s="45"/>
    </row>
    <row r="449">
      <c r="A449" s="41" t="s">
        <v>1113</v>
      </c>
      <c r="B449" s="41" t="s">
        <v>16601</v>
      </c>
      <c r="C449" s="41">
        <v>8.58125106E8</v>
      </c>
      <c r="D449" s="42" t="s">
        <v>16602</v>
      </c>
      <c r="E449" s="41" t="s">
        <v>1014</v>
      </c>
      <c r="F449" s="41" t="s">
        <v>1014</v>
      </c>
      <c r="G449" s="41" t="s">
        <v>16603</v>
      </c>
      <c r="H449" s="41" t="s">
        <v>14822</v>
      </c>
      <c r="I449" s="43"/>
    </row>
    <row r="450">
      <c r="A450" s="44" t="s">
        <v>16604</v>
      </c>
      <c r="B450" s="44" t="s">
        <v>16605</v>
      </c>
      <c r="C450" s="44">
        <v>6.05350776E8</v>
      </c>
      <c r="D450" s="45"/>
      <c r="E450" s="44" t="s">
        <v>813</v>
      </c>
      <c r="F450" s="44" t="s">
        <v>813</v>
      </c>
      <c r="G450" s="44" t="s">
        <v>16604</v>
      </c>
      <c r="H450" s="44" t="s">
        <v>14822</v>
      </c>
      <c r="I450" s="45"/>
    </row>
    <row r="451">
      <c r="A451" s="41" t="s">
        <v>16606</v>
      </c>
      <c r="B451" s="41" t="s">
        <v>16607</v>
      </c>
      <c r="C451" s="41">
        <v>6.41219424E8</v>
      </c>
      <c r="D451" s="40"/>
      <c r="E451" s="41" t="s">
        <v>16608</v>
      </c>
      <c r="F451" s="41" t="s">
        <v>1427</v>
      </c>
      <c r="G451" s="41" t="s">
        <v>16609</v>
      </c>
      <c r="H451" s="41" t="s">
        <v>14822</v>
      </c>
      <c r="I451" s="43"/>
    </row>
    <row r="452">
      <c r="A452" s="44" t="s">
        <v>16610</v>
      </c>
      <c r="B452" s="44" t="s">
        <v>16611</v>
      </c>
      <c r="C452" s="45">
        <f>+34667490975</f>
        <v>34667490975</v>
      </c>
      <c r="D452" s="45"/>
      <c r="E452" s="44" t="s">
        <v>10933</v>
      </c>
      <c r="F452" s="44" t="s">
        <v>231</v>
      </c>
      <c r="G452" s="44" t="s">
        <v>16612</v>
      </c>
      <c r="H452" s="44" t="s">
        <v>14822</v>
      </c>
      <c r="I452" s="45"/>
    </row>
    <row r="453">
      <c r="A453" s="41" t="s">
        <v>16613</v>
      </c>
      <c r="B453" s="41" t="s">
        <v>16614</v>
      </c>
      <c r="C453" s="41">
        <v>6.67611959E8</v>
      </c>
      <c r="D453" s="40"/>
      <c r="E453" s="41" t="s">
        <v>16615</v>
      </c>
      <c r="F453" s="41" t="s">
        <v>4123</v>
      </c>
      <c r="G453" s="41" t="s">
        <v>16616</v>
      </c>
      <c r="H453" s="41" t="s">
        <v>14822</v>
      </c>
      <c r="I453" s="43"/>
    </row>
    <row r="454">
      <c r="A454" s="44" t="s">
        <v>16617</v>
      </c>
      <c r="B454" s="44" t="s">
        <v>16618</v>
      </c>
      <c r="C454" s="44">
        <v>9.63130083E8</v>
      </c>
      <c r="D454" s="46" t="s">
        <v>16619</v>
      </c>
      <c r="E454" s="44" t="s">
        <v>129</v>
      </c>
      <c r="F454" s="44" t="s">
        <v>129</v>
      </c>
      <c r="G454" s="45"/>
      <c r="H454" s="44" t="s">
        <v>14822</v>
      </c>
      <c r="I454" s="45"/>
    </row>
    <row r="455">
      <c r="A455" s="41" t="s">
        <v>16620</v>
      </c>
      <c r="B455" s="41" t="s">
        <v>16621</v>
      </c>
      <c r="C455" s="41" t="s">
        <v>16622</v>
      </c>
      <c r="D455" s="40"/>
      <c r="E455" s="41" t="s">
        <v>16623</v>
      </c>
      <c r="F455" s="41" t="s">
        <v>1612</v>
      </c>
      <c r="G455" s="41" t="s">
        <v>16624</v>
      </c>
      <c r="H455" s="41" t="s">
        <v>14822</v>
      </c>
      <c r="I455" s="43"/>
    </row>
    <row r="456">
      <c r="A456" s="44" t="s">
        <v>16625</v>
      </c>
      <c r="B456" s="44" t="s">
        <v>16626</v>
      </c>
      <c r="C456" s="44">
        <v>6.29828479E8</v>
      </c>
      <c r="D456" s="46" t="s">
        <v>16627</v>
      </c>
      <c r="E456" s="44" t="s">
        <v>231</v>
      </c>
      <c r="F456" s="44" t="s">
        <v>231</v>
      </c>
      <c r="G456" s="45"/>
      <c r="H456" s="44" t="s">
        <v>14822</v>
      </c>
      <c r="I456" s="45"/>
    </row>
    <row r="457">
      <c r="A457" s="41" t="s">
        <v>16628</v>
      </c>
      <c r="B457" s="41" t="s">
        <v>16629</v>
      </c>
      <c r="C457" s="41" t="s">
        <v>16630</v>
      </c>
      <c r="D457" s="42" t="s">
        <v>16631</v>
      </c>
      <c r="E457" s="41" t="s">
        <v>55</v>
      </c>
      <c r="F457" s="41" t="s">
        <v>55</v>
      </c>
      <c r="G457" s="41" t="s">
        <v>16632</v>
      </c>
      <c r="H457" s="41" t="s">
        <v>14822</v>
      </c>
      <c r="I457" s="43"/>
    </row>
    <row r="458">
      <c r="A458" s="44" t="s">
        <v>16633</v>
      </c>
      <c r="B458" s="44" t="s">
        <v>16634</v>
      </c>
      <c r="C458" s="44">
        <v>6.96312838E8</v>
      </c>
      <c r="D458" s="45"/>
      <c r="E458" s="44" t="s">
        <v>16635</v>
      </c>
      <c r="F458" s="44" t="s">
        <v>5048</v>
      </c>
      <c r="G458" s="44" t="s">
        <v>16636</v>
      </c>
      <c r="H458" s="44" t="s">
        <v>14822</v>
      </c>
      <c r="I458" s="45"/>
    </row>
    <row r="459">
      <c r="A459" s="41" t="s">
        <v>16637</v>
      </c>
      <c r="B459" s="41" t="s">
        <v>16638</v>
      </c>
      <c r="C459" s="41" t="s">
        <v>16639</v>
      </c>
      <c r="D459" s="42" t="s">
        <v>16640</v>
      </c>
      <c r="E459" s="41" t="s">
        <v>698</v>
      </c>
      <c r="F459" s="41" t="s">
        <v>14975</v>
      </c>
      <c r="G459" s="41" t="s">
        <v>16641</v>
      </c>
      <c r="H459" s="41" t="s">
        <v>14822</v>
      </c>
      <c r="I459" s="43"/>
    </row>
    <row r="460">
      <c r="A460" s="44" t="s">
        <v>16642</v>
      </c>
      <c r="B460" s="44" t="s">
        <v>16643</v>
      </c>
      <c r="C460" s="44">
        <v>6.38564269E8</v>
      </c>
      <c r="D460" s="46" t="s">
        <v>16644</v>
      </c>
      <c r="E460" s="44" t="s">
        <v>55</v>
      </c>
      <c r="F460" s="44" t="s">
        <v>55</v>
      </c>
      <c r="G460" s="44" t="s">
        <v>16645</v>
      </c>
      <c r="H460" s="44" t="s">
        <v>14822</v>
      </c>
      <c r="I460" s="45"/>
    </row>
    <row r="461">
      <c r="A461" s="41" t="s">
        <v>16646</v>
      </c>
      <c r="B461" s="41" t="s">
        <v>16647</v>
      </c>
      <c r="C461" s="41">
        <v>6.45615256E8</v>
      </c>
      <c r="D461" s="40"/>
      <c r="E461" s="41" t="s">
        <v>16648</v>
      </c>
      <c r="F461" s="41" t="s">
        <v>813</v>
      </c>
      <c r="G461" s="41" t="s">
        <v>16649</v>
      </c>
      <c r="H461" s="41" t="s">
        <v>14822</v>
      </c>
      <c r="I461" s="43"/>
    </row>
    <row r="462">
      <c r="A462" s="44" t="s">
        <v>16650</v>
      </c>
      <c r="B462" s="44" t="s">
        <v>16651</v>
      </c>
      <c r="C462" s="45">
        <f>+34619951791</f>
        <v>34619951791</v>
      </c>
      <c r="D462" s="46" t="s">
        <v>16652</v>
      </c>
      <c r="E462" s="44" t="s">
        <v>129</v>
      </c>
      <c r="F462" s="44" t="s">
        <v>129</v>
      </c>
      <c r="G462" s="44" t="s">
        <v>16653</v>
      </c>
      <c r="H462" s="44" t="s">
        <v>14822</v>
      </c>
      <c r="I462" s="45"/>
    </row>
    <row r="463">
      <c r="A463" s="41" t="s">
        <v>16654</v>
      </c>
      <c r="B463" s="41" t="s">
        <v>16655</v>
      </c>
      <c r="C463" s="41">
        <v>6.75655724E8</v>
      </c>
      <c r="D463" s="42" t="s">
        <v>16656</v>
      </c>
      <c r="E463" s="41" t="s">
        <v>7388</v>
      </c>
      <c r="F463" s="41" t="s">
        <v>231</v>
      </c>
      <c r="G463" s="41" t="s">
        <v>16657</v>
      </c>
      <c r="H463" s="41" t="s">
        <v>14822</v>
      </c>
      <c r="I463" s="43"/>
    </row>
    <row r="464">
      <c r="A464" s="44" t="s">
        <v>16658</v>
      </c>
      <c r="B464" s="44" t="s">
        <v>14351</v>
      </c>
      <c r="C464" s="45" t="str">
        <f>+34 657382403</f>
        <v>#ERROR!</v>
      </c>
      <c r="D464" s="46" t="s">
        <v>16659</v>
      </c>
      <c r="E464" s="44" t="s">
        <v>55</v>
      </c>
      <c r="F464" s="44" t="s">
        <v>55</v>
      </c>
      <c r="G464" s="44" t="s">
        <v>16660</v>
      </c>
      <c r="H464" s="44" t="s">
        <v>14822</v>
      </c>
      <c r="I464" s="45"/>
    </row>
    <row r="465">
      <c r="A465" s="41" t="s">
        <v>16661</v>
      </c>
      <c r="B465" s="41" t="s">
        <v>12832</v>
      </c>
      <c r="C465" s="41">
        <v>6.56383536E8</v>
      </c>
      <c r="D465" s="42" t="s">
        <v>16662</v>
      </c>
      <c r="E465" s="41" t="s">
        <v>12826</v>
      </c>
      <c r="F465" s="41" t="s">
        <v>55</v>
      </c>
      <c r="G465" s="41" t="s">
        <v>16663</v>
      </c>
      <c r="H465" s="41" t="s">
        <v>14822</v>
      </c>
      <c r="I465" s="43"/>
    </row>
    <row r="466">
      <c r="A466" s="44" t="s">
        <v>16664</v>
      </c>
      <c r="B466" s="44" t="s">
        <v>16665</v>
      </c>
      <c r="C466" s="44">
        <v>6.38870543E8</v>
      </c>
      <c r="D466" s="46" t="s">
        <v>16666</v>
      </c>
      <c r="E466" s="44" t="s">
        <v>16667</v>
      </c>
      <c r="F466" s="44" t="s">
        <v>55</v>
      </c>
      <c r="G466" s="44" t="s">
        <v>16668</v>
      </c>
      <c r="H466" s="44" t="s">
        <v>14822</v>
      </c>
      <c r="I466" s="45"/>
    </row>
    <row r="467">
      <c r="A467" s="41" t="s">
        <v>16669</v>
      </c>
      <c r="B467" s="41" t="s">
        <v>16670</v>
      </c>
      <c r="C467" s="41" t="s">
        <v>16671</v>
      </c>
      <c r="D467" s="42" t="s">
        <v>16672</v>
      </c>
      <c r="E467" s="41" t="s">
        <v>16673</v>
      </c>
      <c r="F467" s="41" t="s">
        <v>14872</v>
      </c>
      <c r="G467" s="41" t="s">
        <v>16674</v>
      </c>
      <c r="H467" s="41" t="s">
        <v>14822</v>
      </c>
      <c r="I467" s="43"/>
    </row>
    <row r="468">
      <c r="A468" s="44" t="s">
        <v>16675</v>
      </c>
      <c r="B468" s="44" t="s">
        <v>16676</v>
      </c>
      <c r="C468" s="44" t="s">
        <v>16677</v>
      </c>
      <c r="D468" s="46" t="s">
        <v>16678</v>
      </c>
      <c r="E468" s="44" t="s">
        <v>55</v>
      </c>
      <c r="F468" s="44" t="s">
        <v>55</v>
      </c>
      <c r="G468" s="44" t="s">
        <v>16675</v>
      </c>
      <c r="H468" s="44" t="s">
        <v>14822</v>
      </c>
      <c r="I468" s="45"/>
    </row>
    <row r="469">
      <c r="A469" s="41" t="s">
        <v>16679</v>
      </c>
      <c r="B469" s="41" t="s">
        <v>16680</v>
      </c>
      <c r="C469" s="41">
        <v>6.79686619E8</v>
      </c>
      <c r="D469" s="42" t="s">
        <v>16681</v>
      </c>
      <c r="E469" s="41" t="s">
        <v>16682</v>
      </c>
      <c r="F469" s="41" t="s">
        <v>231</v>
      </c>
      <c r="G469" s="41" t="s">
        <v>16683</v>
      </c>
      <c r="H469" s="41" t="s">
        <v>14822</v>
      </c>
      <c r="I469" s="43"/>
    </row>
    <row r="470">
      <c r="A470" s="44" t="s">
        <v>16684</v>
      </c>
      <c r="B470" s="44" t="s">
        <v>16685</v>
      </c>
      <c r="C470" s="44">
        <v>6.37174906E8</v>
      </c>
      <c r="D470" s="46" t="s">
        <v>16686</v>
      </c>
      <c r="E470" s="44" t="s">
        <v>55</v>
      </c>
      <c r="F470" s="44" t="s">
        <v>55</v>
      </c>
      <c r="G470" s="44" t="s">
        <v>16687</v>
      </c>
      <c r="H470" s="44" t="s">
        <v>14822</v>
      </c>
      <c r="I470" s="45"/>
    </row>
    <row r="471">
      <c r="A471" s="41" t="s">
        <v>16688</v>
      </c>
      <c r="B471" s="41" t="s">
        <v>12015</v>
      </c>
      <c r="C471" s="41">
        <v>6.39275262E8</v>
      </c>
      <c r="D471" s="42" t="s">
        <v>16689</v>
      </c>
      <c r="E471" s="41" t="s">
        <v>12018</v>
      </c>
      <c r="F471" s="41" t="s">
        <v>55</v>
      </c>
      <c r="G471" s="41" t="s">
        <v>16690</v>
      </c>
      <c r="H471" s="41" t="s">
        <v>14822</v>
      </c>
      <c r="I471" s="43"/>
    </row>
    <row r="472">
      <c r="A472" s="44" t="s">
        <v>16691</v>
      </c>
      <c r="B472" s="44" t="s">
        <v>16692</v>
      </c>
      <c r="C472" s="44" t="s">
        <v>16693</v>
      </c>
      <c r="D472" s="46" t="s">
        <v>16694</v>
      </c>
      <c r="E472" s="44" t="s">
        <v>16695</v>
      </c>
      <c r="F472" s="44" t="s">
        <v>129</v>
      </c>
      <c r="G472" s="44" t="s">
        <v>16696</v>
      </c>
      <c r="H472" s="44" t="s">
        <v>14822</v>
      </c>
      <c r="I472" s="45"/>
    </row>
    <row r="473">
      <c r="A473" s="41" t="s">
        <v>16697</v>
      </c>
      <c r="B473" s="41" t="s">
        <v>16698</v>
      </c>
      <c r="C473" s="41">
        <v>6.39750781E8</v>
      </c>
      <c r="D473" s="42" t="s">
        <v>16699</v>
      </c>
      <c r="E473" s="41" t="s">
        <v>16700</v>
      </c>
      <c r="F473" s="41" t="s">
        <v>15475</v>
      </c>
      <c r="G473" s="41" t="s">
        <v>16701</v>
      </c>
      <c r="H473" s="41" t="s">
        <v>14822</v>
      </c>
      <c r="I473" s="43"/>
    </row>
    <row r="474">
      <c r="A474" s="44" t="s">
        <v>16702</v>
      </c>
      <c r="B474" s="44" t="s">
        <v>16703</v>
      </c>
      <c r="C474" s="44">
        <v>6.26695242E8</v>
      </c>
      <c r="D474" s="46" t="s">
        <v>16704</v>
      </c>
      <c r="E474" s="44" t="s">
        <v>231</v>
      </c>
      <c r="F474" s="44" t="s">
        <v>231</v>
      </c>
      <c r="G474" s="44" t="s">
        <v>16702</v>
      </c>
      <c r="H474" s="44" t="s">
        <v>14822</v>
      </c>
      <c r="I474" s="45"/>
    </row>
    <row r="475">
      <c r="A475" s="41" t="s">
        <v>16705</v>
      </c>
      <c r="B475" s="41" t="s">
        <v>16706</v>
      </c>
      <c r="C475" s="41">
        <v>6.66717675E8</v>
      </c>
      <c r="D475" s="42" t="s">
        <v>16707</v>
      </c>
      <c r="E475" s="41" t="s">
        <v>16708</v>
      </c>
      <c r="F475" s="41" t="s">
        <v>395</v>
      </c>
      <c r="G475" s="41" t="s">
        <v>16709</v>
      </c>
      <c r="H475" s="41" t="s">
        <v>14822</v>
      </c>
      <c r="I475" s="43"/>
    </row>
    <row r="476">
      <c r="A476" s="44" t="s">
        <v>16710</v>
      </c>
      <c r="B476" s="44" t="s">
        <v>16711</v>
      </c>
      <c r="C476" s="44">
        <v>6.30265547E8</v>
      </c>
      <c r="D476" s="46" t="s">
        <v>16712</v>
      </c>
      <c r="E476" s="44" t="s">
        <v>8066</v>
      </c>
      <c r="F476" s="44" t="s">
        <v>231</v>
      </c>
      <c r="G476" s="44" t="s">
        <v>16713</v>
      </c>
      <c r="H476" s="44" t="s">
        <v>14822</v>
      </c>
      <c r="I476" s="45"/>
    </row>
    <row r="477">
      <c r="A477" s="41" t="s">
        <v>16714</v>
      </c>
      <c r="B477" s="41" t="s">
        <v>16715</v>
      </c>
      <c r="C477" s="41">
        <v>6.4804309E8</v>
      </c>
      <c r="D477" s="42" t="s">
        <v>16716</v>
      </c>
      <c r="E477" s="41" t="s">
        <v>813</v>
      </c>
      <c r="F477" s="41" t="s">
        <v>813</v>
      </c>
      <c r="G477" s="41" t="s">
        <v>16717</v>
      </c>
      <c r="H477" s="41" t="s">
        <v>14822</v>
      </c>
      <c r="I477" s="43"/>
    </row>
    <row r="478">
      <c r="A478" s="44" t="s">
        <v>16718</v>
      </c>
      <c r="B478" s="44" t="s">
        <v>16719</v>
      </c>
      <c r="C478" s="44">
        <v>6.79513861E8</v>
      </c>
      <c r="D478" s="46" t="s">
        <v>16720</v>
      </c>
      <c r="E478" s="44" t="s">
        <v>16721</v>
      </c>
      <c r="F478" s="44" t="s">
        <v>231</v>
      </c>
      <c r="G478" s="44" t="s">
        <v>16722</v>
      </c>
      <c r="H478" s="44" t="s">
        <v>14822</v>
      </c>
      <c r="I478" s="45"/>
    </row>
    <row r="479">
      <c r="A479" s="41" t="s">
        <v>16723</v>
      </c>
      <c r="B479" s="41" t="s">
        <v>16724</v>
      </c>
      <c r="C479" s="41">
        <v>6.332522E8</v>
      </c>
      <c r="D479" s="42" t="s">
        <v>16725</v>
      </c>
      <c r="E479" s="41" t="s">
        <v>13603</v>
      </c>
      <c r="F479" s="41" t="s">
        <v>15475</v>
      </c>
      <c r="G479" s="41" t="s">
        <v>16726</v>
      </c>
      <c r="H479" s="41" t="s">
        <v>14822</v>
      </c>
      <c r="I479" s="43"/>
    </row>
    <row r="480">
      <c r="A480" s="44" t="s">
        <v>16727</v>
      </c>
      <c r="B480" s="44" t="s">
        <v>16728</v>
      </c>
      <c r="C480" s="44">
        <v>9.65251755E8</v>
      </c>
      <c r="D480" s="46" t="s">
        <v>16729</v>
      </c>
      <c r="E480" s="44" t="s">
        <v>1612</v>
      </c>
      <c r="F480" s="44" t="s">
        <v>1612</v>
      </c>
      <c r="G480" s="45"/>
      <c r="H480" s="44" t="s">
        <v>14822</v>
      </c>
      <c r="I480" s="45"/>
    </row>
    <row r="481">
      <c r="A481" s="41" t="s">
        <v>16730</v>
      </c>
      <c r="B481" s="41" t="s">
        <v>16731</v>
      </c>
      <c r="C481" s="41">
        <v>6.77080906E8</v>
      </c>
      <c r="D481" s="40"/>
      <c r="E481" s="41" t="s">
        <v>813</v>
      </c>
      <c r="F481" s="41" t="s">
        <v>813</v>
      </c>
      <c r="G481" s="41" t="s">
        <v>16730</v>
      </c>
      <c r="H481" s="41" t="s">
        <v>14822</v>
      </c>
      <c r="I481" s="43"/>
    </row>
    <row r="482">
      <c r="A482" s="44" t="s">
        <v>16732</v>
      </c>
      <c r="B482" s="44" t="s">
        <v>16733</v>
      </c>
      <c r="C482" s="44">
        <v>6.25832148E8</v>
      </c>
      <c r="D482" s="46" t="s">
        <v>16734</v>
      </c>
      <c r="E482" s="44" t="s">
        <v>231</v>
      </c>
      <c r="F482" s="44" t="s">
        <v>231</v>
      </c>
      <c r="G482" s="45"/>
      <c r="H482" s="44" t="s">
        <v>14822</v>
      </c>
      <c r="I482" s="45"/>
    </row>
    <row r="483">
      <c r="A483" s="41" t="s">
        <v>16735</v>
      </c>
      <c r="B483" s="41" t="s">
        <v>16736</v>
      </c>
      <c r="C483" s="41">
        <v>6.90314238E8</v>
      </c>
      <c r="D483" s="40"/>
      <c r="E483" s="41" t="s">
        <v>16737</v>
      </c>
      <c r="F483" s="41" t="s">
        <v>14826</v>
      </c>
      <c r="G483" s="41" t="s">
        <v>16738</v>
      </c>
      <c r="H483" s="41" t="s">
        <v>14822</v>
      </c>
      <c r="I483" s="43"/>
    </row>
    <row r="484">
      <c r="A484" s="44" t="s">
        <v>16739</v>
      </c>
      <c r="B484" s="44" t="s">
        <v>16740</v>
      </c>
      <c r="C484" s="44">
        <v>6.64304099E8</v>
      </c>
      <c r="D484" s="46" t="s">
        <v>16741</v>
      </c>
      <c r="E484" s="44" t="s">
        <v>16742</v>
      </c>
      <c r="F484" s="44" t="s">
        <v>231</v>
      </c>
      <c r="G484" s="44" t="s">
        <v>16743</v>
      </c>
      <c r="H484" s="44" t="s">
        <v>14822</v>
      </c>
      <c r="I484" s="45"/>
    </row>
    <row r="485">
      <c r="A485" s="41" t="s">
        <v>16645</v>
      </c>
      <c r="B485" s="41" t="s">
        <v>16744</v>
      </c>
      <c r="C485" s="41">
        <v>6.38564269E8</v>
      </c>
      <c r="D485" s="42" t="s">
        <v>16745</v>
      </c>
      <c r="E485" s="41" t="s">
        <v>55</v>
      </c>
      <c r="F485" s="41" t="s">
        <v>55</v>
      </c>
      <c r="G485" s="41" t="s">
        <v>16746</v>
      </c>
      <c r="H485" s="41" t="s">
        <v>14822</v>
      </c>
      <c r="I485" s="43"/>
    </row>
    <row r="486">
      <c r="A486" s="44" t="s">
        <v>16747</v>
      </c>
      <c r="B486" s="44" t="s">
        <v>16748</v>
      </c>
      <c r="C486" s="44">
        <v>6.27268319E8</v>
      </c>
      <c r="D486" s="45"/>
      <c r="E486" s="44" t="s">
        <v>55</v>
      </c>
      <c r="F486" s="44" t="s">
        <v>55</v>
      </c>
      <c r="G486" s="44" t="s">
        <v>16747</v>
      </c>
      <c r="H486" s="44" t="s">
        <v>14822</v>
      </c>
      <c r="I486" s="45"/>
    </row>
    <row r="487">
      <c r="A487" s="41" t="s">
        <v>16749</v>
      </c>
      <c r="B487" s="41" t="s">
        <v>16750</v>
      </c>
      <c r="C487" s="41">
        <v>9.3481704E8</v>
      </c>
      <c r="D487" s="42" t="s">
        <v>16751</v>
      </c>
      <c r="E487" s="41" t="s">
        <v>231</v>
      </c>
      <c r="F487" s="41" t="s">
        <v>231</v>
      </c>
      <c r="G487" s="40"/>
      <c r="H487" s="41" t="s">
        <v>14822</v>
      </c>
      <c r="I487" s="43"/>
    </row>
    <row r="488">
      <c r="A488" s="44" t="s">
        <v>16752</v>
      </c>
      <c r="B488" s="44" t="s">
        <v>16753</v>
      </c>
      <c r="C488" s="44" t="s">
        <v>8155</v>
      </c>
      <c r="D488" s="46" t="s">
        <v>16754</v>
      </c>
      <c r="E488" s="44" t="s">
        <v>377</v>
      </c>
      <c r="F488" s="44" t="s">
        <v>15475</v>
      </c>
      <c r="G488" s="45"/>
      <c r="H488" s="44" t="s">
        <v>14822</v>
      </c>
      <c r="I488" s="45"/>
    </row>
    <row r="489">
      <c r="A489" s="41" t="s">
        <v>16755</v>
      </c>
      <c r="B489" s="41" t="s">
        <v>16756</v>
      </c>
      <c r="C489" s="41" t="s">
        <v>16757</v>
      </c>
      <c r="D489" s="40"/>
      <c r="E489" s="41" t="s">
        <v>16758</v>
      </c>
      <c r="F489" s="41" t="s">
        <v>14915</v>
      </c>
      <c r="G489" s="41" t="s">
        <v>16755</v>
      </c>
      <c r="H489" s="41" t="s">
        <v>14822</v>
      </c>
      <c r="I489" s="43"/>
    </row>
    <row r="490">
      <c r="A490" s="44" t="s">
        <v>16759</v>
      </c>
      <c r="B490" s="44" t="s">
        <v>16760</v>
      </c>
      <c r="C490" s="44" t="s">
        <v>16761</v>
      </c>
      <c r="D490" s="46" t="s">
        <v>16762</v>
      </c>
      <c r="E490" s="44" t="s">
        <v>698</v>
      </c>
      <c r="F490" s="44" t="s">
        <v>14975</v>
      </c>
      <c r="G490" s="44" t="s">
        <v>16763</v>
      </c>
      <c r="H490" s="44" t="s">
        <v>14822</v>
      </c>
      <c r="I490" s="45"/>
    </row>
    <row r="491">
      <c r="A491" s="41" t="s">
        <v>16764</v>
      </c>
      <c r="B491" s="41" t="s">
        <v>16765</v>
      </c>
      <c r="C491" s="41">
        <v>6.226676E8</v>
      </c>
      <c r="D491" s="42" t="s">
        <v>16766</v>
      </c>
      <c r="E491" s="41" t="s">
        <v>16148</v>
      </c>
      <c r="F491" s="41" t="s">
        <v>10629</v>
      </c>
      <c r="G491" s="41" t="s">
        <v>16767</v>
      </c>
      <c r="H491" s="41" t="s">
        <v>14822</v>
      </c>
      <c r="I491" s="43"/>
    </row>
    <row r="492">
      <c r="A492" s="44" t="s">
        <v>16657</v>
      </c>
      <c r="B492" s="44" t="s">
        <v>16768</v>
      </c>
      <c r="C492" s="44">
        <v>6.75655724E8</v>
      </c>
      <c r="D492" s="45"/>
      <c r="E492" s="44" t="s">
        <v>231</v>
      </c>
      <c r="F492" s="44" t="s">
        <v>231</v>
      </c>
      <c r="G492" s="44" t="s">
        <v>16657</v>
      </c>
      <c r="H492" s="44" t="s">
        <v>14822</v>
      </c>
      <c r="I492" s="45"/>
    </row>
    <row r="493">
      <c r="A493" s="41" t="s">
        <v>16769</v>
      </c>
      <c r="B493" s="41" t="s">
        <v>10139</v>
      </c>
      <c r="C493" s="41">
        <v>9.15619728E8</v>
      </c>
      <c r="D493" s="42" t="s">
        <v>16770</v>
      </c>
      <c r="E493" s="41" t="s">
        <v>55</v>
      </c>
      <c r="F493" s="41" t="s">
        <v>55</v>
      </c>
      <c r="G493" s="40"/>
      <c r="H493" s="41" t="s">
        <v>14822</v>
      </c>
      <c r="I493" s="43"/>
    </row>
    <row r="494">
      <c r="A494" s="44" t="s">
        <v>16771</v>
      </c>
      <c r="B494" s="44" t="s">
        <v>16772</v>
      </c>
      <c r="C494" s="44" t="s">
        <v>16773</v>
      </c>
      <c r="D494" s="45"/>
      <c r="E494" s="44" t="s">
        <v>1014</v>
      </c>
      <c r="F494" s="44" t="s">
        <v>1014</v>
      </c>
      <c r="G494" s="44" t="s">
        <v>16774</v>
      </c>
      <c r="H494" s="44" t="s">
        <v>14822</v>
      </c>
      <c r="I494" s="45"/>
    </row>
    <row r="495">
      <c r="A495" s="41" t="s">
        <v>16775</v>
      </c>
      <c r="B495" s="41" t="s">
        <v>16776</v>
      </c>
      <c r="C495" s="41">
        <v>6.55807505E8</v>
      </c>
      <c r="D495" s="40"/>
      <c r="E495" s="41" t="s">
        <v>16777</v>
      </c>
      <c r="F495" s="41" t="s">
        <v>55</v>
      </c>
      <c r="G495" s="41" t="s">
        <v>16778</v>
      </c>
      <c r="H495" s="41" t="s">
        <v>14822</v>
      </c>
      <c r="I495" s="43"/>
    </row>
    <row r="496">
      <c r="A496" s="44" t="s">
        <v>16779</v>
      </c>
      <c r="B496" s="44" t="s">
        <v>16780</v>
      </c>
      <c r="C496" s="44">
        <v>6.16599751E8</v>
      </c>
      <c r="D496" s="46" t="s">
        <v>16781</v>
      </c>
      <c r="E496" s="44" t="s">
        <v>395</v>
      </c>
      <c r="F496" s="44" t="s">
        <v>395</v>
      </c>
      <c r="G496" s="44" t="s">
        <v>16782</v>
      </c>
      <c r="H496" s="44" t="s">
        <v>14822</v>
      </c>
      <c r="I496" s="45"/>
    </row>
    <row r="497">
      <c r="A497" s="41" t="s">
        <v>16783</v>
      </c>
      <c r="B497" s="41" t="s">
        <v>16784</v>
      </c>
      <c r="C497" s="41">
        <v>9.28202341E8</v>
      </c>
      <c r="D497" s="42" t="s">
        <v>16785</v>
      </c>
      <c r="E497" s="41" t="s">
        <v>489</v>
      </c>
      <c r="F497" s="41" t="s">
        <v>10629</v>
      </c>
      <c r="G497" s="41" t="s">
        <v>16786</v>
      </c>
      <c r="H497" s="41" t="s">
        <v>14822</v>
      </c>
      <c r="I497" s="43"/>
    </row>
    <row r="498">
      <c r="A498" s="44" t="s">
        <v>16787</v>
      </c>
      <c r="B498" s="44" t="s">
        <v>16788</v>
      </c>
      <c r="C498" s="44">
        <v>9.3467277E8</v>
      </c>
      <c r="D498" s="46" t="s">
        <v>16789</v>
      </c>
      <c r="E498" s="44" t="s">
        <v>8066</v>
      </c>
      <c r="F498" s="44" t="s">
        <v>231</v>
      </c>
      <c r="G498" s="44" t="s">
        <v>16790</v>
      </c>
      <c r="H498" s="44" t="s">
        <v>14822</v>
      </c>
      <c r="I498" s="45"/>
    </row>
    <row r="499">
      <c r="A499" s="41" t="s">
        <v>16791</v>
      </c>
      <c r="B499" s="41" t="s">
        <v>16792</v>
      </c>
      <c r="C499" s="41" t="s">
        <v>16793</v>
      </c>
      <c r="D499" s="42" t="s">
        <v>16794</v>
      </c>
      <c r="E499" s="41" t="s">
        <v>3426</v>
      </c>
      <c r="F499" s="41" t="s">
        <v>129</v>
      </c>
      <c r="G499" s="41" t="s">
        <v>16795</v>
      </c>
      <c r="H499" s="41" t="s">
        <v>14822</v>
      </c>
      <c r="I499" s="43"/>
    </row>
    <row r="500">
      <c r="A500" s="44" t="s">
        <v>16796</v>
      </c>
      <c r="B500" s="44" t="s">
        <v>16797</v>
      </c>
      <c r="C500" s="44">
        <v>9.15237085E8</v>
      </c>
      <c r="D500" s="45"/>
      <c r="E500" s="44" t="s">
        <v>55</v>
      </c>
      <c r="F500" s="44" t="s">
        <v>55</v>
      </c>
      <c r="G500" s="44" t="s">
        <v>16798</v>
      </c>
      <c r="H500" s="44" t="s">
        <v>14822</v>
      </c>
      <c r="I500" s="45"/>
    </row>
    <row r="501">
      <c r="A501" s="41" t="s">
        <v>16799</v>
      </c>
      <c r="B501" s="41" t="s">
        <v>16800</v>
      </c>
      <c r="C501" s="41">
        <v>6.36126955E8</v>
      </c>
      <c r="D501" s="42" t="s">
        <v>16801</v>
      </c>
      <c r="E501" s="41" t="s">
        <v>231</v>
      </c>
      <c r="F501" s="41" t="s">
        <v>231</v>
      </c>
      <c r="G501" s="41" t="s">
        <v>16802</v>
      </c>
      <c r="H501" s="41" t="s">
        <v>14822</v>
      </c>
      <c r="I501" s="43"/>
    </row>
    <row r="502">
      <c r="A502" s="44" t="s">
        <v>16803</v>
      </c>
      <c r="B502" s="44" t="s">
        <v>16804</v>
      </c>
      <c r="C502" s="44" t="s">
        <v>16805</v>
      </c>
      <c r="D502" s="46" t="s">
        <v>16806</v>
      </c>
      <c r="E502" s="44" t="s">
        <v>15940</v>
      </c>
      <c r="F502" s="44" t="s">
        <v>14975</v>
      </c>
      <c r="G502" s="44" t="s">
        <v>16807</v>
      </c>
      <c r="H502" s="44" t="s">
        <v>14822</v>
      </c>
      <c r="I502" s="45"/>
    </row>
    <row r="503">
      <c r="A503" s="41" t="s">
        <v>16808</v>
      </c>
      <c r="B503" s="41" t="s">
        <v>16809</v>
      </c>
      <c r="C503" s="41" t="s">
        <v>16810</v>
      </c>
      <c r="D503" s="42" t="s">
        <v>16811</v>
      </c>
      <c r="E503" s="41" t="s">
        <v>16812</v>
      </c>
      <c r="F503" s="41" t="s">
        <v>55</v>
      </c>
      <c r="G503" s="41" t="s">
        <v>16813</v>
      </c>
      <c r="H503" s="41" t="s">
        <v>14822</v>
      </c>
      <c r="I503" s="43"/>
    </row>
    <row r="504">
      <c r="A504" s="44" t="s">
        <v>16814</v>
      </c>
      <c r="B504" s="44" t="s">
        <v>16815</v>
      </c>
      <c r="C504" s="44">
        <v>6.09061145E8</v>
      </c>
      <c r="D504" s="46" t="s">
        <v>16816</v>
      </c>
      <c r="E504" s="44" t="s">
        <v>16817</v>
      </c>
      <c r="F504" s="44" t="s">
        <v>100</v>
      </c>
      <c r="G504" s="44" t="s">
        <v>16818</v>
      </c>
      <c r="H504" s="44" t="s">
        <v>14822</v>
      </c>
      <c r="I504" s="45"/>
    </row>
    <row r="505">
      <c r="A505" s="41" t="s">
        <v>16819</v>
      </c>
      <c r="B505" s="41" t="s">
        <v>16820</v>
      </c>
      <c r="C505" s="41">
        <v>6.44517021E8</v>
      </c>
      <c r="D505" s="42" t="s">
        <v>16821</v>
      </c>
      <c r="E505" s="41" t="s">
        <v>8107</v>
      </c>
      <c r="F505" s="41" t="s">
        <v>129</v>
      </c>
      <c r="G505" s="41" t="s">
        <v>16822</v>
      </c>
      <c r="H505" s="41" t="s">
        <v>14822</v>
      </c>
      <c r="I505" s="43"/>
    </row>
    <row r="506">
      <c r="A506" s="44" t="s">
        <v>16823</v>
      </c>
      <c r="B506" s="44" t="s">
        <v>16824</v>
      </c>
      <c r="C506" s="44" t="s">
        <v>16825</v>
      </c>
      <c r="D506" s="46" t="s">
        <v>16826</v>
      </c>
      <c r="E506" s="44" t="s">
        <v>129</v>
      </c>
      <c r="F506" s="44" t="s">
        <v>129</v>
      </c>
      <c r="G506" s="44" t="s">
        <v>16827</v>
      </c>
      <c r="H506" s="44" t="s">
        <v>14822</v>
      </c>
      <c r="I506" s="45"/>
    </row>
    <row r="507">
      <c r="A507" s="41" t="s">
        <v>16828</v>
      </c>
      <c r="B507" s="41" t="s">
        <v>16829</v>
      </c>
      <c r="C507" s="41">
        <v>9.13193653E8</v>
      </c>
      <c r="D507" s="42" t="s">
        <v>16830</v>
      </c>
      <c r="E507" s="41" t="s">
        <v>55</v>
      </c>
      <c r="F507" s="41" t="s">
        <v>55</v>
      </c>
      <c r="G507" s="40"/>
      <c r="H507" s="41" t="s">
        <v>14822</v>
      </c>
      <c r="I507" s="43"/>
    </row>
    <row r="508">
      <c r="A508" s="44" t="s">
        <v>16831</v>
      </c>
      <c r="B508" s="44" t="s">
        <v>16832</v>
      </c>
      <c r="C508" s="44">
        <v>6.26436784E8</v>
      </c>
      <c r="D508" s="46" t="s">
        <v>16833</v>
      </c>
      <c r="E508" s="44" t="s">
        <v>55</v>
      </c>
      <c r="F508" s="44" t="s">
        <v>55</v>
      </c>
      <c r="G508" s="44" t="s">
        <v>16834</v>
      </c>
      <c r="H508" s="44" t="s">
        <v>14822</v>
      </c>
      <c r="I508" s="45"/>
    </row>
    <row r="509">
      <c r="A509" s="41" t="s">
        <v>16835</v>
      </c>
      <c r="B509" s="41" t="s">
        <v>16836</v>
      </c>
      <c r="C509" s="41" t="s">
        <v>16837</v>
      </c>
      <c r="D509" s="42" t="s">
        <v>16838</v>
      </c>
      <c r="E509" s="41" t="s">
        <v>55</v>
      </c>
      <c r="F509" s="41" t="s">
        <v>55</v>
      </c>
      <c r="G509" s="41" t="s">
        <v>16839</v>
      </c>
      <c r="H509" s="41" t="s">
        <v>14822</v>
      </c>
      <c r="I509" s="43"/>
    </row>
    <row r="510">
      <c r="A510" s="44" t="s">
        <v>16840</v>
      </c>
      <c r="B510" s="44" t="s">
        <v>16841</v>
      </c>
      <c r="C510" s="44">
        <v>9.76587587E8</v>
      </c>
      <c r="D510" s="46" t="s">
        <v>16842</v>
      </c>
      <c r="E510" s="44" t="s">
        <v>2162</v>
      </c>
      <c r="F510" s="44" t="s">
        <v>2162</v>
      </c>
      <c r="G510" s="45"/>
      <c r="H510" s="44" t="s">
        <v>14822</v>
      </c>
      <c r="I510" s="45"/>
    </row>
    <row r="511">
      <c r="A511" s="41" t="s">
        <v>16843</v>
      </c>
      <c r="B511" s="41" t="s">
        <v>16844</v>
      </c>
      <c r="C511" s="41" t="s">
        <v>16845</v>
      </c>
      <c r="D511" s="42" t="s">
        <v>16846</v>
      </c>
      <c r="E511" s="41" t="s">
        <v>55</v>
      </c>
      <c r="F511" s="41" t="s">
        <v>55</v>
      </c>
      <c r="G511" s="41" t="s">
        <v>16847</v>
      </c>
      <c r="H511" s="41" t="s">
        <v>14822</v>
      </c>
      <c r="I511" s="43"/>
    </row>
    <row r="512">
      <c r="A512" s="44" t="s">
        <v>16848</v>
      </c>
      <c r="B512" s="44" t="s">
        <v>16849</v>
      </c>
      <c r="C512" s="44" t="s">
        <v>16850</v>
      </c>
      <c r="D512" s="46" t="s">
        <v>16851</v>
      </c>
      <c r="E512" s="44" t="s">
        <v>6292</v>
      </c>
      <c r="F512" s="44" t="s">
        <v>14975</v>
      </c>
      <c r="G512" s="44" t="s">
        <v>16852</v>
      </c>
      <c r="H512" s="44" t="s">
        <v>14822</v>
      </c>
      <c r="I512" s="45"/>
    </row>
    <row r="513">
      <c r="A513" s="41" t="s">
        <v>16853</v>
      </c>
      <c r="B513" s="41" t="s">
        <v>16854</v>
      </c>
      <c r="C513" s="41">
        <v>6.99661154E8</v>
      </c>
      <c r="D513" s="40"/>
      <c r="E513" s="41" t="s">
        <v>2294</v>
      </c>
      <c r="F513" s="41" t="s">
        <v>406</v>
      </c>
      <c r="G513" s="41" t="s">
        <v>16855</v>
      </c>
      <c r="H513" s="41" t="s">
        <v>14822</v>
      </c>
      <c r="I513" s="43"/>
    </row>
    <row r="514">
      <c r="A514" s="44" t="s">
        <v>16856</v>
      </c>
      <c r="B514" s="44" t="s">
        <v>16857</v>
      </c>
      <c r="C514" s="44">
        <v>6.9814766E8</v>
      </c>
      <c r="D514" s="46" t="s">
        <v>16858</v>
      </c>
      <c r="E514" s="44" t="s">
        <v>16859</v>
      </c>
      <c r="F514" s="44" t="s">
        <v>14905</v>
      </c>
      <c r="G514" s="44" t="s">
        <v>16860</v>
      </c>
      <c r="H514" s="44" t="s">
        <v>14822</v>
      </c>
      <c r="I514" s="45"/>
    </row>
    <row r="515">
      <c r="A515" s="41" t="s">
        <v>16861</v>
      </c>
      <c r="B515" s="41" t="s">
        <v>16862</v>
      </c>
      <c r="C515" s="41">
        <v>6.78630225E8</v>
      </c>
      <c r="D515" s="42" t="s">
        <v>16863</v>
      </c>
      <c r="E515" s="41" t="s">
        <v>55</v>
      </c>
      <c r="F515" s="41" t="s">
        <v>55</v>
      </c>
      <c r="G515" s="40"/>
      <c r="H515" s="41" t="s">
        <v>14822</v>
      </c>
      <c r="I515" s="43"/>
    </row>
    <row r="516">
      <c r="A516" s="44" t="s">
        <v>16864</v>
      </c>
      <c r="B516" s="44" t="s">
        <v>16865</v>
      </c>
      <c r="C516" s="44">
        <v>6.36958072E8</v>
      </c>
      <c r="D516" s="46" t="s">
        <v>16866</v>
      </c>
      <c r="E516" s="44" t="s">
        <v>16867</v>
      </c>
      <c r="F516" s="44" t="s">
        <v>231</v>
      </c>
      <c r="G516" s="44" t="s">
        <v>16868</v>
      </c>
      <c r="H516" s="44" t="s">
        <v>14822</v>
      </c>
      <c r="I516" s="45"/>
    </row>
    <row r="517">
      <c r="A517" s="41" t="s">
        <v>16869</v>
      </c>
      <c r="B517" s="41" t="s">
        <v>16870</v>
      </c>
      <c r="C517" s="41">
        <v>6.10750009E8</v>
      </c>
      <c r="D517" s="42" t="s">
        <v>16871</v>
      </c>
      <c r="E517" s="41" t="s">
        <v>163</v>
      </c>
      <c r="F517" s="41" t="s">
        <v>163</v>
      </c>
      <c r="G517" s="41" t="s">
        <v>16872</v>
      </c>
      <c r="H517" s="41" t="s">
        <v>14822</v>
      </c>
      <c r="I517" s="43"/>
    </row>
    <row r="518">
      <c r="A518" s="44" t="s">
        <v>16873</v>
      </c>
      <c r="B518" s="44" t="s">
        <v>16874</v>
      </c>
      <c r="C518" s="44">
        <v>6.59785772E8</v>
      </c>
      <c r="D518" s="46" t="s">
        <v>16875</v>
      </c>
      <c r="E518" s="44" t="s">
        <v>55</v>
      </c>
      <c r="F518" s="44" t="s">
        <v>55</v>
      </c>
      <c r="G518" s="44" t="s">
        <v>16876</v>
      </c>
      <c r="H518" s="44" t="s">
        <v>14822</v>
      </c>
      <c r="I518" s="45"/>
    </row>
    <row r="519">
      <c r="A519" s="41" t="s">
        <v>16877</v>
      </c>
      <c r="B519" s="41" t="s">
        <v>16878</v>
      </c>
      <c r="C519" s="41">
        <v>6.50268637E8</v>
      </c>
      <c r="D519" s="40"/>
      <c r="E519" s="41" t="s">
        <v>9580</v>
      </c>
      <c r="F519" s="41" t="s">
        <v>813</v>
      </c>
      <c r="G519" s="41" t="s">
        <v>16879</v>
      </c>
      <c r="H519" s="41" t="s">
        <v>14822</v>
      </c>
      <c r="I519" s="43"/>
    </row>
    <row r="520">
      <c r="A520" s="44" t="s">
        <v>16880</v>
      </c>
      <c r="B520" s="44" t="s">
        <v>16881</v>
      </c>
      <c r="C520" s="44">
        <v>6.25070041E8</v>
      </c>
      <c r="D520" s="45"/>
      <c r="E520" s="44" t="s">
        <v>16882</v>
      </c>
      <c r="F520" s="44" t="s">
        <v>55</v>
      </c>
      <c r="G520" s="44" t="s">
        <v>16883</v>
      </c>
      <c r="H520" s="44" t="s">
        <v>14822</v>
      </c>
      <c r="I520" s="45"/>
    </row>
    <row r="521">
      <c r="A521" s="41" t="s">
        <v>16884</v>
      </c>
      <c r="B521" s="41" t="s">
        <v>16885</v>
      </c>
      <c r="C521" s="41">
        <v>6.29742666E8</v>
      </c>
      <c r="D521" s="42" t="s">
        <v>16886</v>
      </c>
      <c r="E521" s="41" t="s">
        <v>7067</v>
      </c>
      <c r="F521" s="41" t="s">
        <v>231</v>
      </c>
      <c r="G521" s="41" t="s">
        <v>16887</v>
      </c>
      <c r="H521" s="41" t="s">
        <v>14822</v>
      </c>
      <c r="I521" s="43"/>
    </row>
    <row r="522">
      <c r="A522" s="44" t="s">
        <v>16888</v>
      </c>
      <c r="B522" s="44" t="s">
        <v>16889</v>
      </c>
      <c r="C522" s="44">
        <v>6.71544245E8</v>
      </c>
      <c r="D522" s="45"/>
      <c r="E522" s="44" t="s">
        <v>16890</v>
      </c>
      <c r="F522" s="44" t="s">
        <v>5480</v>
      </c>
      <c r="G522" s="44" t="s">
        <v>16888</v>
      </c>
      <c r="H522" s="44" t="s">
        <v>14822</v>
      </c>
      <c r="I522" s="45"/>
    </row>
    <row r="523">
      <c r="A523" s="41" t="s">
        <v>16891</v>
      </c>
      <c r="B523" s="41" t="s">
        <v>16892</v>
      </c>
      <c r="C523" s="41">
        <v>6.83423086E8</v>
      </c>
      <c r="D523" s="42" t="s">
        <v>16893</v>
      </c>
      <c r="E523" s="41" t="s">
        <v>813</v>
      </c>
      <c r="F523" s="41" t="s">
        <v>813</v>
      </c>
      <c r="G523" s="41" t="s">
        <v>16894</v>
      </c>
      <c r="H523" s="41" t="s">
        <v>14822</v>
      </c>
      <c r="I523" s="43"/>
    </row>
    <row r="524">
      <c r="A524" s="44" t="s">
        <v>16895</v>
      </c>
      <c r="B524" s="44" t="s">
        <v>16896</v>
      </c>
      <c r="C524" s="44">
        <v>6.80557163E8</v>
      </c>
      <c r="D524" s="46" t="s">
        <v>16897</v>
      </c>
      <c r="E524" s="44" t="s">
        <v>55</v>
      </c>
      <c r="F524" s="44" t="s">
        <v>55</v>
      </c>
      <c r="G524" s="44" t="s">
        <v>16898</v>
      </c>
      <c r="H524" s="44" t="s">
        <v>14822</v>
      </c>
      <c r="I524" s="45"/>
    </row>
    <row r="525">
      <c r="A525" s="41" t="s">
        <v>16899</v>
      </c>
      <c r="B525" s="41" t="s">
        <v>16900</v>
      </c>
      <c r="C525" s="40">
        <f>+393923021461</f>
        <v>393923021461</v>
      </c>
      <c r="D525" s="42" t="s">
        <v>16901</v>
      </c>
      <c r="E525" s="41" t="s">
        <v>16902</v>
      </c>
      <c r="F525" s="41" t="s">
        <v>14826</v>
      </c>
      <c r="G525" s="41" t="s">
        <v>16903</v>
      </c>
      <c r="H525" s="41" t="s">
        <v>14822</v>
      </c>
      <c r="I525" s="43"/>
    </row>
    <row r="526">
      <c r="A526" s="44" t="s">
        <v>16904</v>
      </c>
      <c r="B526" s="44" t="s">
        <v>16905</v>
      </c>
      <c r="C526" s="44">
        <v>6.4619062E8</v>
      </c>
      <c r="D526" s="46" t="s">
        <v>16906</v>
      </c>
      <c r="E526" s="44" t="s">
        <v>16907</v>
      </c>
      <c r="F526" s="44" t="s">
        <v>1612</v>
      </c>
      <c r="G526" s="44" t="s">
        <v>16908</v>
      </c>
      <c r="H526" s="44" t="s">
        <v>14822</v>
      </c>
      <c r="I526" s="45"/>
    </row>
  </sheetData>
  <mergeCells count="1">
    <mergeCell ref="A1:H1"/>
  </mergeCells>
  <hyperlinks>
    <hyperlink r:id="rId1" ref="D3"/>
    <hyperlink r:id="rId2" ref="D5"/>
    <hyperlink r:id="rId3" ref="D6"/>
    <hyperlink r:id="rId4" ref="D7"/>
    <hyperlink r:id="rId5" ref="D8"/>
    <hyperlink r:id="rId6" ref="D9"/>
    <hyperlink r:id="rId7" ref="D10"/>
    <hyperlink r:id="rId8" ref="D11"/>
    <hyperlink r:id="rId9" ref="D12"/>
    <hyperlink r:id="rId10" ref="D14"/>
    <hyperlink r:id="rId11" ref="D15"/>
    <hyperlink r:id="rId12" ref="D16"/>
    <hyperlink r:id="rId13" ref="D20"/>
    <hyperlink r:id="rId14" ref="D21"/>
    <hyperlink r:id="rId15" ref="D22"/>
    <hyperlink r:id="rId16" ref="D23"/>
    <hyperlink r:id="rId17" ref="D26"/>
    <hyperlink r:id="rId18" ref="D28"/>
    <hyperlink r:id="rId19" ref="D29"/>
    <hyperlink r:id="rId20" ref="D30"/>
    <hyperlink r:id="rId21" ref="D32"/>
    <hyperlink r:id="rId22" ref="D36"/>
    <hyperlink r:id="rId23" ref="D38"/>
    <hyperlink r:id="rId24" ref="D40"/>
    <hyperlink r:id="rId25" ref="D42"/>
    <hyperlink r:id="rId26" ref="D43"/>
    <hyperlink r:id="rId27" ref="D45"/>
    <hyperlink r:id="rId28" ref="D49"/>
    <hyperlink r:id="rId29" ref="D50"/>
    <hyperlink r:id="rId30" ref="D51"/>
    <hyperlink r:id="rId31" ref="D52"/>
    <hyperlink r:id="rId32" ref="D53"/>
    <hyperlink r:id="rId33" ref="D54"/>
    <hyperlink r:id="rId34" ref="D55"/>
    <hyperlink r:id="rId35" ref="D56"/>
    <hyperlink r:id="rId36" ref="D57"/>
    <hyperlink r:id="rId37" ref="D60"/>
    <hyperlink r:id="rId38" ref="D63"/>
    <hyperlink r:id="rId39" ref="D65"/>
    <hyperlink r:id="rId40" ref="D66"/>
    <hyperlink r:id="rId41" ref="D69"/>
    <hyperlink r:id="rId42" ref="D70"/>
    <hyperlink r:id="rId43" ref="D71"/>
    <hyperlink r:id="rId44" ref="D72"/>
    <hyperlink r:id="rId45" ref="D73"/>
    <hyperlink r:id="rId46" ref="D74"/>
    <hyperlink r:id="rId47" ref="D75"/>
    <hyperlink r:id="rId48" ref="D76"/>
    <hyperlink r:id="rId49" ref="A77"/>
    <hyperlink r:id="rId50" ref="D77"/>
    <hyperlink r:id="rId51" ref="D78"/>
    <hyperlink r:id="rId52" ref="D79"/>
    <hyperlink r:id="rId53" ref="D82"/>
    <hyperlink r:id="rId54" ref="D84"/>
    <hyperlink r:id="rId55" ref="D85"/>
    <hyperlink r:id="rId56" ref="D86"/>
    <hyperlink r:id="rId57" ref="D88"/>
    <hyperlink r:id="rId58" ref="D89"/>
    <hyperlink r:id="rId59" ref="D90"/>
    <hyperlink r:id="rId60" ref="D92"/>
    <hyperlink r:id="rId61" ref="D93"/>
    <hyperlink r:id="rId62" ref="D94"/>
    <hyperlink r:id="rId63" ref="D95"/>
    <hyperlink r:id="rId64" ref="D96"/>
    <hyperlink r:id="rId65" ref="D101"/>
    <hyperlink r:id="rId66" ref="D102"/>
    <hyperlink r:id="rId67" ref="D106"/>
    <hyperlink r:id="rId68" ref="D107"/>
    <hyperlink r:id="rId69" ref="D108"/>
    <hyperlink r:id="rId70" ref="D109"/>
    <hyperlink r:id="rId71" ref="D110"/>
    <hyperlink r:id="rId72" ref="D112"/>
    <hyperlink r:id="rId73" ref="D113"/>
    <hyperlink r:id="rId74" ref="D114"/>
    <hyperlink r:id="rId75" ref="D117"/>
    <hyperlink r:id="rId76" ref="D118"/>
    <hyperlink r:id="rId77" ref="D119"/>
    <hyperlink r:id="rId78" ref="D120"/>
    <hyperlink r:id="rId79" ref="D121"/>
    <hyperlink r:id="rId80" ref="D130"/>
    <hyperlink r:id="rId81" ref="D133"/>
    <hyperlink r:id="rId82" ref="D137"/>
    <hyperlink r:id="rId83" ref="D140"/>
    <hyperlink r:id="rId84" ref="D141"/>
    <hyperlink r:id="rId85" ref="D142"/>
    <hyperlink r:id="rId86" ref="D147"/>
    <hyperlink r:id="rId87" ref="D148"/>
    <hyperlink r:id="rId88" ref="D149"/>
    <hyperlink r:id="rId89" ref="D150"/>
    <hyperlink r:id="rId90" ref="D151"/>
    <hyperlink r:id="rId91" ref="D152"/>
    <hyperlink r:id="rId92" ref="D153"/>
    <hyperlink r:id="rId93" ref="D154"/>
    <hyperlink r:id="rId94" ref="D156"/>
    <hyperlink r:id="rId95" ref="D157"/>
    <hyperlink r:id="rId96" ref="D158"/>
    <hyperlink r:id="rId97" ref="D159"/>
    <hyperlink r:id="rId98" ref="D160"/>
    <hyperlink r:id="rId99" ref="D161"/>
    <hyperlink r:id="rId100" ref="D162"/>
    <hyperlink r:id="rId101" ref="D163"/>
    <hyperlink r:id="rId102" ref="D164"/>
    <hyperlink r:id="rId103" ref="D165"/>
    <hyperlink r:id="rId104" ref="D166"/>
    <hyperlink r:id="rId105" ref="D167"/>
    <hyperlink r:id="rId106" ref="D168"/>
    <hyperlink r:id="rId107" ref="D169"/>
    <hyperlink r:id="rId108" ref="D170"/>
    <hyperlink r:id="rId109" ref="D171"/>
    <hyperlink r:id="rId110" ref="D172"/>
    <hyperlink r:id="rId111" ref="D174"/>
    <hyperlink r:id="rId112" ref="D175"/>
    <hyperlink r:id="rId113" ref="D176"/>
    <hyperlink r:id="rId114" ref="D178"/>
    <hyperlink r:id="rId115" ref="D179"/>
    <hyperlink r:id="rId116" ref="D180"/>
    <hyperlink r:id="rId117" ref="D181"/>
    <hyperlink r:id="rId118" ref="D182"/>
    <hyperlink r:id="rId119" ref="D183"/>
    <hyperlink r:id="rId120" ref="D184"/>
    <hyperlink r:id="rId121" ref="D185"/>
    <hyperlink r:id="rId122" ref="D187"/>
    <hyperlink r:id="rId123" ref="D189"/>
    <hyperlink r:id="rId124" ref="D190"/>
    <hyperlink r:id="rId125" ref="D191"/>
    <hyperlink r:id="rId126" ref="D192"/>
    <hyperlink r:id="rId127" ref="D195"/>
    <hyperlink r:id="rId128" ref="D196"/>
    <hyperlink r:id="rId129" ref="D197"/>
    <hyperlink r:id="rId130" ref="D199"/>
    <hyperlink r:id="rId131" ref="D200"/>
    <hyperlink r:id="rId132" ref="D202"/>
    <hyperlink r:id="rId133" ref="D203"/>
    <hyperlink r:id="rId134" ref="D205"/>
    <hyperlink r:id="rId135" ref="D207"/>
    <hyperlink r:id="rId136" ref="D208"/>
    <hyperlink r:id="rId137" ref="D209"/>
    <hyperlink r:id="rId138" ref="D210"/>
    <hyperlink r:id="rId139" ref="D211"/>
    <hyperlink r:id="rId140" ref="D212"/>
    <hyperlink r:id="rId141" ref="D213"/>
    <hyperlink r:id="rId142" ref="D217"/>
    <hyperlink r:id="rId143" ref="D218"/>
    <hyperlink r:id="rId144" ref="D219"/>
    <hyperlink r:id="rId145" ref="D220"/>
    <hyperlink r:id="rId146" ref="D227"/>
    <hyperlink r:id="rId147" ref="D228"/>
    <hyperlink r:id="rId148" ref="D229"/>
    <hyperlink r:id="rId149" ref="D230"/>
    <hyperlink r:id="rId150" ref="D231"/>
    <hyperlink r:id="rId151" ref="D232"/>
    <hyperlink r:id="rId152" ref="D233"/>
    <hyperlink r:id="rId153" ref="D234"/>
    <hyperlink r:id="rId154" ref="D235"/>
    <hyperlink r:id="rId155" ref="D238"/>
    <hyperlink r:id="rId156" ref="D239"/>
    <hyperlink r:id="rId157" ref="D240"/>
    <hyperlink r:id="rId158" ref="D241"/>
    <hyperlink r:id="rId159" ref="D242"/>
    <hyperlink r:id="rId160" ref="D244"/>
    <hyperlink r:id="rId161" ref="D245"/>
    <hyperlink r:id="rId162" ref="D246"/>
    <hyperlink r:id="rId163" ref="D248"/>
    <hyperlink r:id="rId164" ref="D250"/>
    <hyperlink r:id="rId165" ref="D252"/>
    <hyperlink r:id="rId166" ref="D255"/>
    <hyperlink r:id="rId167" ref="D257"/>
    <hyperlink r:id="rId168" ref="D260"/>
    <hyperlink r:id="rId169" ref="D261"/>
    <hyperlink r:id="rId170" ref="D262"/>
    <hyperlink r:id="rId171" ref="D263"/>
    <hyperlink r:id="rId172" ref="D265"/>
    <hyperlink r:id="rId173" ref="D267"/>
    <hyperlink r:id="rId174" ref="D268"/>
    <hyperlink r:id="rId175" ref="D270"/>
    <hyperlink r:id="rId176" ref="D272"/>
    <hyperlink r:id="rId177" ref="D273"/>
    <hyperlink r:id="rId178" ref="D274"/>
    <hyperlink r:id="rId179" ref="D275"/>
    <hyperlink r:id="rId180" ref="D276"/>
    <hyperlink r:id="rId181" ref="D277"/>
    <hyperlink r:id="rId182" ref="D279"/>
    <hyperlink r:id="rId183" ref="D281"/>
    <hyperlink r:id="rId184" ref="D282"/>
    <hyperlink r:id="rId185" ref="D284"/>
    <hyperlink r:id="rId186" ref="D285"/>
    <hyperlink r:id="rId187" ref="D286"/>
    <hyperlink r:id="rId188" ref="D287"/>
    <hyperlink r:id="rId189" ref="D288"/>
    <hyperlink r:id="rId190" ref="D289"/>
    <hyperlink r:id="rId191" ref="D290"/>
    <hyperlink r:id="rId192" ref="D292"/>
    <hyperlink r:id="rId193" ref="D293"/>
    <hyperlink r:id="rId194" ref="D295"/>
    <hyperlink r:id="rId195" ref="D296"/>
    <hyperlink r:id="rId196" ref="D297"/>
    <hyperlink r:id="rId197" ref="D300"/>
    <hyperlink r:id="rId198" ref="D301"/>
    <hyperlink r:id="rId199" ref="D302"/>
    <hyperlink r:id="rId200" ref="D303"/>
    <hyperlink r:id="rId201" ref="D304"/>
    <hyperlink r:id="rId202" ref="D305"/>
    <hyperlink r:id="rId203" ref="D306"/>
    <hyperlink r:id="rId204" ref="D307"/>
    <hyperlink r:id="rId205" ref="D308"/>
    <hyperlink r:id="rId206" ref="D309"/>
    <hyperlink r:id="rId207" ref="D310"/>
    <hyperlink r:id="rId208" ref="D311"/>
    <hyperlink r:id="rId209" ref="D312"/>
    <hyperlink r:id="rId210" ref="D313"/>
    <hyperlink r:id="rId211" ref="D314"/>
    <hyperlink r:id="rId212" ref="D315"/>
    <hyperlink r:id="rId213" ref="D316"/>
    <hyperlink r:id="rId214" ref="D317"/>
    <hyperlink r:id="rId215" ref="D318"/>
    <hyperlink r:id="rId216" ref="D319"/>
    <hyperlink r:id="rId217" ref="D320"/>
    <hyperlink r:id="rId218" ref="D321"/>
    <hyperlink r:id="rId219" ref="D322"/>
    <hyperlink r:id="rId220" ref="D323"/>
    <hyperlink r:id="rId221" ref="D325"/>
    <hyperlink r:id="rId222" ref="D326"/>
    <hyperlink r:id="rId223" ref="D327"/>
    <hyperlink r:id="rId224" ref="D328"/>
    <hyperlink r:id="rId225" ref="D329"/>
    <hyperlink r:id="rId226" ref="D330"/>
    <hyperlink r:id="rId227" ref="D331"/>
    <hyperlink r:id="rId228" ref="D332"/>
    <hyperlink r:id="rId229" ref="D334"/>
    <hyperlink r:id="rId230" ref="D335"/>
    <hyperlink r:id="rId231" ref="D336"/>
    <hyperlink r:id="rId232" ref="D337"/>
    <hyperlink r:id="rId233" ref="D338"/>
    <hyperlink r:id="rId234" ref="D339"/>
    <hyperlink r:id="rId235" ref="D340"/>
    <hyperlink r:id="rId236" ref="D341"/>
    <hyperlink r:id="rId237" ref="D342"/>
    <hyperlink r:id="rId238" ref="D343"/>
    <hyperlink r:id="rId239" ref="D344"/>
    <hyperlink r:id="rId240" ref="D345"/>
    <hyperlink r:id="rId241" ref="D346"/>
    <hyperlink r:id="rId242" ref="D347"/>
    <hyperlink r:id="rId243" ref="D348"/>
    <hyperlink r:id="rId244" ref="D349"/>
    <hyperlink r:id="rId245" ref="D350"/>
    <hyperlink r:id="rId246" ref="D351"/>
    <hyperlink r:id="rId247" ref="D353"/>
    <hyperlink r:id="rId248" ref="D354"/>
    <hyperlink r:id="rId249" ref="D355"/>
    <hyperlink r:id="rId250" ref="D356"/>
    <hyperlink r:id="rId251" ref="D357"/>
    <hyperlink r:id="rId252" ref="D359"/>
    <hyperlink r:id="rId253" ref="D363"/>
    <hyperlink r:id="rId254" ref="D364"/>
    <hyperlink r:id="rId255" ref="D366"/>
    <hyperlink r:id="rId256" ref="D367"/>
    <hyperlink r:id="rId257" ref="D369"/>
    <hyperlink r:id="rId258" ref="D370"/>
    <hyperlink r:id="rId259" ref="D371"/>
    <hyperlink r:id="rId260" ref="D372"/>
    <hyperlink r:id="rId261" ref="D373"/>
    <hyperlink r:id="rId262" ref="D374"/>
    <hyperlink r:id="rId263" ref="D375"/>
    <hyperlink r:id="rId264" ref="D376"/>
    <hyperlink r:id="rId265" ref="D377"/>
    <hyperlink r:id="rId266" ref="D378"/>
    <hyperlink r:id="rId267" ref="D379"/>
    <hyperlink r:id="rId268" ref="D380"/>
    <hyperlink r:id="rId269" ref="D381"/>
    <hyperlink r:id="rId270" ref="D382"/>
    <hyperlink r:id="rId271" ref="D383"/>
    <hyperlink r:id="rId272" ref="D384"/>
    <hyperlink r:id="rId273" ref="D385"/>
    <hyperlink r:id="rId274" ref="D386"/>
    <hyperlink r:id="rId275" ref="D387"/>
    <hyperlink r:id="rId276" ref="D388"/>
    <hyperlink r:id="rId277" ref="D389"/>
    <hyperlink r:id="rId278" ref="D390"/>
    <hyperlink r:id="rId279" ref="D392"/>
    <hyperlink r:id="rId280" ref="D393"/>
    <hyperlink r:id="rId281" ref="D395"/>
    <hyperlink r:id="rId282" ref="D396"/>
    <hyperlink r:id="rId283" ref="D397"/>
    <hyperlink r:id="rId284" ref="D398"/>
    <hyperlink r:id="rId285" ref="D399"/>
    <hyperlink r:id="rId286" ref="D400"/>
    <hyperlink r:id="rId287" ref="D401"/>
    <hyperlink r:id="rId288" ref="D403"/>
    <hyperlink r:id="rId289" ref="D404"/>
    <hyperlink r:id="rId290" ref="D405"/>
    <hyperlink r:id="rId291" ref="D406"/>
    <hyperlink r:id="rId292" ref="D408"/>
    <hyperlink r:id="rId293" ref="D410"/>
    <hyperlink r:id="rId294" ref="D412"/>
    <hyperlink r:id="rId295" ref="D413"/>
    <hyperlink r:id="rId296" ref="D415"/>
    <hyperlink r:id="rId297" ref="D416"/>
    <hyperlink r:id="rId298" ref="D417"/>
    <hyperlink r:id="rId299" ref="D419"/>
    <hyperlink r:id="rId300" ref="D420"/>
    <hyperlink r:id="rId301" ref="D421"/>
    <hyperlink r:id="rId302" ref="D422"/>
    <hyperlink r:id="rId303" ref="D423"/>
    <hyperlink r:id="rId304" ref="D424"/>
    <hyperlink r:id="rId305" ref="D425"/>
    <hyperlink r:id="rId306" ref="D426"/>
    <hyperlink r:id="rId307" ref="D427"/>
    <hyperlink r:id="rId308" ref="D428"/>
    <hyperlink r:id="rId309" ref="D429"/>
    <hyperlink r:id="rId310" ref="D430"/>
    <hyperlink r:id="rId311" ref="D431"/>
    <hyperlink r:id="rId312" ref="D432"/>
    <hyperlink r:id="rId313" ref="D433"/>
    <hyperlink r:id="rId314" ref="D434"/>
    <hyperlink r:id="rId315" ref="D435"/>
    <hyperlink r:id="rId316" ref="D436"/>
    <hyperlink r:id="rId317" ref="D437"/>
    <hyperlink r:id="rId318" ref="D438"/>
    <hyperlink r:id="rId319" ref="D439"/>
    <hyperlink r:id="rId320" ref="D440"/>
    <hyperlink r:id="rId321" ref="D441"/>
    <hyperlink r:id="rId322" ref="D442"/>
    <hyperlink r:id="rId323" ref="D444"/>
    <hyperlink r:id="rId324" ref="D445"/>
    <hyperlink r:id="rId325" ref="D447"/>
    <hyperlink r:id="rId326" ref="D448"/>
    <hyperlink r:id="rId327" ref="D449"/>
    <hyperlink r:id="rId328" ref="D454"/>
    <hyperlink r:id="rId329" ref="D456"/>
    <hyperlink r:id="rId330" ref="D457"/>
    <hyperlink r:id="rId331" ref="D459"/>
    <hyperlink r:id="rId332" ref="D460"/>
    <hyperlink r:id="rId333" ref="D462"/>
    <hyperlink r:id="rId334" ref="D463"/>
    <hyperlink r:id="rId335" ref="D464"/>
    <hyperlink r:id="rId336" ref="D465"/>
    <hyperlink r:id="rId337" ref="D466"/>
    <hyperlink r:id="rId338" ref="D467"/>
    <hyperlink r:id="rId339" ref="D468"/>
    <hyperlink r:id="rId340" ref="D469"/>
    <hyperlink r:id="rId341" ref="D470"/>
    <hyperlink r:id="rId342" ref="D471"/>
    <hyperlink r:id="rId343" ref="D472"/>
    <hyperlink r:id="rId344" ref="D473"/>
    <hyperlink r:id="rId345" ref="D474"/>
    <hyperlink r:id="rId346" ref="D475"/>
    <hyperlink r:id="rId347" ref="D476"/>
    <hyperlink r:id="rId348" ref="D477"/>
    <hyperlink r:id="rId349" ref="D478"/>
    <hyperlink r:id="rId350" ref="D479"/>
    <hyperlink r:id="rId351" ref="D480"/>
    <hyperlink r:id="rId352" ref="D482"/>
    <hyperlink r:id="rId353" ref="D484"/>
    <hyperlink r:id="rId354" ref="D485"/>
    <hyperlink r:id="rId355" ref="D487"/>
    <hyperlink r:id="rId356" ref="D488"/>
    <hyperlink r:id="rId357" ref="D490"/>
    <hyperlink r:id="rId358" ref="D491"/>
    <hyperlink r:id="rId359" ref="D493"/>
    <hyperlink r:id="rId360" ref="D496"/>
    <hyperlink r:id="rId361" ref="D497"/>
    <hyperlink r:id="rId362" ref="D498"/>
    <hyperlink r:id="rId363" ref="D499"/>
    <hyperlink r:id="rId364" ref="D501"/>
    <hyperlink r:id="rId365" ref="D502"/>
    <hyperlink r:id="rId366" ref="D503"/>
    <hyperlink r:id="rId367" ref="D504"/>
    <hyperlink r:id="rId368" ref="D505"/>
    <hyperlink r:id="rId369" ref="D506"/>
    <hyperlink r:id="rId370" ref="D507"/>
    <hyperlink r:id="rId371" ref="D508"/>
    <hyperlink r:id="rId372" ref="D509"/>
    <hyperlink r:id="rId373" ref="D510"/>
    <hyperlink r:id="rId374" ref="D511"/>
    <hyperlink r:id="rId375" ref="D512"/>
    <hyperlink r:id="rId376" ref="D514"/>
    <hyperlink r:id="rId377" ref="D515"/>
    <hyperlink r:id="rId378" ref="D516"/>
    <hyperlink r:id="rId379" ref="D517"/>
    <hyperlink r:id="rId380" ref="D518"/>
    <hyperlink r:id="rId381" ref="D521"/>
    <hyperlink r:id="rId382" ref="D523"/>
    <hyperlink r:id="rId383" ref="D524"/>
    <hyperlink r:id="rId384" ref="D525"/>
    <hyperlink r:id="rId385" ref="D526"/>
  </hyperlinks>
  <drawing r:id="rId386"/>
</worksheet>
</file>